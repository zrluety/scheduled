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7329" codeName="{7FF41506-D638-49D5-72EF-22EC70B826FC}"/>
  <fileSharing userName="Brennen A. Ainsworth" algorithmName="SHA-512" hashValue="iadKmgCdhWB0EpYDSh2JAjUW8dTBiGFR4HOwIHm2Tmg2qEDnZ9Zmz/WBCQAuT++i0SJ/ANtEJP86kytPioEmpQ==" saltValue="32XO75IOaHNa2Qkh7XzpMg==" spinCount="100000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I:\TEAM_I\INSUR\2017SchedD\"/>
    </mc:Choice>
  </mc:AlternateContent>
  <bookViews>
    <workbookView xWindow="6075" yWindow="0" windowWidth="8445" windowHeight="4830" tabRatio="358" activeTab="1"/>
  </bookViews>
  <sheets>
    <sheet name="Instructions" sheetId="13" r:id="rId1"/>
    <sheet name="Bank Transactions" sheetId="6" r:id="rId2"/>
    <sheet name="Programming" sheetId="10" state="hidden" r:id="rId3"/>
    <sheet name="Summary" sheetId="8" r:id="rId4"/>
    <sheet name="SCHEDD" sheetId="1" r:id="rId5"/>
  </sheets>
  <functionGroups builtInGroupCount="18"/>
  <externalReferences>
    <externalReference r:id="rId6"/>
  </externalReferences>
  <definedNames>
    <definedName name="_xlnm._FilterDatabase" localSheetId="1" hidden="1">'Bank Transactions'!$A$3:$K$3</definedName>
    <definedName name="_xlnm._FilterDatabase" localSheetId="4" hidden="1">SCHEDD!$A$11:$AI$13</definedName>
    <definedName name="Account_Number">SCHEDD!$E$11</definedName>
    <definedName name="AccountDiscription">Programming!$W$5:$X$1410</definedName>
    <definedName name="ACwvu.part1." localSheetId="4" hidden="1">SCHEDD!#REF!</definedName>
    <definedName name="ACwvu.part2." localSheetId="4" hidden="1">SCHEDD!#REF!</definedName>
    <definedName name="ACwvu.svo._.view." localSheetId="4" hidden="1">SCHEDD!#REF!</definedName>
    <definedName name="adfasdf">[1]SCHEDD!$G$5</definedName>
    <definedName name="Amount">'Bank Transactions'!$F$4:$F$4</definedName>
    <definedName name="BookValueOfAssetSold">SCHEDD!$AA$11</definedName>
    <definedName name="BOYMM">Summary!$I$8</definedName>
    <definedName name="CompanyName">SCHEDD!$G$1</definedName>
    <definedName name="CurFile">Programming!$U$6</definedName>
    <definedName name="date">SCHEDD!$G$4</definedName>
    <definedName name="DateAssetAcquired">SCHEDD!$M$11</definedName>
    <definedName name="DateAssetSold">SCHEDD!$U$11</definedName>
    <definedName name="datepy">SCHEDD!$G$5</definedName>
    <definedName name="Description">SCHEDD!$F$11</definedName>
    <definedName name="End">SCHEDD!$AI$11</definedName>
    <definedName name="InputAccNum">Programming!$C$15</definedName>
    <definedName name="InputAmt">Programming!$C$8</definedName>
    <definedName name="InputAssetCnt">Programming!$R$6</definedName>
    <definedName name="InputAssetLoc">Programming!$Q$6</definedName>
    <definedName name="InputDesc">Programming!$C$11</definedName>
    <definedName name="InputDescNew">Programming!$C$10</definedName>
    <definedName name="InputInt">Programming!$C$13</definedName>
    <definedName name="InputMatDate">Programming!$C$14</definedName>
    <definedName name="InputSecType">Programming!$C$12</definedName>
    <definedName name="InputShares">Programming!$C$7</definedName>
    <definedName name="InputTranDate">Programming!$C$9</definedName>
    <definedName name="InputTranType">Programming!$C$6</definedName>
    <definedName name="INT">'Bank Transactions'!$G$4:$G$4</definedName>
    <definedName name="LastSavedBy">Instructions!$D$2</definedName>
    <definedName name="LastSavedDate">Instructions!$E$2</definedName>
    <definedName name="LastSavedValDate">Instructions!$F$2</definedName>
    <definedName name="LongTermCol">SCHEDD!$AI$11</definedName>
    <definedName name="LTDataLine">#REF!</definedName>
    <definedName name="Maturity">'Bank Transactions'!$H$4:$H$4</definedName>
    <definedName name="Maturity_Date">SCHEDD!$J$11</definedName>
    <definedName name="MMEnd">Summary!$I$19</definedName>
    <definedName name="NamePiv">'Bank Transactions'!$A$3:$K$4</definedName>
    <definedName name="_xlnm.Print_Area" localSheetId="4">SCHEDD!$E$15:$AB$39</definedName>
    <definedName name="_xlnm.Print_Area" localSheetId="3">Summary!$A$4:$P$85</definedName>
    <definedName name="_xlnm.Print_Titles" localSheetId="4">SCHEDD!$F:$F,SCHEDD!$1:$11</definedName>
    <definedName name="SalePriceofAssetSold">SCHEDD!$V$11</definedName>
    <definedName name="ScheddDesc">SCHEDD!$F$11:$F$14</definedName>
    <definedName name="ScheddSummary">SCHEDD!$E$15:$AB$39</definedName>
    <definedName name="ScheduleDRange">SCHEDD!$A$11:$AI$14</definedName>
    <definedName name="Security_Name">'Bank Transactions'!$B$4:$B$4</definedName>
    <definedName name="SecurityNumber">SCHEDD!$A$11:$A$14</definedName>
    <definedName name="Shares">'Bank Transactions'!$D$4:$D$4</definedName>
    <definedName name="ShortTermCol">SCHEDD!$AH$11</definedName>
    <definedName name="Start">SCHEDD!$B$11</definedName>
    <definedName name="STDataLine">#REF!</definedName>
    <definedName name="Swvu.part1." localSheetId="4" hidden="1">SCHEDD!#REF!</definedName>
    <definedName name="Swvu.part2." localSheetId="4" hidden="1">SCHEDD!#REF!</definedName>
    <definedName name="Swvu.svo._.view." localSheetId="4" hidden="1">SCHEDD!#REF!</definedName>
    <definedName name="TotalActCost">SCHEDD!$N$39</definedName>
    <definedName name="TotalAD">SCHEDD!$R$39</definedName>
    <definedName name="TotalAP">SCHEDD!$S$39</definedName>
    <definedName name="TotalConsideration">SCHEDD!$V$39</definedName>
    <definedName name="TotalGain">SCHEDD!$X$39</definedName>
    <definedName name="TotalLoss">SCHEDD!$Y$39</definedName>
    <definedName name="TotalSTConsideration">SCHEDD!$V$37</definedName>
    <definedName name="TotalSTCost">SCHEDD!$N$37</definedName>
    <definedName name="TotalSTGain">SCHEDD!$X$37</definedName>
    <definedName name="TotalSTLoss">SCHEDD!$Y$37</definedName>
    <definedName name="Transaction_Price">'Bank Transactions'!$E$4:$E$4</definedName>
    <definedName name="Transaction_Type">'Bank Transactions'!$C$4:$C$4</definedName>
    <definedName name="TransList">Programming!$J$6:$J$15</definedName>
    <definedName name="TranStart">Programming!$Z$5</definedName>
    <definedName name="TrustCompanyAccount">SCHEDD!$G$3</definedName>
    <definedName name="TrustCompanyName">SCHEDD!$G$2</definedName>
    <definedName name="Type_of_Asset">SCHEDD!$B$11</definedName>
    <definedName name="Z_06745183_FBE3_11D2_82C2_908DF7C1072B_.wvu.PrintArea" localSheetId="4" hidden="1">SCHEDD!#REF!</definedName>
    <definedName name="Z_06745183_FBE3_11D2_82C2_908DF7C1072B_.wvu.PrintTitles" localSheetId="4" hidden="1">SCHEDD!$8:$11</definedName>
    <definedName name="Z_06745184_FBE3_11D2_82C2_908DF7C1072B_.wvu.PrintArea" localSheetId="4" hidden="1">SCHEDD!#REF!</definedName>
    <definedName name="Z_06745184_FBE3_11D2_82C2_908DF7C1072B_.wvu.PrintTitles" localSheetId="4" hidden="1">SCHEDD!$8:$11</definedName>
    <definedName name="Z_06745185_FBE3_11D2_82C2_908DF7C1072B_.wvu.PrintArea" localSheetId="4" hidden="1">SCHEDD!#REF!</definedName>
    <definedName name="Z_06745185_FBE3_11D2_82C2_908DF7C1072B_.wvu.PrintTitles" localSheetId="4" hidden="1">SCHEDD!$8:$11</definedName>
  </definedNames>
  <calcPr calcId="171027" calcMode="manual"/>
  <customWorkbookViews>
    <customWorkbookView name="svo view (SCHEDD)" guid="{06745185-FBE3-11D2-82C2-908DF7C1072B}" maximized="1" xWindow="2" yWindow="2" windowWidth="636" windowHeight="340" activeSheetId="1"/>
    <customWorkbookView name="part2 (SCHEDD)" guid="{06745184-FBE3-11D2-82C2-908DF7C1072B}" maximized="1" xWindow="1" yWindow="1" windowWidth="638" windowHeight="342" activeSheetId="1"/>
    <customWorkbookView name="part1 (SCHEDD)" guid="{06745183-FBE3-11D2-82C2-908DF7C1072B}" maximized="1" xWindow="1" yWindow="1" windowWidth="638" windowHeight="342" activeSheetId="1"/>
  </customWorkbookViews>
  <pivotCaches>
    <pivotCache cacheId="0" r:id="rId7"/>
    <pivotCache cacheId="1" r:id="rId8"/>
  </pivotCaches>
</workbook>
</file>

<file path=xl/calcChain.xml><?xml version="1.0" encoding="utf-8"?>
<calcChain xmlns="http://schemas.openxmlformats.org/spreadsheetml/2006/main">
  <c r="F23" i="8" l="1"/>
  <c r="S12" i="1" l="1"/>
  <c r="R12" i="1"/>
  <c r="A36" i="8"/>
  <c r="F36" i="8"/>
  <c r="F22" i="8"/>
  <c r="A22" i="8"/>
  <c r="P22" i="10"/>
  <c r="S7" i="1" l="1"/>
  <c r="R7" i="1"/>
  <c r="Z5" i="10" l="1"/>
  <c r="A39" i="8"/>
  <c r="E39" i="8"/>
  <c r="N5" i="6"/>
  <c r="N6" i="6"/>
  <c r="N7" i="6"/>
  <c r="N8" i="6"/>
  <c r="N9" i="6"/>
  <c r="N10" i="6"/>
  <c r="N11" i="6"/>
  <c r="N12" i="6"/>
  <c r="N13" i="6"/>
  <c r="N14" i="6"/>
  <c r="N15" i="6"/>
  <c r="N16" i="6"/>
  <c r="N17" i="6"/>
  <c r="N18" i="6"/>
  <c r="N19" i="6"/>
  <c r="N20" i="6"/>
  <c r="N21" i="6"/>
  <c r="N22" i="6"/>
  <c r="N23" i="6"/>
  <c r="N24" i="6"/>
  <c r="N25" i="6"/>
  <c r="N26" i="6"/>
  <c r="N27" i="6"/>
  <c r="N28" i="6"/>
  <c r="N29" i="6"/>
  <c r="N30" i="6"/>
  <c r="N31" i="6"/>
  <c r="N32" i="6"/>
  <c r="N33" i="6"/>
  <c r="N34" i="6"/>
  <c r="N35" i="6"/>
  <c r="N36" i="6"/>
  <c r="N37" i="6"/>
  <c r="N38" i="6"/>
  <c r="N39" i="6"/>
  <c r="N40" i="6"/>
  <c r="N41" i="6"/>
  <c r="N42" i="6"/>
  <c r="N43" i="6"/>
  <c r="N44" i="6"/>
  <c r="N45" i="6"/>
  <c r="N46" i="6"/>
  <c r="N47" i="6"/>
  <c r="N48" i="6"/>
  <c r="N49" i="6"/>
  <c r="N50" i="6"/>
  <c r="N51" i="6"/>
  <c r="N52" i="6"/>
  <c r="N53" i="6"/>
  <c r="N54" i="6"/>
  <c r="N55" i="6"/>
  <c r="N56" i="6"/>
  <c r="N57" i="6"/>
  <c r="N58" i="6"/>
  <c r="N59" i="6"/>
  <c r="N60" i="6"/>
  <c r="N61" i="6"/>
  <c r="N62" i="6"/>
  <c r="N63" i="6"/>
  <c r="N64" i="6"/>
  <c r="N65" i="6"/>
  <c r="N66" i="6"/>
  <c r="N67" i="6"/>
  <c r="N68" i="6"/>
  <c r="N69" i="6"/>
  <c r="N70" i="6"/>
  <c r="N71" i="6"/>
  <c r="N72" i="6"/>
  <c r="N73" i="6"/>
  <c r="N74" i="6"/>
  <c r="N75" i="6"/>
  <c r="N76" i="6"/>
  <c r="N77" i="6"/>
  <c r="N78" i="6"/>
  <c r="N79" i="6"/>
  <c r="N80" i="6"/>
  <c r="N81" i="6"/>
  <c r="N82" i="6"/>
  <c r="N83" i="6"/>
  <c r="N84" i="6"/>
  <c r="N85" i="6"/>
  <c r="N86" i="6"/>
  <c r="N87" i="6"/>
  <c r="N88" i="6"/>
  <c r="N89" i="6"/>
  <c r="N90" i="6"/>
  <c r="N91" i="6"/>
  <c r="N92" i="6"/>
  <c r="N93" i="6"/>
  <c r="N94" i="6"/>
  <c r="N95" i="6"/>
  <c r="N96" i="6"/>
  <c r="N97" i="6"/>
  <c r="N98" i="6"/>
  <c r="N99" i="6"/>
  <c r="N100" i="6"/>
  <c r="N101" i="6"/>
  <c r="N102" i="6"/>
  <c r="N103" i="6"/>
  <c r="N104" i="6"/>
  <c r="N105" i="6"/>
  <c r="N106" i="6"/>
  <c r="N107" i="6"/>
  <c r="N108" i="6"/>
  <c r="N109" i="6"/>
  <c r="N110" i="6"/>
  <c r="N111" i="6"/>
  <c r="N112" i="6"/>
  <c r="N113" i="6"/>
  <c r="N114" i="6"/>
  <c r="N115" i="6"/>
  <c r="N116" i="6"/>
  <c r="N117" i="6"/>
  <c r="N118" i="6"/>
  <c r="N119" i="6"/>
  <c r="N120" i="6"/>
  <c r="N121" i="6"/>
  <c r="N122" i="6"/>
  <c r="N123" i="6"/>
  <c r="N124" i="6"/>
  <c r="N125" i="6"/>
  <c r="N126" i="6"/>
  <c r="N127" i="6"/>
  <c r="N128" i="6"/>
  <c r="N129" i="6"/>
  <c r="N130" i="6"/>
  <c r="N131" i="6"/>
  <c r="N132" i="6"/>
  <c r="N133" i="6"/>
  <c r="N134" i="6"/>
  <c r="N135" i="6"/>
  <c r="N136" i="6"/>
  <c r="N137" i="6"/>
  <c r="N138" i="6"/>
  <c r="N139" i="6"/>
  <c r="N140" i="6"/>
  <c r="N141" i="6"/>
  <c r="N142" i="6"/>
  <c r="N143" i="6"/>
  <c r="N144" i="6"/>
  <c r="N145" i="6"/>
  <c r="N146" i="6"/>
  <c r="N147" i="6"/>
  <c r="N148" i="6"/>
  <c r="N149" i="6"/>
  <c r="N150" i="6"/>
  <c r="N151" i="6"/>
  <c r="N152" i="6"/>
  <c r="N153" i="6"/>
  <c r="N154" i="6"/>
  <c r="N155" i="6"/>
  <c r="N156" i="6"/>
  <c r="N157" i="6"/>
  <c r="N158" i="6"/>
  <c r="N159" i="6"/>
  <c r="N160" i="6"/>
  <c r="N161" i="6"/>
  <c r="N162" i="6"/>
  <c r="N163" i="6"/>
  <c r="N164" i="6"/>
  <c r="N165" i="6"/>
  <c r="N166" i="6"/>
  <c r="N167" i="6"/>
  <c r="N168" i="6"/>
  <c r="N169" i="6"/>
  <c r="N170" i="6"/>
  <c r="N171" i="6"/>
  <c r="N172" i="6"/>
  <c r="N173" i="6"/>
  <c r="N174" i="6"/>
  <c r="N175" i="6"/>
  <c r="N176" i="6"/>
  <c r="N177" i="6"/>
  <c r="N178" i="6"/>
  <c r="N179" i="6"/>
  <c r="N180" i="6"/>
  <c r="N181" i="6"/>
  <c r="N182" i="6"/>
  <c r="N183" i="6"/>
  <c r="N184" i="6"/>
  <c r="N185" i="6"/>
  <c r="N186" i="6"/>
  <c r="N187" i="6"/>
  <c r="N188" i="6"/>
  <c r="N189" i="6"/>
  <c r="N190" i="6"/>
  <c r="N191" i="6"/>
  <c r="N192" i="6"/>
  <c r="N193" i="6"/>
  <c r="N194" i="6"/>
  <c r="N195" i="6"/>
  <c r="N196" i="6"/>
  <c r="N197" i="6"/>
  <c r="N198" i="6"/>
  <c r="N199" i="6"/>
  <c r="N200" i="6"/>
  <c r="N201" i="6"/>
  <c r="N202" i="6"/>
  <c r="N203" i="6"/>
  <c r="N204" i="6"/>
  <c r="N205" i="6"/>
  <c r="N206" i="6"/>
  <c r="N207" i="6"/>
  <c r="N208" i="6"/>
  <c r="N209" i="6"/>
  <c r="N210" i="6"/>
  <c r="N211" i="6"/>
  <c r="N212" i="6"/>
  <c r="N213" i="6"/>
  <c r="N214" i="6"/>
  <c r="N215" i="6"/>
  <c r="N216" i="6"/>
  <c r="N217" i="6"/>
  <c r="N218" i="6"/>
  <c r="N219" i="6"/>
  <c r="N220" i="6"/>
  <c r="N221" i="6"/>
  <c r="N222" i="6"/>
  <c r="N223" i="6"/>
  <c r="N224" i="6"/>
  <c r="N225" i="6"/>
  <c r="N226" i="6"/>
  <c r="N227" i="6"/>
  <c r="N228" i="6"/>
  <c r="N229" i="6"/>
  <c r="N230" i="6"/>
  <c r="N231" i="6"/>
  <c r="N232" i="6"/>
  <c r="N233" i="6"/>
  <c r="N234" i="6"/>
  <c r="N235" i="6"/>
  <c r="N236" i="6"/>
  <c r="N237" i="6"/>
  <c r="N238" i="6"/>
  <c r="N239" i="6"/>
  <c r="N240" i="6"/>
  <c r="N241" i="6"/>
  <c r="N242" i="6"/>
  <c r="N243" i="6"/>
  <c r="N244" i="6"/>
  <c r="N245" i="6"/>
  <c r="N246" i="6"/>
  <c r="N247" i="6"/>
  <c r="N248" i="6"/>
  <c r="N249" i="6"/>
  <c r="N250" i="6"/>
  <c r="N251" i="6"/>
  <c r="N252" i="6"/>
  <c r="N253" i="6"/>
  <c r="N254" i="6"/>
  <c r="N255" i="6"/>
  <c r="N256" i="6"/>
  <c r="N257" i="6"/>
  <c r="N258" i="6"/>
  <c r="N259" i="6"/>
  <c r="N260" i="6"/>
  <c r="N261" i="6"/>
  <c r="N262" i="6"/>
  <c r="N263" i="6"/>
  <c r="N264" i="6"/>
  <c r="N265" i="6"/>
  <c r="N266" i="6"/>
  <c r="N267" i="6"/>
  <c r="N268" i="6"/>
  <c r="N269" i="6"/>
  <c r="N270" i="6"/>
  <c r="N271" i="6"/>
  <c r="N272" i="6"/>
  <c r="N273" i="6"/>
  <c r="N274" i="6"/>
  <c r="N275" i="6"/>
  <c r="N276" i="6"/>
  <c r="N277" i="6"/>
  <c r="N278" i="6"/>
  <c r="N279" i="6"/>
  <c r="N280" i="6"/>
  <c r="N281" i="6"/>
  <c r="N282" i="6"/>
  <c r="N283" i="6"/>
  <c r="N284" i="6"/>
  <c r="N285" i="6"/>
  <c r="N286" i="6"/>
  <c r="N287" i="6"/>
  <c r="N288" i="6"/>
  <c r="N289" i="6"/>
  <c r="N290" i="6"/>
  <c r="N291" i="6"/>
  <c r="N292" i="6"/>
  <c r="N293" i="6"/>
  <c r="N294" i="6"/>
  <c r="N295" i="6"/>
  <c r="N296" i="6"/>
  <c r="N297" i="6"/>
  <c r="N298" i="6"/>
  <c r="N299" i="6"/>
  <c r="N300" i="6"/>
  <c r="N301" i="6"/>
  <c r="N302" i="6"/>
  <c r="N303" i="6"/>
  <c r="N304" i="6"/>
  <c r="N305" i="6"/>
  <c r="N306" i="6"/>
  <c r="N307" i="6"/>
  <c r="N308" i="6"/>
  <c r="N309" i="6"/>
  <c r="N310" i="6"/>
  <c r="N311" i="6"/>
  <c r="N312" i="6"/>
  <c r="N313" i="6"/>
  <c r="N314" i="6"/>
  <c r="N315" i="6"/>
  <c r="N316" i="6"/>
  <c r="N317" i="6"/>
  <c r="N318" i="6"/>
  <c r="N319" i="6"/>
  <c r="N320" i="6"/>
  <c r="N321" i="6"/>
  <c r="N322" i="6"/>
  <c r="N323" i="6"/>
  <c r="N324" i="6"/>
  <c r="N325" i="6"/>
  <c r="N326" i="6"/>
  <c r="N327" i="6"/>
  <c r="N328" i="6"/>
  <c r="N329" i="6"/>
  <c r="N330" i="6"/>
  <c r="N331" i="6"/>
  <c r="N332" i="6"/>
  <c r="N333" i="6"/>
  <c r="N334" i="6"/>
  <c r="N335" i="6"/>
  <c r="N336" i="6"/>
  <c r="N337" i="6"/>
  <c r="N338" i="6"/>
  <c r="N339" i="6"/>
  <c r="N340" i="6"/>
  <c r="N341" i="6"/>
  <c r="N342" i="6"/>
  <c r="N343" i="6"/>
  <c r="N344" i="6"/>
  <c r="N345" i="6"/>
  <c r="N346" i="6"/>
  <c r="N347" i="6"/>
  <c r="N348" i="6"/>
  <c r="N349" i="6"/>
  <c r="N350" i="6"/>
  <c r="N351" i="6"/>
  <c r="N352" i="6"/>
  <c r="N353" i="6"/>
  <c r="N354" i="6"/>
  <c r="N355" i="6"/>
  <c r="N356" i="6"/>
  <c r="N357" i="6"/>
  <c r="N358" i="6"/>
  <c r="N359" i="6"/>
  <c r="N360" i="6"/>
  <c r="N361" i="6"/>
  <c r="N362" i="6"/>
  <c r="N363" i="6"/>
  <c r="N364" i="6"/>
  <c r="N365" i="6"/>
  <c r="N366" i="6"/>
  <c r="N367" i="6"/>
  <c r="N368" i="6"/>
  <c r="N369" i="6"/>
  <c r="N370" i="6"/>
  <c r="N371" i="6"/>
  <c r="N372" i="6"/>
  <c r="N373" i="6"/>
  <c r="N374" i="6"/>
  <c r="N375" i="6"/>
  <c r="N376" i="6"/>
  <c r="N377" i="6"/>
  <c r="N378" i="6"/>
  <c r="N379" i="6"/>
  <c r="N380" i="6"/>
  <c r="N381" i="6"/>
  <c r="N382" i="6"/>
  <c r="N383" i="6"/>
  <c r="N384" i="6"/>
  <c r="N385" i="6"/>
  <c r="N386" i="6"/>
  <c r="N387" i="6"/>
  <c r="N388" i="6"/>
  <c r="N389" i="6"/>
  <c r="N390" i="6"/>
  <c r="N391" i="6"/>
  <c r="N392" i="6"/>
  <c r="N393" i="6"/>
  <c r="N394" i="6"/>
  <c r="N395" i="6"/>
  <c r="N396" i="6"/>
  <c r="N397" i="6"/>
  <c r="N398" i="6"/>
  <c r="N399" i="6"/>
  <c r="N400" i="6"/>
  <c r="N401" i="6"/>
  <c r="N402" i="6"/>
  <c r="N403" i="6"/>
  <c r="N404" i="6"/>
  <c r="N405" i="6"/>
  <c r="N406" i="6"/>
  <c r="N407" i="6"/>
  <c r="N408" i="6"/>
  <c r="N409" i="6"/>
  <c r="N410" i="6"/>
  <c r="N411" i="6"/>
  <c r="N412" i="6"/>
  <c r="N413" i="6"/>
  <c r="N414" i="6"/>
  <c r="N415" i="6"/>
  <c r="N416" i="6"/>
  <c r="N417" i="6"/>
  <c r="N418" i="6"/>
  <c r="N419" i="6"/>
  <c r="N420" i="6"/>
  <c r="N421" i="6"/>
  <c r="N422" i="6"/>
  <c r="N423" i="6"/>
  <c r="N424" i="6"/>
  <c r="N425" i="6"/>
  <c r="N426" i="6"/>
  <c r="N427" i="6"/>
  <c r="N428" i="6"/>
  <c r="N429" i="6"/>
  <c r="N430" i="6"/>
  <c r="N431" i="6"/>
  <c r="N432" i="6"/>
  <c r="N433" i="6"/>
  <c r="N434" i="6"/>
  <c r="N435" i="6"/>
  <c r="N436" i="6"/>
  <c r="N437" i="6"/>
  <c r="N438" i="6"/>
  <c r="N439" i="6"/>
  <c r="N440" i="6"/>
  <c r="N441" i="6"/>
  <c r="N442" i="6"/>
  <c r="N443" i="6"/>
  <c r="N444" i="6"/>
  <c r="N445" i="6"/>
  <c r="N446" i="6"/>
  <c r="N447" i="6"/>
  <c r="N448" i="6"/>
  <c r="N449" i="6"/>
  <c r="N450" i="6"/>
  <c r="N451" i="6"/>
  <c r="N452" i="6"/>
  <c r="N453" i="6"/>
  <c r="N454" i="6"/>
  <c r="N455" i="6"/>
  <c r="N456" i="6"/>
  <c r="N457" i="6"/>
  <c r="N458" i="6"/>
  <c r="N459" i="6"/>
  <c r="N460" i="6"/>
  <c r="N461" i="6"/>
  <c r="N462" i="6"/>
  <c r="N463" i="6"/>
  <c r="N464" i="6"/>
  <c r="N465" i="6"/>
  <c r="N466" i="6"/>
  <c r="N467" i="6"/>
  <c r="N468" i="6"/>
  <c r="N469" i="6"/>
  <c r="N470" i="6"/>
  <c r="N471" i="6"/>
  <c r="N472" i="6"/>
  <c r="N473" i="6"/>
  <c r="N474" i="6"/>
  <c r="N475" i="6"/>
  <c r="N476" i="6"/>
  <c r="N477" i="6"/>
  <c r="N478" i="6"/>
  <c r="N479" i="6"/>
  <c r="N480" i="6"/>
  <c r="N481" i="6"/>
  <c r="N482" i="6"/>
  <c r="N483" i="6"/>
  <c r="N484" i="6"/>
  <c r="N485" i="6"/>
  <c r="N486" i="6"/>
  <c r="N487" i="6"/>
  <c r="N488" i="6"/>
  <c r="N489" i="6"/>
  <c r="N490" i="6"/>
  <c r="N491" i="6"/>
  <c r="N492" i="6"/>
  <c r="N493" i="6"/>
  <c r="N494" i="6"/>
  <c r="N495" i="6"/>
  <c r="N496" i="6"/>
  <c r="N497" i="6"/>
  <c r="N498" i="6"/>
  <c r="N499" i="6"/>
  <c r="N500" i="6"/>
  <c r="N501" i="6"/>
  <c r="N502" i="6"/>
  <c r="N503" i="6"/>
  <c r="N504" i="6"/>
  <c r="N505" i="6"/>
  <c r="N506" i="6"/>
  <c r="N507" i="6"/>
  <c r="N508" i="6"/>
  <c r="N509" i="6"/>
  <c r="N510" i="6"/>
  <c r="N511" i="6"/>
  <c r="N512" i="6"/>
  <c r="N513" i="6"/>
  <c r="N514" i="6"/>
  <c r="N515" i="6"/>
  <c r="N516" i="6"/>
  <c r="N517" i="6"/>
  <c r="N518" i="6"/>
  <c r="N519" i="6"/>
  <c r="N520" i="6"/>
  <c r="N521" i="6"/>
  <c r="N522" i="6"/>
  <c r="N523" i="6"/>
  <c r="N524" i="6"/>
  <c r="N525" i="6"/>
  <c r="N526" i="6"/>
  <c r="N527" i="6"/>
  <c r="N528" i="6"/>
  <c r="N529" i="6"/>
  <c r="N530" i="6"/>
  <c r="N531" i="6"/>
  <c r="N532" i="6"/>
  <c r="N533" i="6"/>
  <c r="N534" i="6"/>
  <c r="N535" i="6"/>
  <c r="N536" i="6"/>
  <c r="N537" i="6"/>
  <c r="N538" i="6"/>
  <c r="N539" i="6"/>
  <c r="N540" i="6"/>
  <c r="N541" i="6"/>
  <c r="N542" i="6"/>
  <c r="N543" i="6"/>
  <c r="N544" i="6"/>
  <c r="N545" i="6"/>
  <c r="N546" i="6"/>
  <c r="N547" i="6"/>
  <c r="N548" i="6"/>
  <c r="N549" i="6"/>
  <c r="N550" i="6"/>
  <c r="N551" i="6"/>
  <c r="N552" i="6"/>
  <c r="N553" i="6"/>
  <c r="N554" i="6"/>
  <c r="N555" i="6"/>
  <c r="N556" i="6"/>
  <c r="N557" i="6"/>
  <c r="N558" i="6"/>
  <c r="N559" i="6"/>
  <c r="N560" i="6"/>
  <c r="N561" i="6"/>
  <c r="N562" i="6"/>
  <c r="N563" i="6"/>
  <c r="N564" i="6"/>
  <c r="N565" i="6"/>
  <c r="N566" i="6"/>
  <c r="N567" i="6"/>
  <c r="N568" i="6"/>
  <c r="N569" i="6"/>
  <c r="N570" i="6"/>
  <c r="N571" i="6"/>
  <c r="N572" i="6"/>
  <c r="N573" i="6"/>
  <c r="N574" i="6"/>
  <c r="N575" i="6"/>
  <c r="N576" i="6"/>
  <c r="N577" i="6"/>
  <c r="N578" i="6"/>
  <c r="N579" i="6"/>
  <c r="N580" i="6"/>
  <c r="N581" i="6"/>
  <c r="N582" i="6"/>
  <c r="N583" i="6"/>
  <c r="N584" i="6"/>
  <c r="N585" i="6"/>
  <c r="N586" i="6"/>
  <c r="N587" i="6"/>
  <c r="N588" i="6"/>
  <c r="N589" i="6"/>
  <c r="N590" i="6"/>
  <c r="N591" i="6"/>
  <c r="N592" i="6"/>
  <c r="N593" i="6"/>
  <c r="N594" i="6"/>
  <c r="N595" i="6"/>
  <c r="N596" i="6"/>
  <c r="N597" i="6"/>
  <c r="N598" i="6"/>
  <c r="N599" i="6"/>
  <c r="N600" i="6"/>
  <c r="N601" i="6"/>
  <c r="N602" i="6"/>
  <c r="N603" i="6"/>
  <c r="N604" i="6"/>
  <c r="N605" i="6"/>
  <c r="N606" i="6"/>
  <c r="N607" i="6"/>
  <c r="N608" i="6"/>
  <c r="N609" i="6"/>
  <c r="N610" i="6"/>
  <c r="N611" i="6"/>
  <c r="N612" i="6"/>
  <c r="N613" i="6"/>
  <c r="N614" i="6"/>
  <c r="N615" i="6"/>
  <c r="N616" i="6"/>
  <c r="N617" i="6"/>
  <c r="N618" i="6"/>
  <c r="N619" i="6"/>
  <c r="N620" i="6"/>
  <c r="N621" i="6"/>
  <c r="N622" i="6"/>
  <c r="N623" i="6"/>
  <c r="N624" i="6"/>
  <c r="N625" i="6"/>
  <c r="N626" i="6"/>
  <c r="N627" i="6"/>
  <c r="N628" i="6"/>
  <c r="N629" i="6"/>
  <c r="N630" i="6"/>
  <c r="N631" i="6"/>
  <c r="N632" i="6"/>
  <c r="N633" i="6"/>
  <c r="N634" i="6"/>
  <c r="N635" i="6"/>
  <c r="N636" i="6"/>
  <c r="N637" i="6"/>
  <c r="N638" i="6"/>
  <c r="N639" i="6"/>
  <c r="N640" i="6"/>
  <c r="N641" i="6"/>
  <c r="N642" i="6"/>
  <c r="N643" i="6"/>
  <c r="N644" i="6"/>
  <c r="N645" i="6"/>
  <c r="N646" i="6"/>
  <c r="N647" i="6"/>
  <c r="N648" i="6"/>
  <c r="N649" i="6"/>
  <c r="N650" i="6"/>
  <c r="N651" i="6"/>
  <c r="N652" i="6"/>
  <c r="N653" i="6"/>
  <c r="N654" i="6"/>
  <c r="N655" i="6"/>
  <c r="N656" i="6"/>
  <c r="N657" i="6"/>
  <c r="N658" i="6"/>
  <c r="N659" i="6"/>
  <c r="N660" i="6"/>
  <c r="N661" i="6"/>
  <c r="N662" i="6"/>
  <c r="N663" i="6"/>
  <c r="N664" i="6"/>
  <c r="N665" i="6"/>
  <c r="N666" i="6"/>
  <c r="N667" i="6"/>
  <c r="N668" i="6"/>
  <c r="N669" i="6"/>
  <c r="N670" i="6"/>
  <c r="N671" i="6"/>
  <c r="N672" i="6"/>
  <c r="N673" i="6"/>
  <c r="N674" i="6"/>
  <c r="N675" i="6"/>
  <c r="N676" i="6"/>
  <c r="N677" i="6"/>
  <c r="N678" i="6"/>
  <c r="N679" i="6"/>
  <c r="N680" i="6"/>
  <c r="N681" i="6"/>
  <c r="N682" i="6"/>
  <c r="N683" i="6"/>
  <c r="N684" i="6"/>
  <c r="N685" i="6"/>
  <c r="N686" i="6"/>
  <c r="N687" i="6"/>
  <c r="N688" i="6"/>
  <c r="N689" i="6"/>
  <c r="N690" i="6"/>
  <c r="N691" i="6"/>
  <c r="N692" i="6"/>
  <c r="N693" i="6"/>
  <c r="N694" i="6"/>
  <c r="N695" i="6"/>
  <c r="N696" i="6"/>
  <c r="N697" i="6"/>
  <c r="N698" i="6"/>
  <c r="N699" i="6"/>
  <c r="N700" i="6"/>
  <c r="N701" i="6"/>
  <c r="N702" i="6"/>
  <c r="N703" i="6"/>
  <c r="N704" i="6"/>
  <c r="N705" i="6"/>
  <c r="N706" i="6"/>
  <c r="N707" i="6"/>
  <c r="N708" i="6"/>
  <c r="N709" i="6"/>
  <c r="N710" i="6"/>
  <c r="N711" i="6"/>
  <c r="N712" i="6"/>
  <c r="N713" i="6"/>
  <c r="N714" i="6"/>
  <c r="N715" i="6"/>
  <c r="N716" i="6"/>
  <c r="N717" i="6"/>
  <c r="N718" i="6"/>
  <c r="N719" i="6"/>
  <c r="N720" i="6"/>
  <c r="N721" i="6"/>
  <c r="N722" i="6"/>
  <c r="N723" i="6"/>
  <c r="N724" i="6"/>
  <c r="N725" i="6"/>
  <c r="N726" i="6"/>
  <c r="N727" i="6"/>
  <c r="N728" i="6"/>
  <c r="N729" i="6"/>
  <c r="N730" i="6"/>
  <c r="N731" i="6"/>
  <c r="N732" i="6"/>
  <c r="N733" i="6"/>
  <c r="N734" i="6"/>
  <c r="N735" i="6"/>
  <c r="N736" i="6"/>
  <c r="N737" i="6"/>
  <c r="N738" i="6"/>
  <c r="N739" i="6"/>
  <c r="N740" i="6"/>
  <c r="N741" i="6"/>
  <c r="N742" i="6"/>
  <c r="N743" i="6"/>
  <c r="N744" i="6"/>
  <c r="N745" i="6"/>
  <c r="N746" i="6"/>
  <c r="N747" i="6"/>
  <c r="N748" i="6"/>
  <c r="N749" i="6"/>
  <c r="N750" i="6"/>
  <c r="N751" i="6"/>
  <c r="N752" i="6"/>
  <c r="N753" i="6"/>
  <c r="N754" i="6"/>
  <c r="N755" i="6"/>
  <c r="N756" i="6"/>
  <c r="N757" i="6"/>
  <c r="N758" i="6"/>
  <c r="N759" i="6"/>
  <c r="N760" i="6"/>
  <c r="N761" i="6"/>
  <c r="N762" i="6"/>
  <c r="N763" i="6"/>
  <c r="N764" i="6"/>
  <c r="N765" i="6"/>
  <c r="N766" i="6"/>
  <c r="N767" i="6"/>
  <c r="N768" i="6"/>
  <c r="N769" i="6"/>
  <c r="N770" i="6"/>
  <c r="N771" i="6"/>
  <c r="N772" i="6"/>
  <c r="N773" i="6"/>
  <c r="N774" i="6"/>
  <c r="N775" i="6"/>
  <c r="N776" i="6"/>
  <c r="N777" i="6"/>
  <c r="N778" i="6"/>
  <c r="N779" i="6"/>
  <c r="N780" i="6"/>
  <c r="N781" i="6"/>
  <c r="N782" i="6"/>
  <c r="N783" i="6"/>
  <c r="N784" i="6"/>
  <c r="N785" i="6"/>
  <c r="N786" i="6"/>
  <c r="N787" i="6"/>
  <c r="N788" i="6"/>
  <c r="N789" i="6"/>
  <c r="N790" i="6"/>
  <c r="N791" i="6"/>
  <c r="N792" i="6"/>
  <c r="N793" i="6"/>
  <c r="N794" i="6"/>
  <c r="N795" i="6"/>
  <c r="N796" i="6"/>
  <c r="N797" i="6"/>
  <c r="N798" i="6"/>
  <c r="N799" i="6"/>
  <c r="N800" i="6"/>
  <c r="N801" i="6"/>
  <c r="N802" i="6"/>
  <c r="N803" i="6"/>
  <c r="N804" i="6"/>
  <c r="N805" i="6"/>
  <c r="N806" i="6"/>
  <c r="N807" i="6"/>
  <c r="N808" i="6"/>
  <c r="N809" i="6"/>
  <c r="N810" i="6"/>
  <c r="N811" i="6"/>
  <c r="N812" i="6"/>
  <c r="N813" i="6"/>
  <c r="N814" i="6"/>
  <c r="N815" i="6"/>
  <c r="N816" i="6"/>
  <c r="N817" i="6"/>
  <c r="N818" i="6"/>
  <c r="N819" i="6"/>
  <c r="N820" i="6"/>
  <c r="N821" i="6"/>
  <c r="N822" i="6"/>
  <c r="N823" i="6"/>
  <c r="N824" i="6"/>
  <c r="N825" i="6"/>
  <c r="N826" i="6"/>
  <c r="N827" i="6"/>
  <c r="N828" i="6"/>
  <c r="N829" i="6"/>
  <c r="N830" i="6"/>
  <c r="N831" i="6"/>
  <c r="N832" i="6"/>
  <c r="N833" i="6"/>
  <c r="N834" i="6"/>
  <c r="N835" i="6"/>
  <c r="N836" i="6"/>
  <c r="N837" i="6"/>
  <c r="N838" i="6"/>
  <c r="N839" i="6"/>
  <c r="N840" i="6"/>
  <c r="N841" i="6"/>
  <c r="N842" i="6"/>
  <c r="N843" i="6"/>
  <c r="N844" i="6"/>
  <c r="N845" i="6"/>
  <c r="N846" i="6"/>
  <c r="N847" i="6"/>
  <c r="N848" i="6"/>
  <c r="N849" i="6"/>
  <c r="N850" i="6"/>
  <c r="N851" i="6"/>
  <c r="N852" i="6"/>
  <c r="N853" i="6"/>
  <c r="N854" i="6"/>
  <c r="N855" i="6"/>
  <c r="N856" i="6"/>
  <c r="N857" i="6"/>
  <c r="N858" i="6"/>
  <c r="N859" i="6"/>
  <c r="N860" i="6"/>
  <c r="N861" i="6"/>
  <c r="N862" i="6"/>
  <c r="N863" i="6"/>
  <c r="N864" i="6"/>
  <c r="N865" i="6"/>
  <c r="N866" i="6"/>
  <c r="N867" i="6"/>
  <c r="N868" i="6"/>
  <c r="N869" i="6"/>
  <c r="N870" i="6"/>
  <c r="N871" i="6"/>
  <c r="N872" i="6"/>
  <c r="N873" i="6"/>
  <c r="N874" i="6"/>
  <c r="N875" i="6"/>
  <c r="N876" i="6"/>
  <c r="N877" i="6"/>
  <c r="N878" i="6"/>
  <c r="N879" i="6"/>
  <c r="N880" i="6"/>
  <c r="N881" i="6"/>
  <c r="N882" i="6"/>
  <c r="N883" i="6"/>
  <c r="N884" i="6"/>
  <c r="N885" i="6"/>
  <c r="N886" i="6"/>
  <c r="N887" i="6"/>
  <c r="N888" i="6"/>
  <c r="N889" i="6"/>
  <c r="N890" i="6"/>
  <c r="N891" i="6"/>
  <c r="N892" i="6"/>
  <c r="N893" i="6"/>
  <c r="N894" i="6"/>
  <c r="N895" i="6"/>
  <c r="N896" i="6"/>
  <c r="N897" i="6"/>
  <c r="N898" i="6"/>
  <c r="N899" i="6"/>
  <c r="N900" i="6"/>
  <c r="N901" i="6"/>
  <c r="N902" i="6"/>
  <c r="N903" i="6"/>
  <c r="N904" i="6"/>
  <c r="N905" i="6"/>
  <c r="N906" i="6"/>
  <c r="N907" i="6"/>
  <c r="N908" i="6"/>
  <c r="N909" i="6"/>
  <c r="N910" i="6"/>
  <c r="N911" i="6"/>
  <c r="N912" i="6"/>
  <c r="N913" i="6"/>
  <c r="N914" i="6"/>
  <c r="N915" i="6"/>
  <c r="N916" i="6"/>
  <c r="N917" i="6"/>
  <c r="N918" i="6"/>
  <c r="N919" i="6"/>
  <c r="N920" i="6"/>
  <c r="N921" i="6"/>
  <c r="N922" i="6"/>
  <c r="N923" i="6"/>
  <c r="N924" i="6"/>
  <c r="N925" i="6"/>
  <c r="N926" i="6"/>
  <c r="N927" i="6"/>
  <c r="N928" i="6"/>
  <c r="N929" i="6"/>
  <c r="N930" i="6"/>
  <c r="N931" i="6"/>
  <c r="N932" i="6"/>
  <c r="N933" i="6"/>
  <c r="N934" i="6"/>
  <c r="N935" i="6"/>
  <c r="N936" i="6"/>
  <c r="N937" i="6"/>
  <c r="N938" i="6"/>
  <c r="N939" i="6"/>
  <c r="N940" i="6"/>
  <c r="N941" i="6"/>
  <c r="N942" i="6"/>
  <c r="N943" i="6"/>
  <c r="N944" i="6"/>
  <c r="N945" i="6"/>
  <c r="N946" i="6"/>
  <c r="N947" i="6"/>
  <c r="N948" i="6"/>
  <c r="N949" i="6"/>
  <c r="N950" i="6"/>
  <c r="N951" i="6"/>
  <c r="N952" i="6"/>
  <c r="N953" i="6"/>
  <c r="N954" i="6"/>
  <c r="N955" i="6"/>
  <c r="N956" i="6"/>
  <c r="N957" i="6"/>
  <c r="N958" i="6"/>
  <c r="N959" i="6"/>
  <c r="N960" i="6"/>
  <c r="N961" i="6"/>
  <c r="N962" i="6"/>
  <c r="N963" i="6"/>
  <c r="N964" i="6"/>
  <c r="N965" i="6"/>
  <c r="N966" i="6"/>
  <c r="N967" i="6"/>
  <c r="N968" i="6"/>
  <c r="N969" i="6"/>
  <c r="N970" i="6"/>
  <c r="N971" i="6"/>
  <c r="N972" i="6"/>
  <c r="N973" i="6"/>
  <c r="N974" i="6"/>
  <c r="N975" i="6"/>
  <c r="N976" i="6"/>
  <c r="N977" i="6"/>
  <c r="N978" i="6"/>
  <c r="N979" i="6"/>
  <c r="N980" i="6"/>
  <c r="N981" i="6"/>
  <c r="N982" i="6"/>
  <c r="N983" i="6"/>
  <c r="N984" i="6"/>
  <c r="N985" i="6"/>
  <c r="N986" i="6"/>
  <c r="N987" i="6"/>
  <c r="N988" i="6"/>
  <c r="N989" i="6"/>
  <c r="N990" i="6"/>
  <c r="N991" i="6"/>
  <c r="N992" i="6"/>
  <c r="N993" i="6"/>
  <c r="N994" i="6"/>
  <c r="N995" i="6"/>
  <c r="N996" i="6"/>
  <c r="N997" i="6"/>
  <c r="N998" i="6"/>
  <c r="N999" i="6"/>
  <c r="N1000" i="6"/>
  <c r="N1001" i="6"/>
  <c r="N1002" i="6"/>
  <c r="N1003" i="6"/>
  <c r="N1004" i="6"/>
  <c r="N1005" i="6"/>
  <c r="N1006" i="6"/>
  <c r="N1007" i="6"/>
  <c r="N1008" i="6"/>
  <c r="N1009" i="6"/>
  <c r="N1010" i="6"/>
  <c r="N1011" i="6"/>
  <c r="N1012" i="6"/>
  <c r="N1013" i="6"/>
  <c r="N1014" i="6"/>
  <c r="N1015" i="6"/>
  <c r="N1016" i="6"/>
  <c r="N1017" i="6"/>
  <c r="N1018" i="6"/>
  <c r="N1019" i="6"/>
  <c r="N1020" i="6"/>
  <c r="N1021" i="6"/>
  <c r="N1022" i="6"/>
  <c r="N1023" i="6"/>
  <c r="N1024" i="6"/>
  <c r="N1025" i="6"/>
  <c r="N1026" i="6"/>
  <c r="N1027" i="6"/>
  <c r="N1028" i="6"/>
  <c r="N1029" i="6"/>
  <c r="N1030" i="6"/>
  <c r="N1031" i="6"/>
  <c r="N1032" i="6"/>
  <c r="N1033" i="6"/>
  <c r="N1034" i="6"/>
  <c r="N1035" i="6"/>
  <c r="N1036" i="6"/>
  <c r="N1037" i="6"/>
  <c r="N1038" i="6"/>
  <c r="N1039" i="6"/>
  <c r="N1040" i="6"/>
  <c r="N1041" i="6"/>
  <c r="N1042" i="6"/>
  <c r="N1043" i="6"/>
  <c r="N1044" i="6"/>
  <c r="N1045" i="6"/>
  <c r="N1046" i="6"/>
  <c r="N1047" i="6"/>
  <c r="N1048" i="6"/>
  <c r="N1049" i="6"/>
  <c r="N1050" i="6"/>
  <c r="N1051" i="6"/>
  <c r="N1052" i="6"/>
  <c r="N1053" i="6"/>
  <c r="N1054" i="6"/>
  <c r="N1055" i="6"/>
  <c r="N1056" i="6"/>
  <c r="N1057" i="6"/>
  <c r="N1058" i="6"/>
  <c r="N1059" i="6"/>
  <c r="N1060" i="6"/>
  <c r="N1061" i="6"/>
  <c r="N1062" i="6"/>
  <c r="N1063" i="6"/>
  <c r="N1064" i="6"/>
  <c r="N1065" i="6"/>
  <c r="N1066" i="6"/>
  <c r="N1067" i="6"/>
  <c r="N1068" i="6"/>
  <c r="N1069" i="6"/>
  <c r="N1070" i="6"/>
  <c r="N1071" i="6"/>
  <c r="N1072" i="6"/>
  <c r="N1073" i="6"/>
  <c r="N1074" i="6"/>
  <c r="N1075" i="6"/>
  <c r="N1076" i="6"/>
  <c r="N1077" i="6"/>
  <c r="N1078" i="6"/>
  <c r="N1079" i="6"/>
  <c r="N1080" i="6"/>
  <c r="N1081" i="6"/>
  <c r="N1082" i="6"/>
  <c r="N1083" i="6"/>
  <c r="N1084" i="6"/>
  <c r="N1085" i="6"/>
  <c r="N1086" i="6"/>
  <c r="N1087" i="6"/>
  <c r="N1088" i="6"/>
  <c r="N1089" i="6"/>
  <c r="N1090" i="6"/>
  <c r="N1091" i="6"/>
  <c r="N1092" i="6"/>
  <c r="N1093" i="6"/>
  <c r="N1094" i="6"/>
  <c r="N1095" i="6"/>
  <c r="N1096" i="6"/>
  <c r="N1097" i="6"/>
  <c r="N1098" i="6"/>
  <c r="N1099" i="6"/>
  <c r="N1100" i="6"/>
  <c r="N1101" i="6"/>
  <c r="N1102" i="6"/>
  <c r="N1103" i="6"/>
  <c r="N1104" i="6"/>
  <c r="N1105" i="6"/>
  <c r="N1106" i="6"/>
  <c r="N1107" i="6"/>
  <c r="N1108" i="6"/>
  <c r="N1109" i="6"/>
  <c r="N1110" i="6"/>
  <c r="N1111" i="6"/>
  <c r="N1112" i="6"/>
  <c r="N1113" i="6"/>
  <c r="N1114" i="6"/>
  <c r="N1115" i="6"/>
  <c r="N1116" i="6"/>
  <c r="N1117" i="6"/>
  <c r="N1118" i="6"/>
  <c r="N1119" i="6"/>
  <c r="N1120" i="6"/>
  <c r="N1121" i="6"/>
  <c r="N1122" i="6"/>
  <c r="N1123" i="6"/>
  <c r="N1124" i="6"/>
  <c r="N1125" i="6"/>
  <c r="N1126" i="6"/>
  <c r="N1127" i="6"/>
  <c r="N1128" i="6"/>
  <c r="N1129" i="6"/>
  <c r="N1130" i="6"/>
  <c r="N1131" i="6"/>
  <c r="N1132" i="6"/>
  <c r="N1133" i="6"/>
  <c r="N1134" i="6"/>
  <c r="N1135" i="6"/>
  <c r="N1136" i="6"/>
  <c r="N1137" i="6"/>
  <c r="N1138" i="6"/>
  <c r="N1139" i="6"/>
  <c r="N1140" i="6"/>
  <c r="N1141" i="6"/>
  <c r="N1142" i="6"/>
  <c r="N1143" i="6"/>
  <c r="N1144" i="6"/>
  <c r="N1145" i="6"/>
  <c r="N1146" i="6"/>
  <c r="N1147" i="6"/>
  <c r="N1148" i="6"/>
  <c r="N1149" i="6"/>
  <c r="N1150" i="6"/>
  <c r="N1151" i="6"/>
  <c r="N1152" i="6"/>
  <c r="N1153" i="6"/>
  <c r="N1154" i="6"/>
  <c r="N1155" i="6"/>
  <c r="N1156" i="6"/>
  <c r="N1157" i="6"/>
  <c r="N1158" i="6"/>
  <c r="N1159" i="6"/>
  <c r="N1160" i="6"/>
  <c r="N1161" i="6"/>
  <c r="N1162" i="6"/>
  <c r="N1163" i="6"/>
  <c r="N1164" i="6"/>
  <c r="N1165" i="6"/>
  <c r="N1166" i="6"/>
  <c r="N1167" i="6"/>
  <c r="N1168" i="6"/>
  <c r="N1169" i="6"/>
  <c r="N1170" i="6"/>
  <c r="N1171" i="6"/>
  <c r="N1172" i="6"/>
  <c r="N1173" i="6"/>
  <c r="N1174" i="6"/>
  <c r="N1175" i="6"/>
  <c r="N1176" i="6"/>
  <c r="N1177" i="6"/>
  <c r="N1178" i="6"/>
  <c r="N1179" i="6"/>
  <c r="N1180" i="6"/>
  <c r="N1181" i="6"/>
  <c r="N1182" i="6"/>
  <c r="N1183" i="6"/>
  <c r="N1184" i="6"/>
  <c r="N1185" i="6"/>
  <c r="N1186" i="6"/>
  <c r="N1187" i="6"/>
  <c r="N1188" i="6"/>
  <c r="N1189" i="6"/>
  <c r="N1190" i="6"/>
  <c r="N1191" i="6"/>
  <c r="N1192" i="6"/>
  <c r="N1193" i="6"/>
  <c r="N1194" i="6"/>
  <c r="N1195" i="6"/>
  <c r="N1196" i="6"/>
  <c r="N1197" i="6"/>
  <c r="N1198" i="6"/>
  <c r="N1199" i="6"/>
  <c r="N1200" i="6"/>
  <c r="N1201" i="6"/>
  <c r="N1202" i="6"/>
  <c r="N1203" i="6"/>
  <c r="N1204" i="6"/>
  <c r="N1205" i="6"/>
  <c r="N1206" i="6"/>
  <c r="N1207" i="6"/>
  <c r="N1208" i="6"/>
  <c r="N1209" i="6"/>
  <c r="N1210" i="6"/>
  <c r="N1211" i="6"/>
  <c r="N1212" i="6"/>
  <c r="N1213" i="6"/>
  <c r="N1214" i="6"/>
  <c r="N1215" i="6"/>
  <c r="N1216" i="6"/>
  <c r="N1217" i="6"/>
  <c r="N1218" i="6"/>
  <c r="N1219" i="6"/>
  <c r="N1220" i="6"/>
  <c r="N1221" i="6"/>
  <c r="N1222" i="6"/>
  <c r="N1223" i="6"/>
  <c r="N1224" i="6"/>
  <c r="N1225" i="6"/>
  <c r="N1226" i="6"/>
  <c r="N1227" i="6"/>
  <c r="N1228" i="6"/>
  <c r="N1229" i="6"/>
  <c r="N1230" i="6"/>
  <c r="N1231" i="6"/>
  <c r="N1232" i="6"/>
  <c r="N1233" i="6"/>
  <c r="N1234" i="6"/>
  <c r="N1235" i="6"/>
  <c r="N1236" i="6"/>
  <c r="N1237" i="6"/>
  <c r="N1238" i="6"/>
  <c r="N1239" i="6"/>
  <c r="N1240" i="6"/>
  <c r="N1241" i="6"/>
  <c r="N1242" i="6"/>
  <c r="N1243" i="6"/>
  <c r="N1244" i="6"/>
  <c r="N1245" i="6"/>
  <c r="N1246" i="6"/>
  <c r="N1247" i="6"/>
  <c r="N1248" i="6"/>
  <c r="N1249" i="6"/>
  <c r="N1250" i="6"/>
  <c r="N1251" i="6"/>
  <c r="N1252" i="6"/>
  <c r="N1253" i="6"/>
  <c r="N1254" i="6"/>
  <c r="N1255" i="6"/>
  <c r="N1256" i="6"/>
  <c r="N1257" i="6"/>
  <c r="N1258" i="6"/>
  <c r="N1259" i="6"/>
  <c r="N1260" i="6"/>
  <c r="N1261" i="6"/>
  <c r="N1262" i="6"/>
  <c r="N1263" i="6"/>
  <c r="N1264" i="6"/>
  <c r="N1265" i="6"/>
  <c r="N1266" i="6"/>
  <c r="N1267" i="6"/>
  <c r="N1268" i="6"/>
  <c r="N1269" i="6"/>
  <c r="N1270" i="6"/>
  <c r="N1271" i="6"/>
  <c r="N1272" i="6"/>
  <c r="N1273" i="6"/>
  <c r="N1274" i="6"/>
  <c r="N1275" i="6"/>
  <c r="N1276" i="6"/>
  <c r="N1277" i="6"/>
  <c r="N1278" i="6"/>
  <c r="N1279" i="6"/>
  <c r="N1280" i="6"/>
  <c r="N1281" i="6"/>
  <c r="N1282" i="6"/>
  <c r="N1283" i="6"/>
  <c r="N1284" i="6"/>
  <c r="N1285" i="6"/>
  <c r="N1286" i="6"/>
  <c r="N1287" i="6"/>
  <c r="N1288" i="6"/>
  <c r="N1289" i="6"/>
  <c r="N1290" i="6"/>
  <c r="N1291" i="6"/>
  <c r="N1292" i="6"/>
  <c r="N1293" i="6"/>
  <c r="N1294" i="6"/>
  <c r="N1295" i="6"/>
  <c r="N1296" i="6"/>
  <c r="N1297" i="6"/>
  <c r="N1298" i="6"/>
  <c r="N1299" i="6"/>
  <c r="N1300" i="6"/>
  <c r="N1301" i="6"/>
  <c r="N1302" i="6"/>
  <c r="N1303" i="6"/>
  <c r="N1304" i="6"/>
  <c r="N1305" i="6"/>
  <c r="N1306" i="6"/>
  <c r="N1307" i="6"/>
  <c r="N1308" i="6"/>
  <c r="N1309" i="6"/>
  <c r="N1310" i="6"/>
  <c r="N1311" i="6"/>
  <c r="N1312" i="6"/>
  <c r="N1313" i="6"/>
  <c r="N1314" i="6"/>
  <c r="N1315" i="6"/>
  <c r="N1316" i="6"/>
  <c r="N1317" i="6"/>
  <c r="N1318" i="6"/>
  <c r="N1319" i="6"/>
  <c r="N1320" i="6"/>
  <c r="N1321" i="6"/>
  <c r="N1322" i="6"/>
  <c r="N1323" i="6"/>
  <c r="N1324" i="6"/>
  <c r="N1325" i="6"/>
  <c r="N1326" i="6"/>
  <c r="N1327" i="6"/>
  <c r="N1328" i="6"/>
  <c r="N1329" i="6"/>
  <c r="N1330" i="6"/>
  <c r="N1331" i="6"/>
  <c r="N1332" i="6"/>
  <c r="N1333" i="6"/>
  <c r="N1334" i="6"/>
  <c r="N1335" i="6"/>
  <c r="N1336" i="6"/>
  <c r="N1337" i="6"/>
  <c r="N1338" i="6"/>
  <c r="N1339" i="6"/>
  <c r="N1340" i="6"/>
  <c r="N1341" i="6"/>
  <c r="N1342" i="6"/>
  <c r="N1343" i="6"/>
  <c r="N1344" i="6"/>
  <c r="N1345" i="6"/>
  <c r="N1346" i="6"/>
  <c r="N1347" i="6"/>
  <c r="N1348" i="6"/>
  <c r="N1349" i="6"/>
  <c r="N1350" i="6"/>
  <c r="N1351" i="6"/>
  <c r="N1352" i="6"/>
  <c r="N1353" i="6"/>
  <c r="N1354" i="6"/>
  <c r="N1355" i="6"/>
  <c r="N1356" i="6"/>
  <c r="N1357" i="6"/>
  <c r="N1358" i="6"/>
  <c r="N1359" i="6"/>
  <c r="N1360" i="6"/>
  <c r="N1361" i="6"/>
  <c r="N1362" i="6"/>
  <c r="N1363" i="6"/>
  <c r="N1364" i="6"/>
  <c r="N1365" i="6"/>
  <c r="N1366" i="6"/>
  <c r="N1367" i="6"/>
  <c r="N1368" i="6"/>
  <c r="N1369" i="6"/>
  <c r="N1370" i="6"/>
  <c r="N1371" i="6"/>
  <c r="N1372" i="6"/>
  <c r="N1373" i="6"/>
  <c r="N1374" i="6"/>
  <c r="N1375" i="6"/>
  <c r="N1376" i="6"/>
  <c r="N1377" i="6"/>
  <c r="N1378" i="6"/>
  <c r="N1379" i="6"/>
  <c r="N1380" i="6"/>
  <c r="N1381" i="6"/>
  <c r="N1382" i="6"/>
  <c r="N1383" i="6"/>
  <c r="N1384" i="6"/>
  <c r="N1385" i="6"/>
  <c r="N1386" i="6"/>
  <c r="N1387" i="6"/>
  <c r="N1388" i="6"/>
  <c r="N1389" i="6"/>
  <c r="N1390" i="6"/>
  <c r="N1391" i="6"/>
  <c r="N1392" i="6"/>
  <c r="N1393" i="6"/>
  <c r="N1394" i="6"/>
  <c r="N1395" i="6"/>
  <c r="N1396" i="6"/>
  <c r="N1397" i="6"/>
  <c r="N1398" i="6"/>
  <c r="N1399" i="6"/>
  <c r="N1400" i="6"/>
  <c r="N1401" i="6"/>
  <c r="N1402" i="6"/>
  <c r="N1403" i="6"/>
  <c r="N1404" i="6"/>
  <c r="N1405" i="6"/>
  <c r="N1406" i="6"/>
  <c r="N1407" i="6"/>
  <c r="N1408" i="6"/>
  <c r="N1409" i="6"/>
  <c r="N1410" i="6"/>
  <c r="N1411" i="6"/>
  <c r="N1412" i="6"/>
  <c r="N1413" i="6"/>
  <c r="N1414" i="6"/>
  <c r="N1415" i="6"/>
  <c r="N1416" i="6"/>
  <c r="N1417" i="6"/>
  <c r="N1418" i="6"/>
  <c r="N1419" i="6"/>
  <c r="N1420" i="6"/>
  <c r="N1421" i="6"/>
  <c r="N1422" i="6"/>
  <c r="N1423" i="6"/>
  <c r="N1424" i="6"/>
  <c r="N1425" i="6"/>
  <c r="N1426" i="6"/>
  <c r="N1427" i="6"/>
  <c r="N1428" i="6"/>
  <c r="N1429" i="6"/>
  <c r="N1430" i="6"/>
  <c r="N1431" i="6"/>
  <c r="N1432" i="6"/>
  <c r="N1433" i="6"/>
  <c r="N1434" i="6"/>
  <c r="N1435" i="6"/>
  <c r="N1436" i="6"/>
  <c r="N1437" i="6"/>
  <c r="N1438" i="6"/>
  <c r="N1439" i="6"/>
  <c r="N1440" i="6"/>
  <c r="N1441" i="6"/>
  <c r="N1442" i="6"/>
  <c r="N1443" i="6"/>
  <c r="N1444" i="6"/>
  <c r="N1445" i="6"/>
  <c r="N1446" i="6"/>
  <c r="N1447" i="6"/>
  <c r="N1448" i="6"/>
  <c r="N1449" i="6"/>
  <c r="N1450" i="6"/>
  <c r="N1451" i="6"/>
  <c r="N1452" i="6"/>
  <c r="N1453" i="6"/>
  <c r="N1454" i="6"/>
  <c r="N1455" i="6"/>
  <c r="N1456" i="6"/>
  <c r="N1457" i="6"/>
  <c r="N1458" i="6"/>
  <c r="N1459" i="6"/>
  <c r="N1460" i="6"/>
  <c r="N1461" i="6"/>
  <c r="N1462" i="6"/>
  <c r="N1463" i="6"/>
  <c r="N1464" i="6"/>
  <c r="N1465" i="6"/>
  <c r="N1466" i="6"/>
  <c r="N1467" i="6"/>
  <c r="N1468" i="6"/>
  <c r="N1469" i="6"/>
  <c r="N1470" i="6"/>
  <c r="N1471" i="6"/>
  <c r="N1472" i="6"/>
  <c r="N1473" i="6"/>
  <c r="N1474" i="6"/>
  <c r="N1475" i="6"/>
  <c r="N1476" i="6"/>
  <c r="N1477" i="6"/>
  <c r="N1478" i="6"/>
  <c r="N1479" i="6"/>
  <c r="N1480" i="6"/>
  <c r="N1481" i="6"/>
  <c r="N1482" i="6"/>
  <c r="N1483" i="6"/>
  <c r="N1484" i="6"/>
  <c r="N1485" i="6"/>
  <c r="N1486" i="6"/>
  <c r="N1487" i="6"/>
  <c r="N1488" i="6"/>
  <c r="N1489" i="6"/>
  <c r="N1490" i="6"/>
  <c r="N1491" i="6"/>
  <c r="N1492" i="6"/>
  <c r="N1493" i="6"/>
  <c r="N1494" i="6"/>
  <c r="N1495" i="6"/>
  <c r="N1496" i="6"/>
  <c r="N1497" i="6"/>
  <c r="N1498" i="6"/>
  <c r="N1499" i="6"/>
  <c r="N1500" i="6"/>
  <c r="N1501" i="6"/>
  <c r="N1502" i="6"/>
  <c r="N1503" i="6"/>
  <c r="N1504" i="6"/>
  <c r="N1505" i="6"/>
  <c r="N1506" i="6"/>
  <c r="N1507" i="6"/>
  <c r="N1508" i="6"/>
  <c r="N1509" i="6"/>
  <c r="N1510" i="6"/>
  <c r="N1511" i="6"/>
  <c r="N1512" i="6"/>
  <c r="N1513" i="6"/>
  <c r="N1514" i="6"/>
  <c r="N1515" i="6"/>
  <c r="N1516" i="6"/>
  <c r="N1517" i="6"/>
  <c r="N1518" i="6"/>
  <c r="N1519" i="6"/>
  <c r="N1520" i="6"/>
  <c r="N1521" i="6"/>
  <c r="N1522" i="6"/>
  <c r="N1523" i="6"/>
  <c r="N1524" i="6"/>
  <c r="N1525" i="6"/>
  <c r="N1526" i="6"/>
  <c r="N1527" i="6"/>
  <c r="N1528" i="6"/>
  <c r="N1529" i="6"/>
  <c r="N1530" i="6"/>
  <c r="N1531" i="6"/>
  <c r="N1532" i="6"/>
  <c r="N1533" i="6"/>
  <c r="N1534" i="6"/>
  <c r="N1535" i="6"/>
  <c r="N1536" i="6"/>
  <c r="N1537" i="6"/>
  <c r="N1538" i="6"/>
  <c r="N1539" i="6"/>
  <c r="N1540" i="6"/>
  <c r="N1541" i="6"/>
  <c r="N1542" i="6"/>
  <c r="N1543" i="6"/>
  <c r="N1544" i="6"/>
  <c r="N1545" i="6"/>
  <c r="N1546" i="6"/>
  <c r="N1547" i="6"/>
  <c r="N1548" i="6"/>
  <c r="N1549" i="6"/>
  <c r="N1550" i="6"/>
  <c r="N1551" i="6"/>
  <c r="N1552" i="6"/>
  <c r="N1553" i="6"/>
  <c r="N1554" i="6"/>
  <c r="N1555" i="6"/>
  <c r="N1556" i="6"/>
  <c r="N1557" i="6"/>
  <c r="N1558" i="6"/>
  <c r="N1559" i="6"/>
  <c r="N1560" i="6"/>
  <c r="N1561" i="6"/>
  <c r="N1562" i="6"/>
  <c r="N1563" i="6"/>
  <c r="N1564" i="6"/>
  <c r="N1565" i="6"/>
  <c r="N1566" i="6"/>
  <c r="N1567" i="6"/>
  <c r="N1568" i="6"/>
  <c r="N1569" i="6"/>
  <c r="N1570" i="6"/>
  <c r="N1571" i="6"/>
  <c r="N1572" i="6"/>
  <c r="N1573" i="6"/>
  <c r="N1574" i="6"/>
  <c r="N1575" i="6"/>
  <c r="N1576" i="6"/>
  <c r="N1577" i="6"/>
  <c r="N1578" i="6"/>
  <c r="N1579" i="6"/>
  <c r="N1580" i="6"/>
  <c r="N1581" i="6"/>
  <c r="N1582" i="6"/>
  <c r="N1583" i="6"/>
  <c r="N1584" i="6"/>
  <c r="N1585" i="6"/>
  <c r="N1586" i="6"/>
  <c r="N1587" i="6"/>
  <c r="N1588" i="6"/>
  <c r="N1589" i="6"/>
  <c r="N1590" i="6"/>
  <c r="N1591" i="6"/>
  <c r="N1592" i="6"/>
  <c r="N1593" i="6"/>
  <c r="N1594" i="6"/>
  <c r="N1595" i="6"/>
  <c r="N1596" i="6"/>
  <c r="N1597" i="6"/>
  <c r="N1598" i="6"/>
  <c r="N1599" i="6"/>
  <c r="N1600" i="6"/>
  <c r="N1601" i="6"/>
  <c r="N1602" i="6"/>
  <c r="N1603" i="6"/>
  <c r="N1604" i="6"/>
  <c r="N1605" i="6"/>
  <c r="N1606" i="6"/>
  <c r="N1607" i="6"/>
  <c r="N1608" i="6"/>
  <c r="N1609" i="6"/>
  <c r="N1610" i="6"/>
  <c r="N1611" i="6"/>
  <c r="N1612" i="6"/>
  <c r="N1613" i="6"/>
  <c r="N1614" i="6"/>
  <c r="N1615" i="6"/>
  <c r="N1616" i="6"/>
  <c r="N1617" i="6"/>
  <c r="N1618" i="6"/>
  <c r="N1619" i="6"/>
  <c r="N1620" i="6"/>
  <c r="N1621" i="6"/>
  <c r="N1622" i="6"/>
  <c r="N1623" i="6"/>
  <c r="N1624" i="6"/>
  <c r="N1625" i="6"/>
  <c r="N1626" i="6"/>
  <c r="N1627" i="6"/>
  <c r="N1628" i="6"/>
  <c r="N1629" i="6"/>
  <c r="N1630" i="6"/>
  <c r="N1631" i="6"/>
  <c r="N1632" i="6"/>
  <c r="N1633" i="6"/>
  <c r="N1634" i="6"/>
  <c r="N1635" i="6"/>
  <c r="N1636" i="6"/>
  <c r="N1637" i="6"/>
  <c r="N1638" i="6"/>
  <c r="N1639" i="6"/>
  <c r="N1640" i="6"/>
  <c r="N1641" i="6"/>
  <c r="N1642" i="6"/>
  <c r="N1643" i="6"/>
  <c r="N1644" i="6"/>
  <c r="N1645" i="6"/>
  <c r="N1646" i="6"/>
  <c r="N1647" i="6"/>
  <c r="N1648" i="6"/>
  <c r="N1649" i="6"/>
  <c r="N1650" i="6"/>
  <c r="N1651" i="6"/>
  <c r="N1652" i="6"/>
  <c r="N1653" i="6"/>
  <c r="N1654" i="6"/>
  <c r="N1655" i="6"/>
  <c r="N1656" i="6"/>
  <c r="N1657" i="6"/>
  <c r="N1658" i="6"/>
  <c r="N1659" i="6"/>
  <c r="N1660" i="6"/>
  <c r="N1661" i="6"/>
  <c r="N1662" i="6"/>
  <c r="N1663" i="6"/>
  <c r="N1664" i="6"/>
  <c r="N1665" i="6"/>
  <c r="N1666" i="6"/>
  <c r="N1667" i="6"/>
  <c r="N1668" i="6"/>
  <c r="N1669" i="6"/>
  <c r="N1670" i="6"/>
  <c r="N1671" i="6"/>
  <c r="N1672" i="6"/>
  <c r="N1673" i="6"/>
  <c r="N1674" i="6"/>
  <c r="N1675" i="6"/>
  <c r="N1676" i="6"/>
  <c r="N1677" i="6"/>
  <c r="N1678" i="6"/>
  <c r="N1679" i="6"/>
  <c r="N1680" i="6"/>
  <c r="N1681" i="6"/>
  <c r="N1682" i="6"/>
  <c r="N1683" i="6"/>
  <c r="N1684" i="6"/>
  <c r="N1685" i="6"/>
  <c r="N1686" i="6"/>
  <c r="N1687" i="6"/>
  <c r="N1688" i="6"/>
  <c r="N1689" i="6"/>
  <c r="N1690" i="6"/>
  <c r="N1691" i="6"/>
  <c r="N1692" i="6"/>
  <c r="N1693" i="6"/>
  <c r="N1694" i="6"/>
  <c r="N1695" i="6"/>
  <c r="N1696" i="6"/>
  <c r="N1697" i="6"/>
  <c r="N1698" i="6"/>
  <c r="N1699" i="6"/>
  <c r="N1700" i="6"/>
  <c r="N1701" i="6"/>
  <c r="N1702" i="6"/>
  <c r="N1703" i="6"/>
  <c r="N1704" i="6"/>
  <c r="N1705" i="6"/>
  <c r="N1706" i="6"/>
  <c r="N1707" i="6"/>
  <c r="N1708" i="6"/>
  <c r="N1709" i="6"/>
  <c r="N1710" i="6"/>
  <c r="N1711" i="6"/>
  <c r="N1712" i="6"/>
  <c r="N1713" i="6"/>
  <c r="N1714" i="6"/>
  <c r="N1715" i="6"/>
  <c r="N1716" i="6"/>
  <c r="N1717" i="6"/>
  <c r="N1718" i="6"/>
  <c r="N1719" i="6"/>
  <c r="N1720" i="6"/>
  <c r="N1721" i="6"/>
  <c r="N1722" i="6"/>
  <c r="N1723" i="6"/>
  <c r="N1724" i="6"/>
  <c r="N1725" i="6"/>
  <c r="N1726" i="6"/>
  <c r="N1727" i="6"/>
  <c r="N1728" i="6"/>
  <c r="N1729" i="6"/>
  <c r="N1730" i="6"/>
  <c r="N1731" i="6"/>
  <c r="N1732" i="6"/>
  <c r="N1733" i="6"/>
  <c r="N1734" i="6"/>
  <c r="N1735" i="6"/>
  <c r="N1736" i="6"/>
  <c r="N1737" i="6"/>
  <c r="N1738" i="6"/>
  <c r="N1739" i="6"/>
  <c r="N1740" i="6"/>
  <c r="N1741" i="6"/>
  <c r="N1742" i="6"/>
  <c r="N1743" i="6"/>
  <c r="N1744" i="6"/>
  <c r="N1745" i="6"/>
  <c r="N1746" i="6"/>
  <c r="N1747" i="6"/>
  <c r="N1748" i="6"/>
  <c r="N1749" i="6"/>
  <c r="N1750" i="6"/>
  <c r="N1751" i="6"/>
  <c r="N1752" i="6"/>
  <c r="N1753" i="6"/>
  <c r="N1754" i="6"/>
  <c r="N1755" i="6"/>
  <c r="N1756" i="6"/>
  <c r="N1757" i="6"/>
  <c r="N1758" i="6"/>
  <c r="N1759" i="6"/>
  <c r="N1760" i="6"/>
  <c r="N1761" i="6"/>
  <c r="N1762" i="6"/>
  <c r="N1763" i="6"/>
  <c r="N1764" i="6"/>
  <c r="N1765" i="6"/>
  <c r="N1766" i="6"/>
  <c r="N1767" i="6"/>
  <c r="N1768" i="6"/>
  <c r="N1769" i="6"/>
  <c r="N1770" i="6"/>
  <c r="N1771" i="6"/>
  <c r="N1772" i="6"/>
  <c r="N1773" i="6"/>
  <c r="N1774" i="6"/>
  <c r="N1775" i="6"/>
  <c r="N1776" i="6"/>
  <c r="N1777" i="6"/>
  <c r="N1778" i="6"/>
  <c r="N1779" i="6"/>
  <c r="N1780" i="6"/>
  <c r="N1781" i="6"/>
  <c r="N1782" i="6"/>
  <c r="N1783" i="6"/>
  <c r="N1784" i="6"/>
  <c r="N1785" i="6"/>
  <c r="N1786" i="6"/>
  <c r="N1787" i="6"/>
  <c r="N1788" i="6"/>
  <c r="N1789" i="6"/>
  <c r="N1790" i="6"/>
  <c r="N1791" i="6"/>
  <c r="N1792" i="6"/>
  <c r="N1793" i="6"/>
  <c r="N1794" i="6"/>
  <c r="N1795" i="6"/>
  <c r="N1796" i="6"/>
  <c r="N1797" i="6"/>
  <c r="N1798" i="6"/>
  <c r="N1799" i="6"/>
  <c r="N1800" i="6"/>
  <c r="N1801" i="6"/>
  <c r="N1802" i="6"/>
  <c r="N1803" i="6"/>
  <c r="N1804" i="6"/>
  <c r="N1805" i="6"/>
  <c r="N1806" i="6"/>
  <c r="N1807" i="6"/>
  <c r="N1808" i="6"/>
  <c r="N1809" i="6"/>
  <c r="N1810" i="6"/>
  <c r="N1811" i="6"/>
  <c r="N1812" i="6"/>
  <c r="N1813" i="6"/>
  <c r="N1814" i="6"/>
  <c r="N1815" i="6"/>
  <c r="N1816" i="6"/>
  <c r="N1817" i="6"/>
  <c r="N1818" i="6"/>
  <c r="N1819" i="6"/>
  <c r="N1820" i="6"/>
  <c r="N1821" i="6"/>
  <c r="N1822" i="6"/>
  <c r="N1823" i="6"/>
  <c r="N1824" i="6"/>
  <c r="N1825" i="6"/>
  <c r="N1826" i="6"/>
  <c r="N1827" i="6"/>
  <c r="N1828" i="6"/>
  <c r="N1829" i="6"/>
  <c r="N1830" i="6"/>
  <c r="N1831" i="6"/>
  <c r="N1832" i="6"/>
  <c r="N1833" i="6"/>
  <c r="N1834" i="6"/>
  <c r="N1835" i="6"/>
  <c r="N1836" i="6"/>
  <c r="N1837" i="6"/>
  <c r="N1838" i="6"/>
  <c r="N1839" i="6"/>
  <c r="N1840" i="6"/>
  <c r="N1841" i="6"/>
  <c r="N1842" i="6"/>
  <c r="N1843" i="6"/>
  <c r="N1844" i="6"/>
  <c r="N1845" i="6"/>
  <c r="N1846" i="6"/>
  <c r="N1847" i="6"/>
  <c r="N1848" i="6"/>
  <c r="N1849" i="6"/>
  <c r="N1850" i="6"/>
  <c r="N1851" i="6"/>
  <c r="N1852" i="6"/>
  <c r="N1853" i="6"/>
  <c r="N1854" i="6"/>
  <c r="N1855" i="6"/>
  <c r="N1856" i="6"/>
  <c r="N1857" i="6"/>
  <c r="N1858" i="6"/>
  <c r="N1859" i="6"/>
  <c r="N1860" i="6"/>
  <c r="N1861" i="6"/>
  <c r="N1862" i="6"/>
  <c r="N1863" i="6"/>
  <c r="N1864" i="6"/>
  <c r="N1865" i="6"/>
  <c r="N1866" i="6"/>
  <c r="N1867" i="6"/>
  <c r="N1868" i="6"/>
  <c r="N1869" i="6"/>
  <c r="N1870" i="6"/>
  <c r="N1871" i="6"/>
  <c r="N1872" i="6"/>
  <c r="N1873" i="6"/>
  <c r="N1874" i="6"/>
  <c r="N1875" i="6"/>
  <c r="N1876" i="6"/>
  <c r="N1877" i="6"/>
  <c r="N1878" i="6"/>
  <c r="N1879" i="6"/>
  <c r="N1880" i="6"/>
  <c r="N1881" i="6"/>
  <c r="N1882" i="6"/>
  <c r="N1883" i="6"/>
  <c r="N1884" i="6"/>
  <c r="N1885" i="6"/>
  <c r="N1886" i="6"/>
  <c r="N1887" i="6"/>
  <c r="N1888" i="6"/>
  <c r="N1889" i="6"/>
  <c r="N1890" i="6"/>
  <c r="N1891" i="6"/>
  <c r="N1892" i="6"/>
  <c r="N1893" i="6"/>
  <c r="N1894" i="6"/>
  <c r="N1895" i="6"/>
  <c r="N1896" i="6"/>
  <c r="N1897" i="6"/>
  <c r="N1898" i="6"/>
  <c r="N1899" i="6"/>
  <c r="N1900" i="6"/>
  <c r="N1901" i="6"/>
  <c r="N1902" i="6"/>
  <c r="N1903" i="6"/>
  <c r="N1904" i="6"/>
  <c r="N1905" i="6"/>
  <c r="N1906" i="6"/>
  <c r="N1907" i="6"/>
  <c r="N1908" i="6"/>
  <c r="N1909" i="6"/>
  <c r="N1910" i="6"/>
  <c r="N1911" i="6"/>
  <c r="N1912" i="6"/>
  <c r="N1913" i="6"/>
  <c r="N1914" i="6"/>
  <c r="N1915" i="6"/>
  <c r="N1916" i="6"/>
  <c r="N1917" i="6"/>
  <c r="N1918" i="6"/>
  <c r="N1919" i="6"/>
  <c r="N1920" i="6"/>
  <c r="N1921" i="6"/>
  <c r="N1922" i="6"/>
  <c r="N1923" i="6"/>
  <c r="N1924" i="6"/>
  <c r="N1925" i="6"/>
  <c r="N1926" i="6"/>
  <c r="N1927" i="6"/>
  <c r="N1928" i="6"/>
  <c r="N1929" i="6"/>
  <c r="N1930" i="6"/>
  <c r="N1931" i="6"/>
  <c r="N1932" i="6"/>
  <c r="N1933" i="6"/>
  <c r="N1934" i="6"/>
  <c r="N1935" i="6"/>
  <c r="N1936" i="6"/>
  <c r="N1937" i="6"/>
  <c r="N1938" i="6"/>
  <c r="N1939" i="6"/>
  <c r="N1940" i="6"/>
  <c r="N1941" i="6"/>
  <c r="N1942" i="6"/>
  <c r="N1943" i="6"/>
  <c r="N1944" i="6"/>
  <c r="N1945" i="6"/>
  <c r="N1946" i="6"/>
  <c r="N1947" i="6"/>
  <c r="N1948" i="6"/>
  <c r="N1949" i="6"/>
  <c r="N1950" i="6"/>
  <c r="N1951" i="6"/>
  <c r="N1952" i="6"/>
  <c r="N1953" i="6"/>
  <c r="N1954" i="6"/>
  <c r="N1955" i="6"/>
  <c r="N1956" i="6"/>
  <c r="N1957" i="6"/>
  <c r="N1958" i="6"/>
  <c r="N1959" i="6"/>
  <c r="N1960" i="6"/>
  <c r="N1961" i="6"/>
  <c r="N1962" i="6"/>
  <c r="N1963" i="6"/>
  <c r="N1964" i="6"/>
  <c r="N1965" i="6"/>
  <c r="N1966" i="6"/>
  <c r="N1967" i="6"/>
  <c r="N1968" i="6"/>
  <c r="N1969" i="6"/>
  <c r="N1970" i="6"/>
  <c r="N1971" i="6"/>
  <c r="N1972" i="6"/>
  <c r="N1973" i="6"/>
  <c r="N1974" i="6"/>
  <c r="N1975" i="6"/>
  <c r="N1976" i="6"/>
  <c r="N1977" i="6"/>
  <c r="N1978" i="6"/>
  <c r="N1979" i="6"/>
  <c r="N1980" i="6"/>
  <c r="N1981" i="6"/>
  <c r="N1982" i="6"/>
  <c r="N1983" i="6"/>
  <c r="N1984" i="6"/>
  <c r="N1985" i="6"/>
  <c r="N1986" i="6"/>
  <c r="N1987" i="6"/>
  <c r="N1988" i="6"/>
  <c r="N1989" i="6"/>
  <c r="N1990" i="6"/>
  <c r="N1991" i="6"/>
  <c r="N1992" i="6"/>
  <c r="N1993" i="6"/>
  <c r="N1994" i="6"/>
  <c r="N1995" i="6"/>
  <c r="N1996" i="6"/>
  <c r="N1997" i="6"/>
  <c r="N1998" i="6"/>
  <c r="N1999" i="6"/>
  <c r="N2000" i="6"/>
  <c r="N2001" i="6"/>
  <c r="N2002" i="6"/>
  <c r="N2003" i="6"/>
  <c r="N2004" i="6"/>
  <c r="N2005" i="6"/>
  <c r="N2006" i="6"/>
  <c r="N2007" i="6"/>
  <c r="N2008" i="6"/>
  <c r="N2009" i="6"/>
  <c r="N2010" i="6"/>
  <c r="N2011" i="6"/>
  <c r="N2012" i="6"/>
  <c r="N2013" i="6"/>
  <c r="N2014" i="6"/>
  <c r="N2015" i="6"/>
  <c r="N2016" i="6"/>
  <c r="N2017" i="6"/>
  <c r="N2018" i="6"/>
  <c r="N2019" i="6"/>
  <c r="N2020" i="6"/>
  <c r="N2021" i="6"/>
  <c r="N2022" i="6"/>
  <c r="N2023" i="6"/>
  <c r="N2024" i="6"/>
  <c r="N2025" i="6"/>
  <c r="N2026" i="6"/>
  <c r="N2027" i="6"/>
  <c r="N2028" i="6"/>
  <c r="N2029" i="6"/>
  <c r="N2030" i="6"/>
  <c r="N2031" i="6"/>
  <c r="N2032" i="6"/>
  <c r="N2033" i="6"/>
  <c r="N2034" i="6"/>
  <c r="N2035" i="6"/>
  <c r="N2036" i="6"/>
  <c r="N2037" i="6"/>
  <c r="N2038" i="6"/>
  <c r="N2039" i="6"/>
  <c r="N2040" i="6"/>
  <c r="N2041" i="6"/>
  <c r="N2042" i="6"/>
  <c r="N2043" i="6"/>
  <c r="N2044" i="6"/>
  <c r="N2045" i="6"/>
  <c r="N2046" i="6"/>
  <c r="N2047" i="6"/>
  <c r="N2048" i="6"/>
  <c r="N2049" i="6"/>
  <c r="N2050" i="6"/>
  <c r="N2051" i="6"/>
  <c r="N2052" i="6"/>
  <c r="N2053" i="6"/>
  <c r="N2054" i="6"/>
  <c r="N2055" i="6"/>
  <c r="N2056" i="6"/>
  <c r="N2057" i="6"/>
  <c r="M43" i="6"/>
  <c r="L43" i="6"/>
  <c r="M42" i="6"/>
  <c r="L42" i="6"/>
  <c r="M41" i="6"/>
  <c r="L41" i="6"/>
  <c r="M40" i="6"/>
  <c r="L40" i="6"/>
  <c r="M39" i="6"/>
  <c r="L39" i="6"/>
  <c r="M38" i="6"/>
  <c r="L38" i="6"/>
  <c r="M37" i="6"/>
  <c r="L37" i="6"/>
  <c r="M36" i="6"/>
  <c r="L36" i="6"/>
  <c r="M35" i="6"/>
  <c r="L35" i="6"/>
  <c r="M34" i="6"/>
  <c r="L34" i="6"/>
  <c r="M33" i="6"/>
  <c r="L33" i="6"/>
  <c r="M32" i="6"/>
  <c r="L32" i="6"/>
  <c r="M31" i="6"/>
  <c r="L31" i="6"/>
  <c r="M30" i="6"/>
  <c r="L30" i="6"/>
  <c r="M29" i="6"/>
  <c r="L29" i="6"/>
  <c r="M28" i="6"/>
  <c r="L28" i="6"/>
  <c r="M27" i="6"/>
  <c r="L27" i="6"/>
  <c r="M26" i="6"/>
  <c r="L26" i="6"/>
  <c r="M25" i="6"/>
  <c r="L25" i="6"/>
  <c r="M24" i="6"/>
  <c r="L24" i="6"/>
  <c r="M23" i="6"/>
  <c r="L23" i="6"/>
  <c r="M22" i="6"/>
  <c r="L22" i="6"/>
  <c r="M21" i="6"/>
  <c r="L21" i="6"/>
  <c r="M20" i="6"/>
  <c r="L20" i="6"/>
  <c r="M19" i="6"/>
  <c r="L19" i="6"/>
  <c r="M18" i="6"/>
  <c r="L18" i="6"/>
  <c r="M17" i="6"/>
  <c r="L17" i="6"/>
  <c r="M16" i="6"/>
  <c r="L16" i="6"/>
  <c r="M15" i="6"/>
  <c r="L15" i="6"/>
  <c r="M14" i="6"/>
  <c r="L14" i="6"/>
  <c r="M13" i="6"/>
  <c r="L13" i="6"/>
  <c r="M12" i="6"/>
  <c r="L12" i="6"/>
  <c r="M11" i="6"/>
  <c r="L11" i="6"/>
  <c r="M10" i="6"/>
  <c r="L10" i="6"/>
  <c r="M9" i="6"/>
  <c r="L9" i="6"/>
  <c r="M8" i="6"/>
  <c r="L8" i="6"/>
  <c r="M7" i="6"/>
  <c r="L7" i="6"/>
  <c r="M6" i="6"/>
  <c r="L6" i="6"/>
  <c r="M5" i="6"/>
  <c r="L5" i="6"/>
  <c r="M4" i="6"/>
  <c r="L4" i="6"/>
  <c r="B4" i="6"/>
  <c r="M45" i="6"/>
  <c r="M46" i="6"/>
  <c r="M47" i="6"/>
  <c r="M48" i="6"/>
  <c r="M49" i="6"/>
  <c r="M50" i="6"/>
  <c r="M51" i="6"/>
  <c r="M52" i="6"/>
  <c r="M53" i="6"/>
  <c r="M54" i="6"/>
  <c r="M55" i="6"/>
  <c r="M56" i="6"/>
  <c r="M57" i="6"/>
  <c r="M58" i="6"/>
  <c r="M59" i="6"/>
  <c r="M60" i="6"/>
  <c r="M61" i="6"/>
  <c r="M62" i="6"/>
  <c r="M63" i="6"/>
  <c r="M64" i="6"/>
  <c r="M65" i="6"/>
  <c r="M66" i="6"/>
  <c r="M67" i="6"/>
  <c r="M68" i="6"/>
  <c r="M69" i="6"/>
  <c r="M70" i="6"/>
  <c r="M71" i="6"/>
  <c r="M72" i="6"/>
  <c r="M73" i="6"/>
  <c r="M74" i="6"/>
  <c r="M75" i="6"/>
  <c r="M76" i="6"/>
  <c r="M77" i="6"/>
  <c r="M78" i="6"/>
  <c r="M79" i="6"/>
  <c r="M80" i="6"/>
  <c r="M81" i="6"/>
  <c r="M82" i="6"/>
  <c r="M83" i="6"/>
  <c r="M84" i="6"/>
  <c r="M85" i="6"/>
  <c r="M86" i="6"/>
  <c r="M87" i="6"/>
  <c r="M88" i="6"/>
  <c r="M89" i="6"/>
  <c r="M90" i="6"/>
  <c r="M91" i="6"/>
  <c r="M92" i="6"/>
  <c r="M93" i="6"/>
  <c r="M94" i="6"/>
  <c r="M95" i="6"/>
  <c r="M96" i="6"/>
  <c r="M97" i="6"/>
  <c r="M98" i="6"/>
  <c r="M99" i="6"/>
  <c r="M100" i="6"/>
  <c r="M101" i="6"/>
  <c r="M102" i="6"/>
  <c r="M103" i="6"/>
  <c r="M104" i="6"/>
  <c r="M105" i="6"/>
  <c r="M106" i="6"/>
  <c r="M107" i="6"/>
  <c r="M108" i="6"/>
  <c r="M109" i="6"/>
  <c r="M110" i="6"/>
  <c r="M111" i="6"/>
  <c r="M112" i="6"/>
  <c r="M113" i="6"/>
  <c r="M114" i="6"/>
  <c r="M115" i="6"/>
  <c r="M116" i="6"/>
  <c r="M117" i="6"/>
  <c r="M118" i="6"/>
  <c r="M119" i="6"/>
  <c r="M120" i="6"/>
  <c r="M121" i="6"/>
  <c r="M122" i="6"/>
  <c r="M123" i="6"/>
  <c r="M124" i="6"/>
  <c r="M125" i="6"/>
  <c r="M126" i="6"/>
  <c r="M127" i="6"/>
  <c r="M128" i="6"/>
  <c r="M129" i="6"/>
  <c r="M130" i="6"/>
  <c r="M131" i="6"/>
  <c r="M132" i="6"/>
  <c r="M133" i="6"/>
  <c r="M134" i="6"/>
  <c r="M135" i="6"/>
  <c r="M136" i="6"/>
  <c r="M137" i="6"/>
  <c r="M138" i="6"/>
  <c r="M139" i="6"/>
  <c r="M140" i="6"/>
  <c r="M141" i="6"/>
  <c r="M142" i="6"/>
  <c r="M143" i="6"/>
  <c r="M144" i="6"/>
  <c r="M145" i="6"/>
  <c r="M146" i="6"/>
  <c r="M147" i="6"/>
  <c r="M148" i="6"/>
  <c r="M149" i="6"/>
  <c r="M150" i="6"/>
  <c r="M151" i="6"/>
  <c r="M152" i="6"/>
  <c r="M153" i="6"/>
  <c r="M154" i="6"/>
  <c r="M155" i="6"/>
  <c r="M156" i="6"/>
  <c r="M157" i="6"/>
  <c r="M158" i="6"/>
  <c r="M159" i="6"/>
  <c r="M160" i="6"/>
  <c r="M161" i="6"/>
  <c r="M162" i="6"/>
  <c r="M163" i="6"/>
  <c r="M164" i="6"/>
  <c r="M165" i="6"/>
  <c r="M166" i="6"/>
  <c r="M167" i="6"/>
  <c r="M168" i="6"/>
  <c r="M169" i="6"/>
  <c r="M170" i="6"/>
  <c r="M171" i="6"/>
  <c r="M172" i="6"/>
  <c r="M173" i="6"/>
  <c r="M174" i="6"/>
  <c r="M175" i="6"/>
  <c r="M176" i="6"/>
  <c r="M177" i="6"/>
  <c r="M178" i="6"/>
  <c r="M179" i="6"/>
  <c r="M180" i="6"/>
  <c r="M181" i="6"/>
  <c r="M182" i="6"/>
  <c r="M183" i="6"/>
  <c r="M184" i="6"/>
  <c r="M185" i="6"/>
  <c r="M186" i="6"/>
  <c r="M187" i="6"/>
  <c r="M188" i="6"/>
  <c r="M189" i="6"/>
  <c r="M190" i="6"/>
  <c r="M191" i="6"/>
  <c r="M192" i="6"/>
  <c r="M193" i="6"/>
  <c r="M194" i="6"/>
  <c r="M195" i="6"/>
  <c r="M196" i="6"/>
  <c r="M197" i="6"/>
  <c r="M198" i="6"/>
  <c r="M199" i="6"/>
  <c r="M200" i="6"/>
  <c r="M201" i="6"/>
  <c r="M202" i="6"/>
  <c r="M203" i="6"/>
  <c r="M204" i="6"/>
  <c r="M205" i="6"/>
  <c r="M206" i="6"/>
  <c r="M207" i="6"/>
  <c r="M208" i="6"/>
  <c r="M209" i="6"/>
  <c r="M210" i="6"/>
  <c r="M211" i="6"/>
  <c r="M212" i="6"/>
  <c r="M213" i="6"/>
  <c r="M214" i="6"/>
  <c r="M215" i="6"/>
  <c r="M216" i="6"/>
  <c r="M217" i="6"/>
  <c r="M218" i="6"/>
  <c r="M219" i="6"/>
  <c r="M220" i="6"/>
  <c r="M221" i="6"/>
  <c r="M222" i="6"/>
  <c r="M223" i="6"/>
  <c r="M224" i="6"/>
  <c r="M225" i="6"/>
  <c r="M226" i="6"/>
  <c r="M227" i="6"/>
  <c r="M228" i="6"/>
  <c r="M229" i="6"/>
  <c r="M230" i="6"/>
  <c r="M231" i="6"/>
  <c r="M232" i="6"/>
  <c r="M233" i="6"/>
  <c r="M234" i="6"/>
  <c r="M235" i="6"/>
  <c r="M236" i="6"/>
  <c r="M237" i="6"/>
  <c r="M238" i="6"/>
  <c r="M239" i="6"/>
  <c r="M240" i="6"/>
  <c r="M241" i="6"/>
  <c r="M242" i="6"/>
  <c r="M243" i="6"/>
  <c r="M244" i="6"/>
  <c r="M245" i="6"/>
  <c r="M246" i="6"/>
  <c r="M247" i="6"/>
  <c r="M248" i="6"/>
  <c r="M249" i="6"/>
  <c r="M250" i="6"/>
  <c r="M251" i="6"/>
  <c r="M252" i="6"/>
  <c r="M253" i="6"/>
  <c r="M254" i="6"/>
  <c r="M255" i="6"/>
  <c r="M256" i="6"/>
  <c r="M257" i="6"/>
  <c r="M258" i="6"/>
  <c r="M259" i="6"/>
  <c r="M260" i="6"/>
  <c r="M261" i="6"/>
  <c r="M262" i="6"/>
  <c r="M263" i="6"/>
  <c r="M264" i="6"/>
  <c r="M265" i="6"/>
  <c r="M266" i="6"/>
  <c r="M267" i="6"/>
  <c r="M268" i="6"/>
  <c r="M269" i="6"/>
  <c r="M270" i="6"/>
  <c r="M271" i="6"/>
  <c r="M272" i="6"/>
  <c r="M273" i="6"/>
  <c r="M274" i="6"/>
  <c r="M275" i="6"/>
  <c r="M276" i="6"/>
  <c r="M277" i="6"/>
  <c r="M278" i="6"/>
  <c r="M279" i="6"/>
  <c r="M280" i="6"/>
  <c r="M281" i="6"/>
  <c r="M282" i="6"/>
  <c r="M283" i="6"/>
  <c r="M284" i="6"/>
  <c r="M285" i="6"/>
  <c r="M286" i="6"/>
  <c r="M287" i="6"/>
  <c r="M288" i="6"/>
  <c r="M289" i="6"/>
  <c r="M290" i="6"/>
  <c r="M291" i="6"/>
  <c r="M292" i="6"/>
  <c r="M293" i="6"/>
  <c r="M294" i="6"/>
  <c r="M295" i="6"/>
  <c r="M296" i="6"/>
  <c r="M297" i="6"/>
  <c r="M298" i="6"/>
  <c r="M299" i="6"/>
  <c r="M300" i="6"/>
  <c r="M301" i="6"/>
  <c r="M302" i="6"/>
  <c r="M303" i="6"/>
  <c r="M304" i="6"/>
  <c r="M305" i="6"/>
  <c r="M306" i="6"/>
  <c r="M307" i="6"/>
  <c r="M308" i="6"/>
  <c r="M309" i="6"/>
  <c r="M310" i="6"/>
  <c r="M311" i="6"/>
  <c r="M312" i="6"/>
  <c r="M313" i="6"/>
  <c r="M314" i="6"/>
  <c r="M315" i="6"/>
  <c r="M316" i="6"/>
  <c r="M317" i="6"/>
  <c r="M318" i="6"/>
  <c r="M319" i="6"/>
  <c r="M320" i="6"/>
  <c r="M321" i="6"/>
  <c r="M322" i="6"/>
  <c r="M323" i="6"/>
  <c r="M324" i="6"/>
  <c r="M325" i="6"/>
  <c r="M326" i="6"/>
  <c r="M327" i="6"/>
  <c r="M328" i="6"/>
  <c r="M329" i="6"/>
  <c r="M330" i="6"/>
  <c r="M331" i="6"/>
  <c r="M332" i="6"/>
  <c r="M333" i="6"/>
  <c r="M334" i="6"/>
  <c r="M335" i="6"/>
  <c r="M336" i="6"/>
  <c r="M337" i="6"/>
  <c r="M338" i="6"/>
  <c r="M339" i="6"/>
  <c r="M340" i="6"/>
  <c r="M341" i="6"/>
  <c r="M342" i="6"/>
  <c r="M343" i="6"/>
  <c r="M344" i="6"/>
  <c r="M345" i="6"/>
  <c r="M346" i="6"/>
  <c r="M347" i="6"/>
  <c r="M348" i="6"/>
  <c r="M349" i="6"/>
  <c r="M350" i="6"/>
  <c r="M351" i="6"/>
  <c r="M352" i="6"/>
  <c r="M353" i="6"/>
  <c r="M354" i="6"/>
  <c r="M355" i="6"/>
  <c r="M356" i="6"/>
  <c r="M357" i="6"/>
  <c r="M358" i="6"/>
  <c r="M359" i="6"/>
  <c r="M360" i="6"/>
  <c r="M361" i="6"/>
  <c r="M362" i="6"/>
  <c r="M363" i="6"/>
  <c r="M364" i="6"/>
  <c r="M365" i="6"/>
  <c r="M366" i="6"/>
  <c r="M367" i="6"/>
  <c r="M368" i="6"/>
  <c r="M369" i="6"/>
  <c r="M370" i="6"/>
  <c r="M371" i="6"/>
  <c r="M372" i="6"/>
  <c r="M373" i="6"/>
  <c r="M374" i="6"/>
  <c r="M375" i="6"/>
  <c r="M376" i="6"/>
  <c r="M377" i="6"/>
  <c r="M378" i="6"/>
  <c r="M379" i="6"/>
  <c r="M380" i="6"/>
  <c r="M381" i="6"/>
  <c r="M382" i="6"/>
  <c r="M383" i="6"/>
  <c r="M384" i="6"/>
  <c r="M385" i="6"/>
  <c r="M386" i="6"/>
  <c r="M387" i="6"/>
  <c r="M388" i="6"/>
  <c r="M389" i="6"/>
  <c r="M390" i="6"/>
  <c r="M391" i="6"/>
  <c r="M392" i="6"/>
  <c r="M393" i="6"/>
  <c r="M394" i="6"/>
  <c r="M395" i="6"/>
  <c r="M396" i="6"/>
  <c r="M397" i="6"/>
  <c r="M398" i="6"/>
  <c r="M399" i="6"/>
  <c r="M400" i="6"/>
  <c r="M401" i="6"/>
  <c r="M402" i="6"/>
  <c r="M403" i="6"/>
  <c r="M404" i="6"/>
  <c r="M405" i="6"/>
  <c r="M406" i="6"/>
  <c r="M407" i="6"/>
  <c r="M408" i="6"/>
  <c r="M409" i="6"/>
  <c r="M410" i="6"/>
  <c r="M411" i="6"/>
  <c r="M412" i="6"/>
  <c r="M413" i="6"/>
  <c r="M414" i="6"/>
  <c r="M415" i="6"/>
  <c r="M416" i="6"/>
  <c r="M417" i="6"/>
  <c r="M418" i="6"/>
  <c r="M419" i="6"/>
  <c r="M420" i="6"/>
  <c r="M421" i="6"/>
  <c r="M422" i="6"/>
  <c r="M423" i="6"/>
  <c r="M424" i="6"/>
  <c r="M425" i="6"/>
  <c r="M426" i="6"/>
  <c r="M427" i="6"/>
  <c r="M428" i="6"/>
  <c r="M429" i="6"/>
  <c r="M430" i="6"/>
  <c r="M431" i="6"/>
  <c r="M432" i="6"/>
  <c r="M433" i="6"/>
  <c r="M434" i="6"/>
  <c r="M435" i="6"/>
  <c r="M436" i="6"/>
  <c r="M437" i="6"/>
  <c r="M438" i="6"/>
  <c r="M439" i="6"/>
  <c r="M440" i="6"/>
  <c r="M441" i="6"/>
  <c r="M442" i="6"/>
  <c r="M443" i="6"/>
  <c r="M444" i="6"/>
  <c r="M445" i="6"/>
  <c r="M446" i="6"/>
  <c r="M447" i="6"/>
  <c r="M448" i="6"/>
  <c r="M449" i="6"/>
  <c r="M450" i="6"/>
  <c r="M451" i="6"/>
  <c r="M452" i="6"/>
  <c r="M453" i="6"/>
  <c r="M454" i="6"/>
  <c r="M455" i="6"/>
  <c r="M456" i="6"/>
  <c r="M457" i="6"/>
  <c r="M458" i="6"/>
  <c r="M459" i="6"/>
  <c r="M460" i="6"/>
  <c r="M461" i="6"/>
  <c r="M462" i="6"/>
  <c r="M463" i="6"/>
  <c r="M464" i="6"/>
  <c r="M465" i="6"/>
  <c r="M466" i="6"/>
  <c r="M467" i="6"/>
  <c r="M468" i="6"/>
  <c r="M469" i="6"/>
  <c r="M470" i="6"/>
  <c r="M471" i="6"/>
  <c r="M472" i="6"/>
  <c r="M473" i="6"/>
  <c r="M474" i="6"/>
  <c r="M475" i="6"/>
  <c r="M476" i="6"/>
  <c r="M477" i="6"/>
  <c r="M478" i="6"/>
  <c r="M479" i="6"/>
  <c r="M480" i="6"/>
  <c r="M481" i="6"/>
  <c r="M482" i="6"/>
  <c r="M483" i="6"/>
  <c r="M484" i="6"/>
  <c r="M485" i="6"/>
  <c r="M486" i="6"/>
  <c r="M487" i="6"/>
  <c r="M488" i="6"/>
  <c r="M489" i="6"/>
  <c r="M490" i="6"/>
  <c r="M491" i="6"/>
  <c r="M492" i="6"/>
  <c r="M493" i="6"/>
  <c r="M494" i="6"/>
  <c r="M495" i="6"/>
  <c r="M496" i="6"/>
  <c r="M497" i="6"/>
  <c r="M498" i="6"/>
  <c r="M499" i="6"/>
  <c r="M500" i="6"/>
  <c r="M501" i="6"/>
  <c r="M502" i="6"/>
  <c r="M503" i="6"/>
  <c r="M504" i="6"/>
  <c r="M505" i="6"/>
  <c r="M506" i="6"/>
  <c r="M507" i="6"/>
  <c r="M508" i="6"/>
  <c r="M509" i="6"/>
  <c r="M510" i="6"/>
  <c r="M511" i="6"/>
  <c r="M512" i="6"/>
  <c r="M513" i="6"/>
  <c r="M514" i="6"/>
  <c r="M515" i="6"/>
  <c r="M516" i="6"/>
  <c r="M517" i="6"/>
  <c r="M518" i="6"/>
  <c r="M519" i="6"/>
  <c r="M520" i="6"/>
  <c r="M521" i="6"/>
  <c r="M522" i="6"/>
  <c r="M523" i="6"/>
  <c r="M524" i="6"/>
  <c r="M525" i="6"/>
  <c r="M526" i="6"/>
  <c r="M527" i="6"/>
  <c r="M528" i="6"/>
  <c r="M529" i="6"/>
  <c r="M530" i="6"/>
  <c r="M531" i="6"/>
  <c r="M532" i="6"/>
  <c r="M533" i="6"/>
  <c r="M534" i="6"/>
  <c r="M535" i="6"/>
  <c r="M536" i="6"/>
  <c r="M537" i="6"/>
  <c r="M538" i="6"/>
  <c r="M539" i="6"/>
  <c r="M540" i="6"/>
  <c r="M541" i="6"/>
  <c r="M542" i="6"/>
  <c r="M543" i="6"/>
  <c r="M544" i="6"/>
  <c r="M545" i="6"/>
  <c r="M546" i="6"/>
  <c r="M547" i="6"/>
  <c r="M548" i="6"/>
  <c r="M549" i="6"/>
  <c r="M550" i="6"/>
  <c r="M551" i="6"/>
  <c r="M552" i="6"/>
  <c r="M553" i="6"/>
  <c r="M554" i="6"/>
  <c r="M555" i="6"/>
  <c r="M556" i="6"/>
  <c r="M557" i="6"/>
  <c r="M558" i="6"/>
  <c r="M559" i="6"/>
  <c r="M560" i="6"/>
  <c r="M561" i="6"/>
  <c r="M562" i="6"/>
  <c r="M563" i="6"/>
  <c r="M564" i="6"/>
  <c r="M565" i="6"/>
  <c r="M566" i="6"/>
  <c r="M567" i="6"/>
  <c r="M568" i="6"/>
  <c r="M569" i="6"/>
  <c r="M570" i="6"/>
  <c r="M571" i="6"/>
  <c r="M572" i="6"/>
  <c r="M573" i="6"/>
  <c r="M574" i="6"/>
  <c r="M575" i="6"/>
  <c r="M576" i="6"/>
  <c r="M577" i="6"/>
  <c r="M578" i="6"/>
  <c r="M579" i="6"/>
  <c r="M580" i="6"/>
  <c r="M581" i="6"/>
  <c r="M582" i="6"/>
  <c r="M583" i="6"/>
  <c r="M584" i="6"/>
  <c r="M585" i="6"/>
  <c r="M586" i="6"/>
  <c r="M587" i="6"/>
  <c r="M588" i="6"/>
  <c r="M589" i="6"/>
  <c r="M590" i="6"/>
  <c r="M591" i="6"/>
  <c r="M592" i="6"/>
  <c r="M593" i="6"/>
  <c r="M594" i="6"/>
  <c r="M595" i="6"/>
  <c r="M596" i="6"/>
  <c r="M597" i="6"/>
  <c r="M598" i="6"/>
  <c r="M599" i="6"/>
  <c r="M600" i="6"/>
  <c r="M601" i="6"/>
  <c r="M602" i="6"/>
  <c r="M603" i="6"/>
  <c r="M604" i="6"/>
  <c r="M605" i="6"/>
  <c r="M606" i="6"/>
  <c r="M607" i="6"/>
  <c r="M608" i="6"/>
  <c r="M609" i="6"/>
  <c r="M610" i="6"/>
  <c r="M611" i="6"/>
  <c r="M612" i="6"/>
  <c r="M613" i="6"/>
  <c r="M614" i="6"/>
  <c r="M615" i="6"/>
  <c r="M616" i="6"/>
  <c r="M617" i="6"/>
  <c r="M618" i="6"/>
  <c r="M619" i="6"/>
  <c r="M620" i="6"/>
  <c r="M621" i="6"/>
  <c r="M622" i="6"/>
  <c r="M623" i="6"/>
  <c r="M624" i="6"/>
  <c r="M625" i="6"/>
  <c r="M626" i="6"/>
  <c r="M627" i="6"/>
  <c r="M628" i="6"/>
  <c r="M629" i="6"/>
  <c r="M630" i="6"/>
  <c r="M631" i="6"/>
  <c r="M632" i="6"/>
  <c r="M633" i="6"/>
  <c r="M634" i="6"/>
  <c r="M635" i="6"/>
  <c r="M636" i="6"/>
  <c r="M637" i="6"/>
  <c r="M638" i="6"/>
  <c r="M639" i="6"/>
  <c r="M640" i="6"/>
  <c r="M641" i="6"/>
  <c r="M642" i="6"/>
  <c r="M643" i="6"/>
  <c r="M644" i="6"/>
  <c r="M645" i="6"/>
  <c r="M646" i="6"/>
  <c r="M647" i="6"/>
  <c r="M648" i="6"/>
  <c r="M649" i="6"/>
  <c r="M650" i="6"/>
  <c r="M651" i="6"/>
  <c r="M652" i="6"/>
  <c r="M653" i="6"/>
  <c r="M654" i="6"/>
  <c r="M655" i="6"/>
  <c r="M656" i="6"/>
  <c r="M657" i="6"/>
  <c r="M658" i="6"/>
  <c r="M659" i="6"/>
  <c r="M660" i="6"/>
  <c r="M661" i="6"/>
  <c r="M662" i="6"/>
  <c r="M663" i="6"/>
  <c r="M664" i="6"/>
  <c r="M665" i="6"/>
  <c r="M666" i="6"/>
  <c r="M667" i="6"/>
  <c r="M668" i="6"/>
  <c r="M669" i="6"/>
  <c r="M670" i="6"/>
  <c r="M671" i="6"/>
  <c r="M672" i="6"/>
  <c r="M673" i="6"/>
  <c r="M674" i="6"/>
  <c r="M675" i="6"/>
  <c r="M676" i="6"/>
  <c r="M677" i="6"/>
  <c r="M678" i="6"/>
  <c r="M679" i="6"/>
  <c r="M680" i="6"/>
  <c r="M681" i="6"/>
  <c r="M682" i="6"/>
  <c r="M683" i="6"/>
  <c r="M684" i="6"/>
  <c r="M685" i="6"/>
  <c r="M686" i="6"/>
  <c r="M687" i="6"/>
  <c r="M688" i="6"/>
  <c r="M689" i="6"/>
  <c r="M690" i="6"/>
  <c r="M691" i="6"/>
  <c r="M692" i="6"/>
  <c r="M693" i="6"/>
  <c r="M694" i="6"/>
  <c r="M695" i="6"/>
  <c r="M696" i="6"/>
  <c r="M697" i="6"/>
  <c r="M698" i="6"/>
  <c r="M699" i="6"/>
  <c r="M700" i="6"/>
  <c r="M701" i="6"/>
  <c r="M702" i="6"/>
  <c r="M703" i="6"/>
  <c r="M704" i="6"/>
  <c r="M705" i="6"/>
  <c r="M706" i="6"/>
  <c r="M707" i="6"/>
  <c r="M708" i="6"/>
  <c r="M709" i="6"/>
  <c r="M710" i="6"/>
  <c r="M711" i="6"/>
  <c r="M712" i="6"/>
  <c r="M713" i="6"/>
  <c r="M714" i="6"/>
  <c r="M715" i="6"/>
  <c r="M716" i="6"/>
  <c r="M717" i="6"/>
  <c r="M718" i="6"/>
  <c r="M719" i="6"/>
  <c r="M720" i="6"/>
  <c r="M721" i="6"/>
  <c r="M722" i="6"/>
  <c r="M723" i="6"/>
  <c r="M724" i="6"/>
  <c r="M725" i="6"/>
  <c r="M726" i="6"/>
  <c r="M727" i="6"/>
  <c r="M728" i="6"/>
  <c r="M729" i="6"/>
  <c r="M730" i="6"/>
  <c r="M731" i="6"/>
  <c r="M732" i="6"/>
  <c r="M733" i="6"/>
  <c r="M734" i="6"/>
  <c r="M735" i="6"/>
  <c r="M736" i="6"/>
  <c r="M737" i="6"/>
  <c r="M738" i="6"/>
  <c r="M739" i="6"/>
  <c r="M740" i="6"/>
  <c r="M741" i="6"/>
  <c r="M742" i="6"/>
  <c r="M743" i="6"/>
  <c r="M744" i="6"/>
  <c r="M745" i="6"/>
  <c r="M746" i="6"/>
  <c r="M747" i="6"/>
  <c r="M748" i="6"/>
  <c r="M749" i="6"/>
  <c r="M750" i="6"/>
  <c r="M751" i="6"/>
  <c r="M752" i="6"/>
  <c r="M753" i="6"/>
  <c r="M754" i="6"/>
  <c r="M755" i="6"/>
  <c r="M756" i="6"/>
  <c r="M757" i="6"/>
  <c r="M758" i="6"/>
  <c r="M759" i="6"/>
  <c r="M760" i="6"/>
  <c r="M761" i="6"/>
  <c r="M762" i="6"/>
  <c r="M763" i="6"/>
  <c r="M764" i="6"/>
  <c r="M765" i="6"/>
  <c r="M766" i="6"/>
  <c r="M767" i="6"/>
  <c r="M768" i="6"/>
  <c r="M769" i="6"/>
  <c r="M770" i="6"/>
  <c r="M771" i="6"/>
  <c r="M772" i="6"/>
  <c r="M773" i="6"/>
  <c r="M774" i="6"/>
  <c r="M775" i="6"/>
  <c r="M776" i="6"/>
  <c r="M777" i="6"/>
  <c r="M778" i="6"/>
  <c r="M779" i="6"/>
  <c r="M780" i="6"/>
  <c r="M781" i="6"/>
  <c r="M782" i="6"/>
  <c r="M783" i="6"/>
  <c r="M784" i="6"/>
  <c r="M785" i="6"/>
  <c r="M786" i="6"/>
  <c r="M787" i="6"/>
  <c r="M788" i="6"/>
  <c r="M789" i="6"/>
  <c r="M790" i="6"/>
  <c r="M791" i="6"/>
  <c r="M792" i="6"/>
  <c r="M793" i="6"/>
  <c r="M794" i="6"/>
  <c r="M795" i="6"/>
  <c r="M796" i="6"/>
  <c r="M797" i="6"/>
  <c r="M798" i="6"/>
  <c r="M799" i="6"/>
  <c r="M800" i="6"/>
  <c r="M801" i="6"/>
  <c r="M802" i="6"/>
  <c r="M803" i="6"/>
  <c r="M804" i="6"/>
  <c r="M805" i="6"/>
  <c r="M806" i="6"/>
  <c r="M807" i="6"/>
  <c r="M808" i="6"/>
  <c r="M809" i="6"/>
  <c r="M810" i="6"/>
  <c r="M811" i="6"/>
  <c r="M812" i="6"/>
  <c r="M813" i="6"/>
  <c r="M814" i="6"/>
  <c r="M815" i="6"/>
  <c r="M816" i="6"/>
  <c r="M817" i="6"/>
  <c r="M818" i="6"/>
  <c r="M819" i="6"/>
  <c r="M820" i="6"/>
  <c r="M821" i="6"/>
  <c r="M822" i="6"/>
  <c r="M823" i="6"/>
  <c r="M824" i="6"/>
  <c r="M825" i="6"/>
  <c r="M826" i="6"/>
  <c r="M827" i="6"/>
  <c r="M828" i="6"/>
  <c r="M829" i="6"/>
  <c r="M830" i="6"/>
  <c r="M831" i="6"/>
  <c r="M832" i="6"/>
  <c r="M833" i="6"/>
  <c r="M834" i="6"/>
  <c r="M835" i="6"/>
  <c r="M836" i="6"/>
  <c r="M837" i="6"/>
  <c r="M838" i="6"/>
  <c r="M839" i="6"/>
  <c r="M840" i="6"/>
  <c r="M841" i="6"/>
  <c r="M842" i="6"/>
  <c r="M843" i="6"/>
  <c r="M844" i="6"/>
  <c r="M845" i="6"/>
  <c r="M846" i="6"/>
  <c r="M847" i="6"/>
  <c r="M848" i="6"/>
  <c r="M849" i="6"/>
  <c r="M850" i="6"/>
  <c r="M851" i="6"/>
  <c r="M852" i="6"/>
  <c r="M853" i="6"/>
  <c r="M854" i="6"/>
  <c r="M855" i="6"/>
  <c r="M856" i="6"/>
  <c r="M857" i="6"/>
  <c r="M858" i="6"/>
  <c r="M859" i="6"/>
  <c r="M860" i="6"/>
  <c r="M861" i="6"/>
  <c r="M862" i="6"/>
  <c r="M863" i="6"/>
  <c r="M864" i="6"/>
  <c r="M865" i="6"/>
  <c r="M866" i="6"/>
  <c r="M867" i="6"/>
  <c r="M868" i="6"/>
  <c r="M869" i="6"/>
  <c r="M870" i="6"/>
  <c r="M871" i="6"/>
  <c r="M872" i="6"/>
  <c r="M873" i="6"/>
  <c r="M874" i="6"/>
  <c r="M875" i="6"/>
  <c r="M876" i="6"/>
  <c r="M877" i="6"/>
  <c r="M878" i="6"/>
  <c r="M879" i="6"/>
  <c r="M880" i="6"/>
  <c r="M881" i="6"/>
  <c r="M882" i="6"/>
  <c r="M883" i="6"/>
  <c r="M884" i="6"/>
  <c r="M885" i="6"/>
  <c r="M886" i="6"/>
  <c r="M887" i="6"/>
  <c r="M888" i="6"/>
  <c r="M889" i="6"/>
  <c r="M890" i="6"/>
  <c r="M891" i="6"/>
  <c r="M892" i="6"/>
  <c r="M893" i="6"/>
  <c r="M894" i="6"/>
  <c r="M895" i="6"/>
  <c r="M896" i="6"/>
  <c r="M897" i="6"/>
  <c r="M898" i="6"/>
  <c r="M899" i="6"/>
  <c r="M900" i="6"/>
  <c r="M901" i="6"/>
  <c r="M902" i="6"/>
  <c r="M903" i="6"/>
  <c r="M904" i="6"/>
  <c r="M905" i="6"/>
  <c r="M906" i="6"/>
  <c r="M907" i="6"/>
  <c r="M908" i="6"/>
  <c r="M909" i="6"/>
  <c r="M910" i="6"/>
  <c r="M911" i="6"/>
  <c r="M912" i="6"/>
  <c r="M913" i="6"/>
  <c r="M914" i="6"/>
  <c r="M915" i="6"/>
  <c r="M916" i="6"/>
  <c r="M917" i="6"/>
  <c r="M918" i="6"/>
  <c r="M919" i="6"/>
  <c r="M920" i="6"/>
  <c r="M921" i="6"/>
  <c r="M922" i="6"/>
  <c r="M923" i="6"/>
  <c r="M924" i="6"/>
  <c r="M925" i="6"/>
  <c r="M926" i="6"/>
  <c r="M927" i="6"/>
  <c r="M928" i="6"/>
  <c r="M929" i="6"/>
  <c r="M930" i="6"/>
  <c r="M931" i="6"/>
  <c r="M932" i="6"/>
  <c r="M933" i="6"/>
  <c r="M934" i="6"/>
  <c r="M935" i="6"/>
  <c r="M936" i="6"/>
  <c r="M937" i="6"/>
  <c r="M938" i="6"/>
  <c r="M939" i="6"/>
  <c r="M940" i="6"/>
  <c r="M941" i="6"/>
  <c r="M942" i="6"/>
  <c r="M943" i="6"/>
  <c r="M944" i="6"/>
  <c r="M945" i="6"/>
  <c r="M946" i="6"/>
  <c r="M947" i="6"/>
  <c r="M948" i="6"/>
  <c r="M949" i="6"/>
  <c r="M950" i="6"/>
  <c r="M951" i="6"/>
  <c r="M952" i="6"/>
  <c r="M953" i="6"/>
  <c r="M954" i="6"/>
  <c r="M955" i="6"/>
  <c r="M956" i="6"/>
  <c r="M957" i="6"/>
  <c r="M958" i="6"/>
  <c r="M959" i="6"/>
  <c r="M960" i="6"/>
  <c r="M961" i="6"/>
  <c r="M962" i="6"/>
  <c r="M963" i="6"/>
  <c r="M964" i="6"/>
  <c r="M965" i="6"/>
  <c r="M966" i="6"/>
  <c r="M967" i="6"/>
  <c r="M968" i="6"/>
  <c r="M969" i="6"/>
  <c r="M970" i="6"/>
  <c r="M971" i="6"/>
  <c r="M972" i="6"/>
  <c r="M973" i="6"/>
  <c r="M974" i="6"/>
  <c r="M975" i="6"/>
  <c r="M976" i="6"/>
  <c r="M977" i="6"/>
  <c r="M978" i="6"/>
  <c r="M979" i="6"/>
  <c r="M980" i="6"/>
  <c r="M981" i="6"/>
  <c r="M982" i="6"/>
  <c r="M983" i="6"/>
  <c r="M984" i="6"/>
  <c r="M985" i="6"/>
  <c r="M986" i="6"/>
  <c r="M987" i="6"/>
  <c r="M988" i="6"/>
  <c r="M989" i="6"/>
  <c r="M990" i="6"/>
  <c r="M991" i="6"/>
  <c r="M992" i="6"/>
  <c r="M993" i="6"/>
  <c r="M994" i="6"/>
  <c r="M995" i="6"/>
  <c r="M996" i="6"/>
  <c r="M997" i="6"/>
  <c r="M998" i="6"/>
  <c r="M999" i="6"/>
  <c r="M1000" i="6"/>
  <c r="M1001" i="6"/>
  <c r="M1002" i="6"/>
  <c r="M1003" i="6"/>
  <c r="M1004" i="6"/>
  <c r="M1005" i="6"/>
  <c r="M1006" i="6"/>
  <c r="M1007" i="6"/>
  <c r="M1008" i="6"/>
  <c r="M1009" i="6"/>
  <c r="M1010" i="6"/>
  <c r="M1011" i="6"/>
  <c r="M1012" i="6"/>
  <c r="M1013" i="6"/>
  <c r="M1014" i="6"/>
  <c r="M1015" i="6"/>
  <c r="M1016" i="6"/>
  <c r="M1017" i="6"/>
  <c r="M1018" i="6"/>
  <c r="M1019" i="6"/>
  <c r="M1020" i="6"/>
  <c r="M1021" i="6"/>
  <c r="M1022" i="6"/>
  <c r="M1023" i="6"/>
  <c r="M1024" i="6"/>
  <c r="M1025" i="6"/>
  <c r="M1026" i="6"/>
  <c r="M1027" i="6"/>
  <c r="M1028" i="6"/>
  <c r="M1029" i="6"/>
  <c r="M1030" i="6"/>
  <c r="M1031" i="6"/>
  <c r="M1032" i="6"/>
  <c r="M1033" i="6"/>
  <c r="M1034" i="6"/>
  <c r="M1035" i="6"/>
  <c r="M1036" i="6"/>
  <c r="M1037" i="6"/>
  <c r="M1038" i="6"/>
  <c r="M1039" i="6"/>
  <c r="M1040" i="6"/>
  <c r="M1041" i="6"/>
  <c r="M1042" i="6"/>
  <c r="M1043" i="6"/>
  <c r="M1044" i="6"/>
  <c r="M1045" i="6"/>
  <c r="M1046" i="6"/>
  <c r="M1047" i="6"/>
  <c r="M1048" i="6"/>
  <c r="M1049" i="6"/>
  <c r="M1050" i="6"/>
  <c r="M1051" i="6"/>
  <c r="M1052" i="6"/>
  <c r="M1053" i="6"/>
  <c r="M1054" i="6"/>
  <c r="M1055" i="6"/>
  <c r="M1056" i="6"/>
  <c r="M1057" i="6"/>
  <c r="M1058" i="6"/>
  <c r="M1059" i="6"/>
  <c r="M1060" i="6"/>
  <c r="M1061" i="6"/>
  <c r="M1062" i="6"/>
  <c r="M1063" i="6"/>
  <c r="M1064" i="6"/>
  <c r="M1065" i="6"/>
  <c r="M1066" i="6"/>
  <c r="M1067" i="6"/>
  <c r="M1068" i="6"/>
  <c r="M1069" i="6"/>
  <c r="M1070" i="6"/>
  <c r="M1071" i="6"/>
  <c r="M1072" i="6"/>
  <c r="M1073" i="6"/>
  <c r="M1074" i="6"/>
  <c r="M1075" i="6"/>
  <c r="M1076" i="6"/>
  <c r="M1077" i="6"/>
  <c r="M1078" i="6"/>
  <c r="M1079" i="6"/>
  <c r="M1080" i="6"/>
  <c r="M1081" i="6"/>
  <c r="M1082" i="6"/>
  <c r="M1083" i="6"/>
  <c r="M1084" i="6"/>
  <c r="M1085" i="6"/>
  <c r="M1086" i="6"/>
  <c r="M1087" i="6"/>
  <c r="M1088" i="6"/>
  <c r="M1089" i="6"/>
  <c r="M1090" i="6"/>
  <c r="M1091" i="6"/>
  <c r="M1092" i="6"/>
  <c r="M1093" i="6"/>
  <c r="M1094" i="6"/>
  <c r="M1095" i="6"/>
  <c r="M1096" i="6"/>
  <c r="M1097" i="6"/>
  <c r="M1098" i="6"/>
  <c r="M1099" i="6"/>
  <c r="M1100" i="6"/>
  <c r="M1101" i="6"/>
  <c r="M1102" i="6"/>
  <c r="M1103" i="6"/>
  <c r="M1104" i="6"/>
  <c r="M1105" i="6"/>
  <c r="M1106" i="6"/>
  <c r="M1107" i="6"/>
  <c r="M1108" i="6"/>
  <c r="M1109" i="6"/>
  <c r="M1110" i="6"/>
  <c r="M1111" i="6"/>
  <c r="M1112" i="6"/>
  <c r="M1113" i="6"/>
  <c r="M1114" i="6"/>
  <c r="M1115" i="6"/>
  <c r="M1116" i="6"/>
  <c r="M1117" i="6"/>
  <c r="M1118" i="6"/>
  <c r="M1119" i="6"/>
  <c r="M1120" i="6"/>
  <c r="M1121" i="6"/>
  <c r="M1122" i="6"/>
  <c r="M1123" i="6"/>
  <c r="M1124" i="6"/>
  <c r="M1125" i="6"/>
  <c r="M1126" i="6"/>
  <c r="M1127" i="6"/>
  <c r="M1128" i="6"/>
  <c r="M1129" i="6"/>
  <c r="M1130" i="6"/>
  <c r="M1131" i="6"/>
  <c r="M1132" i="6"/>
  <c r="M1133" i="6"/>
  <c r="M1134" i="6"/>
  <c r="M1135" i="6"/>
  <c r="M1136" i="6"/>
  <c r="M1137" i="6"/>
  <c r="M1138" i="6"/>
  <c r="M1139" i="6"/>
  <c r="M1140" i="6"/>
  <c r="M1141" i="6"/>
  <c r="M1142" i="6"/>
  <c r="M1143" i="6"/>
  <c r="M1144" i="6"/>
  <c r="M1145" i="6"/>
  <c r="M1146" i="6"/>
  <c r="M1147" i="6"/>
  <c r="M1148" i="6"/>
  <c r="M1149" i="6"/>
  <c r="M1150" i="6"/>
  <c r="M1151" i="6"/>
  <c r="M1152" i="6"/>
  <c r="M1153" i="6"/>
  <c r="M1154" i="6"/>
  <c r="M1155" i="6"/>
  <c r="M1156" i="6"/>
  <c r="M1157" i="6"/>
  <c r="M1158" i="6"/>
  <c r="M1159" i="6"/>
  <c r="M1160" i="6"/>
  <c r="M1161" i="6"/>
  <c r="M1162" i="6"/>
  <c r="M1163" i="6"/>
  <c r="M1164" i="6"/>
  <c r="M1165" i="6"/>
  <c r="M1166" i="6"/>
  <c r="M1167" i="6"/>
  <c r="M1168" i="6"/>
  <c r="M1169" i="6"/>
  <c r="M1170" i="6"/>
  <c r="M1171" i="6"/>
  <c r="M1172" i="6"/>
  <c r="M1173" i="6"/>
  <c r="M1174" i="6"/>
  <c r="M1175" i="6"/>
  <c r="M1176" i="6"/>
  <c r="M1177" i="6"/>
  <c r="M1178" i="6"/>
  <c r="M1179" i="6"/>
  <c r="M1180" i="6"/>
  <c r="M1181" i="6"/>
  <c r="M1182" i="6"/>
  <c r="M1183" i="6"/>
  <c r="M1184" i="6"/>
  <c r="M1185" i="6"/>
  <c r="M1186" i="6"/>
  <c r="M1187" i="6"/>
  <c r="M1188" i="6"/>
  <c r="M1189" i="6"/>
  <c r="M1190" i="6"/>
  <c r="M1191" i="6"/>
  <c r="M1192" i="6"/>
  <c r="M1193" i="6"/>
  <c r="M1194" i="6"/>
  <c r="M1195" i="6"/>
  <c r="M1196" i="6"/>
  <c r="M1197" i="6"/>
  <c r="M1198" i="6"/>
  <c r="M1199" i="6"/>
  <c r="M1200" i="6"/>
  <c r="M1201" i="6"/>
  <c r="M1202" i="6"/>
  <c r="M1203" i="6"/>
  <c r="M1204" i="6"/>
  <c r="M1205" i="6"/>
  <c r="M1206" i="6"/>
  <c r="M1207" i="6"/>
  <c r="M1208" i="6"/>
  <c r="M1209" i="6"/>
  <c r="M1210" i="6"/>
  <c r="M1211" i="6"/>
  <c r="M1212" i="6"/>
  <c r="M1213" i="6"/>
  <c r="M1214" i="6"/>
  <c r="M1215" i="6"/>
  <c r="M1216" i="6"/>
  <c r="M1217" i="6"/>
  <c r="M1218" i="6"/>
  <c r="M1219" i="6"/>
  <c r="M1220" i="6"/>
  <c r="M1221" i="6"/>
  <c r="M1222" i="6"/>
  <c r="M1223" i="6"/>
  <c r="M1224" i="6"/>
  <c r="M1225" i="6"/>
  <c r="M1226" i="6"/>
  <c r="M1227" i="6"/>
  <c r="M1228" i="6"/>
  <c r="M1229" i="6"/>
  <c r="M1230" i="6"/>
  <c r="M1231" i="6"/>
  <c r="M1232" i="6"/>
  <c r="M1233" i="6"/>
  <c r="M1234" i="6"/>
  <c r="M1235" i="6"/>
  <c r="M1236" i="6"/>
  <c r="M1237" i="6"/>
  <c r="M1238" i="6"/>
  <c r="M1239" i="6"/>
  <c r="M1240" i="6"/>
  <c r="M1241" i="6"/>
  <c r="M1242" i="6"/>
  <c r="M1243" i="6"/>
  <c r="M1244" i="6"/>
  <c r="M1245" i="6"/>
  <c r="M1246" i="6"/>
  <c r="M1247" i="6"/>
  <c r="M1248" i="6"/>
  <c r="M1249" i="6"/>
  <c r="M1250" i="6"/>
  <c r="M1251" i="6"/>
  <c r="M1252" i="6"/>
  <c r="M1253" i="6"/>
  <c r="M1254" i="6"/>
  <c r="M1255" i="6"/>
  <c r="M1256" i="6"/>
  <c r="M1257" i="6"/>
  <c r="M1258" i="6"/>
  <c r="M1259" i="6"/>
  <c r="M1260" i="6"/>
  <c r="M1261" i="6"/>
  <c r="M1262" i="6"/>
  <c r="M1263" i="6"/>
  <c r="M1264" i="6"/>
  <c r="M1265" i="6"/>
  <c r="M1266" i="6"/>
  <c r="M1267" i="6"/>
  <c r="M1268" i="6"/>
  <c r="M1269" i="6"/>
  <c r="M1270" i="6"/>
  <c r="M1271" i="6"/>
  <c r="M1272" i="6"/>
  <c r="M1273" i="6"/>
  <c r="M1274" i="6"/>
  <c r="M1275" i="6"/>
  <c r="M1276" i="6"/>
  <c r="M1277" i="6"/>
  <c r="M1278" i="6"/>
  <c r="M1279" i="6"/>
  <c r="M1280" i="6"/>
  <c r="M1281" i="6"/>
  <c r="M1282" i="6"/>
  <c r="M1283" i="6"/>
  <c r="M1284" i="6"/>
  <c r="M1285" i="6"/>
  <c r="M1286" i="6"/>
  <c r="M1287" i="6"/>
  <c r="M1288" i="6"/>
  <c r="M1289" i="6"/>
  <c r="M1290" i="6"/>
  <c r="M1291" i="6"/>
  <c r="M1292" i="6"/>
  <c r="M1293" i="6"/>
  <c r="M1294" i="6"/>
  <c r="M1295" i="6"/>
  <c r="M1296" i="6"/>
  <c r="M1297" i="6"/>
  <c r="M1298" i="6"/>
  <c r="M1299" i="6"/>
  <c r="M1300" i="6"/>
  <c r="M1301" i="6"/>
  <c r="M1302" i="6"/>
  <c r="M1303" i="6"/>
  <c r="M1304" i="6"/>
  <c r="M1305" i="6"/>
  <c r="M1306" i="6"/>
  <c r="M1307" i="6"/>
  <c r="M1308" i="6"/>
  <c r="M1309" i="6"/>
  <c r="M1310" i="6"/>
  <c r="M1311" i="6"/>
  <c r="M1312" i="6"/>
  <c r="M1313" i="6"/>
  <c r="M1314" i="6"/>
  <c r="M1315" i="6"/>
  <c r="M1316" i="6"/>
  <c r="M1317" i="6"/>
  <c r="M1318" i="6"/>
  <c r="M1319" i="6"/>
  <c r="M1320" i="6"/>
  <c r="M1321" i="6"/>
  <c r="M1322" i="6"/>
  <c r="M1323" i="6"/>
  <c r="M1324" i="6"/>
  <c r="M1325" i="6"/>
  <c r="M1326" i="6"/>
  <c r="M1327" i="6"/>
  <c r="M1328" i="6"/>
  <c r="M1329" i="6"/>
  <c r="M1330" i="6"/>
  <c r="M1331" i="6"/>
  <c r="M1332" i="6"/>
  <c r="M1333" i="6"/>
  <c r="M1334" i="6"/>
  <c r="M1335" i="6"/>
  <c r="M1336" i="6"/>
  <c r="M1337" i="6"/>
  <c r="M1338" i="6"/>
  <c r="M1339" i="6"/>
  <c r="M1340" i="6"/>
  <c r="M1341" i="6"/>
  <c r="M1342" i="6"/>
  <c r="M1343" i="6"/>
  <c r="M1344" i="6"/>
  <c r="M1345" i="6"/>
  <c r="M1346" i="6"/>
  <c r="M1347" i="6"/>
  <c r="M1348" i="6"/>
  <c r="M1349" i="6"/>
  <c r="M1350" i="6"/>
  <c r="M1351" i="6"/>
  <c r="M1352" i="6"/>
  <c r="M1353" i="6"/>
  <c r="M1354" i="6"/>
  <c r="M1355" i="6"/>
  <c r="M1356" i="6"/>
  <c r="M1357" i="6"/>
  <c r="M1358" i="6"/>
  <c r="M1359" i="6"/>
  <c r="M1360" i="6"/>
  <c r="M1361" i="6"/>
  <c r="M1362" i="6"/>
  <c r="M1363" i="6"/>
  <c r="M1364" i="6"/>
  <c r="M1365" i="6"/>
  <c r="M1366" i="6"/>
  <c r="M1367" i="6"/>
  <c r="M1368" i="6"/>
  <c r="M1369" i="6"/>
  <c r="M1370" i="6"/>
  <c r="M1371" i="6"/>
  <c r="M1372" i="6"/>
  <c r="M1373" i="6"/>
  <c r="M1374" i="6"/>
  <c r="M1375" i="6"/>
  <c r="M1376" i="6"/>
  <c r="M1377" i="6"/>
  <c r="M1378" i="6"/>
  <c r="M1379" i="6"/>
  <c r="M1380" i="6"/>
  <c r="M1381" i="6"/>
  <c r="M1382" i="6"/>
  <c r="M1383" i="6"/>
  <c r="M1384" i="6"/>
  <c r="M1385" i="6"/>
  <c r="M1386" i="6"/>
  <c r="M1387" i="6"/>
  <c r="M1388" i="6"/>
  <c r="M1389" i="6"/>
  <c r="M1390" i="6"/>
  <c r="M1391" i="6"/>
  <c r="M1392" i="6"/>
  <c r="M1393" i="6"/>
  <c r="M1394" i="6"/>
  <c r="M1395" i="6"/>
  <c r="M1396" i="6"/>
  <c r="M1397" i="6"/>
  <c r="M1398" i="6"/>
  <c r="M1399" i="6"/>
  <c r="M1400" i="6"/>
  <c r="M1401" i="6"/>
  <c r="M1402" i="6"/>
  <c r="M1403" i="6"/>
  <c r="M1404" i="6"/>
  <c r="M1405" i="6"/>
  <c r="M1406" i="6"/>
  <c r="M1407" i="6"/>
  <c r="M1408" i="6"/>
  <c r="M1409" i="6"/>
  <c r="M1410" i="6"/>
  <c r="M1411" i="6"/>
  <c r="M1412" i="6"/>
  <c r="M1413" i="6"/>
  <c r="M1414" i="6"/>
  <c r="M1415" i="6"/>
  <c r="M1416" i="6"/>
  <c r="M1417" i="6"/>
  <c r="M1418" i="6"/>
  <c r="M1419" i="6"/>
  <c r="M1420" i="6"/>
  <c r="M1421" i="6"/>
  <c r="M1422" i="6"/>
  <c r="M1423" i="6"/>
  <c r="M1424" i="6"/>
  <c r="M1425" i="6"/>
  <c r="M1426" i="6"/>
  <c r="M1427" i="6"/>
  <c r="M1428" i="6"/>
  <c r="M1429" i="6"/>
  <c r="M1430" i="6"/>
  <c r="M1431" i="6"/>
  <c r="M1432" i="6"/>
  <c r="M1433" i="6"/>
  <c r="M1434" i="6"/>
  <c r="M1435" i="6"/>
  <c r="M1436" i="6"/>
  <c r="M1437" i="6"/>
  <c r="M1438" i="6"/>
  <c r="M1439" i="6"/>
  <c r="M1440" i="6"/>
  <c r="M1441" i="6"/>
  <c r="M1442" i="6"/>
  <c r="M1443" i="6"/>
  <c r="M1444" i="6"/>
  <c r="M1445" i="6"/>
  <c r="M1446" i="6"/>
  <c r="M1447" i="6"/>
  <c r="M1448" i="6"/>
  <c r="M1449" i="6"/>
  <c r="M1450" i="6"/>
  <c r="M1451" i="6"/>
  <c r="M1452" i="6"/>
  <c r="M1453" i="6"/>
  <c r="M1454" i="6"/>
  <c r="M1455" i="6"/>
  <c r="M1456" i="6"/>
  <c r="M1457" i="6"/>
  <c r="M1458" i="6"/>
  <c r="M1459" i="6"/>
  <c r="M1460" i="6"/>
  <c r="M1461" i="6"/>
  <c r="M1462" i="6"/>
  <c r="M1463" i="6"/>
  <c r="M1464" i="6"/>
  <c r="M1465" i="6"/>
  <c r="M1466" i="6"/>
  <c r="M1467" i="6"/>
  <c r="M1468" i="6"/>
  <c r="M1469" i="6"/>
  <c r="M1470" i="6"/>
  <c r="M1471" i="6"/>
  <c r="M1472" i="6"/>
  <c r="M1473" i="6"/>
  <c r="M1474" i="6"/>
  <c r="M1475" i="6"/>
  <c r="M1476" i="6"/>
  <c r="M1477" i="6"/>
  <c r="M1478" i="6"/>
  <c r="M1479" i="6"/>
  <c r="M1480" i="6"/>
  <c r="M1481" i="6"/>
  <c r="M1482" i="6"/>
  <c r="M1483" i="6"/>
  <c r="M1484" i="6"/>
  <c r="M1485" i="6"/>
  <c r="M1486" i="6"/>
  <c r="M1487" i="6"/>
  <c r="M1488" i="6"/>
  <c r="M1489" i="6"/>
  <c r="M1490" i="6"/>
  <c r="M1491" i="6"/>
  <c r="M1492" i="6"/>
  <c r="M1493" i="6"/>
  <c r="M1494" i="6"/>
  <c r="M1495" i="6"/>
  <c r="M1496" i="6"/>
  <c r="M1497" i="6"/>
  <c r="M1498" i="6"/>
  <c r="M1499" i="6"/>
  <c r="M1500" i="6"/>
  <c r="M1501" i="6"/>
  <c r="M1502" i="6"/>
  <c r="M1503" i="6"/>
  <c r="M1504" i="6"/>
  <c r="M1505" i="6"/>
  <c r="M1506" i="6"/>
  <c r="M1507" i="6"/>
  <c r="M1508" i="6"/>
  <c r="M1509" i="6"/>
  <c r="M1510" i="6"/>
  <c r="M1511" i="6"/>
  <c r="M1512" i="6"/>
  <c r="M1513" i="6"/>
  <c r="M1514" i="6"/>
  <c r="M1515" i="6"/>
  <c r="M1516" i="6"/>
  <c r="M1517" i="6"/>
  <c r="M1518" i="6"/>
  <c r="M1519" i="6"/>
  <c r="M1520" i="6"/>
  <c r="M1521" i="6"/>
  <c r="M1522" i="6"/>
  <c r="M1523" i="6"/>
  <c r="M1524" i="6"/>
  <c r="M1525" i="6"/>
  <c r="M1526" i="6"/>
  <c r="M1527" i="6"/>
  <c r="M1528" i="6"/>
  <c r="M1529" i="6"/>
  <c r="M1530" i="6"/>
  <c r="M1531" i="6"/>
  <c r="M1532" i="6"/>
  <c r="M1533" i="6"/>
  <c r="M1534" i="6"/>
  <c r="M1535" i="6"/>
  <c r="M1536" i="6"/>
  <c r="M1537" i="6"/>
  <c r="M1538" i="6"/>
  <c r="M1539" i="6"/>
  <c r="M1540" i="6"/>
  <c r="M1541" i="6"/>
  <c r="M1542" i="6"/>
  <c r="M1543" i="6"/>
  <c r="M1544" i="6"/>
  <c r="M1545" i="6"/>
  <c r="M1546" i="6"/>
  <c r="M1547" i="6"/>
  <c r="M1548" i="6"/>
  <c r="M1549" i="6"/>
  <c r="M1550" i="6"/>
  <c r="M1551" i="6"/>
  <c r="M1552" i="6"/>
  <c r="M1553" i="6"/>
  <c r="M1554" i="6"/>
  <c r="M1555" i="6"/>
  <c r="M1556" i="6"/>
  <c r="M1557" i="6"/>
  <c r="M1558" i="6"/>
  <c r="M1559" i="6"/>
  <c r="M1560" i="6"/>
  <c r="M1561" i="6"/>
  <c r="M1562" i="6"/>
  <c r="M1563" i="6"/>
  <c r="M1564" i="6"/>
  <c r="M1565" i="6"/>
  <c r="M1566" i="6"/>
  <c r="M1567" i="6"/>
  <c r="M1568" i="6"/>
  <c r="M1569" i="6"/>
  <c r="M1570" i="6"/>
  <c r="M1571" i="6"/>
  <c r="M1572" i="6"/>
  <c r="M1573" i="6"/>
  <c r="M1574" i="6"/>
  <c r="M1575" i="6"/>
  <c r="M1576" i="6"/>
  <c r="M1577" i="6"/>
  <c r="M1578" i="6"/>
  <c r="M1579" i="6"/>
  <c r="M1580" i="6"/>
  <c r="M1581" i="6"/>
  <c r="M1582" i="6"/>
  <c r="M1583" i="6"/>
  <c r="M1584" i="6"/>
  <c r="M1585" i="6"/>
  <c r="M1586" i="6"/>
  <c r="M1587" i="6"/>
  <c r="M1588" i="6"/>
  <c r="M1589" i="6"/>
  <c r="M1590" i="6"/>
  <c r="M1591" i="6"/>
  <c r="M1592" i="6"/>
  <c r="M1593" i="6"/>
  <c r="M1594" i="6"/>
  <c r="M1595" i="6"/>
  <c r="M1596" i="6"/>
  <c r="M1597" i="6"/>
  <c r="M1598" i="6"/>
  <c r="M1599" i="6"/>
  <c r="M1600" i="6"/>
  <c r="M1601" i="6"/>
  <c r="M1602" i="6"/>
  <c r="M1603" i="6"/>
  <c r="M1604" i="6"/>
  <c r="M1605" i="6"/>
  <c r="M1606" i="6"/>
  <c r="M1607" i="6"/>
  <c r="M1608" i="6"/>
  <c r="M1609" i="6"/>
  <c r="M1610" i="6"/>
  <c r="M1611" i="6"/>
  <c r="M1612" i="6"/>
  <c r="M1613" i="6"/>
  <c r="M1614" i="6"/>
  <c r="M1615" i="6"/>
  <c r="M1616" i="6"/>
  <c r="M1617" i="6"/>
  <c r="M1618" i="6"/>
  <c r="M1619" i="6"/>
  <c r="M1620" i="6"/>
  <c r="M1621" i="6"/>
  <c r="M1622" i="6"/>
  <c r="M1623" i="6"/>
  <c r="M1624" i="6"/>
  <c r="M1625" i="6"/>
  <c r="M1626" i="6"/>
  <c r="M1627" i="6"/>
  <c r="M1628" i="6"/>
  <c r="M1629" i="6"/>
  <c r="M1630" i="6"/>
  <c r="M1631" i="6"/>
  <c r="M1632" i="6"/>
  <c r="M1633" i="6"/>
  <c r="M1634" i="6"/>
  <c r="M1635" i="6"/>
  <c r="M1636" i="6"/>
  <c r="M1637" i="6"/>
  <c r="M1638" i="6"/>
  <c r="M1639" i="6"/>
  <c r="M1640" i="6"/>
  <c r="M1641" i="6"/>
  <c r="M1642" i="6"/>
  <c r="M1643" i="6"/>
  <c r="M1644" i="6"/>
  <c r="M1645" i="6"/>
  <c r="M1646" i="6"/>
  <c r="M1647" i="6"/>
  <c r="M1648" i="6"/>
  <c r="M1649" i="6"/>
  <c r="M1650" i="6"/>
  <c r="M1651" i="6"/>
  <c r="M1652" i="6"/>
  <c r="M1653" i="6"/>
  <c r="M1654" i="6"/>
  <c r="M1655" i="6"/>
  <c r="M1656" i="6"/>
  <c r="M1657" i="6"/>
  <c r="M1658" i="6"/>
  <c r="M1659" i="6"/>
  <c r="M1660" i="6"/>
  <c r="M1661" i="6"/>
  <c r="M1662" i="6"/>
  <c r="M1663" i="6"/>
  <c r="M1664" i="6"/>
  <c r="M1665" i="6"/>
  <c r="M1666" i="6"/>
  <c r="M1667" i="6"/>
  <c r="M1668" i="6"/>
  <c r="M1669" i="6"/>
  <c r="M1670" i="6"/>
  <c r="M1671" i="6"/>
  <c r="M1672" i="6"/>
  <c r="M1673" i="6"/>
  <c r="M1674" i="6"/>
  <c r="M1675" i="6"/>
  <c r="M1676" i="6"/>
  <c r="M1677" i="6"/>
  <c r="M1678" i="6"/>
  <c r="M1679" i="6"/>
  <c r="M1680" i="6"/>
  <c r="M1681" i="6"/>
  <c r="M1682" i="6"/>
  <c r="M1683" i="6"/>
  <c r="M1684" i="6"/>
  <c r="M1685" i="6"/>
  <c r="M1686" i="6"/>
  <c r="M1687" i="6"/>
  <c r="M1688" i="6"/>
  <c r="M1689" i="6"/>
  <c r="M1690" i="6"/>
  <c r="M1691" i="6"/>
  <c r="M1692" i="6"/>
  <c r="M1693" i="6"/>
  <c r="M1694" i="6"/>
  <c r="M1695" i="6"/>
  <c r="M1696" i="6"/>
  <c r="M1697" i="6"/>
  <c r="M1698" i="6"/>
  <c r="M1699" i="6"/>
  <c r="M1700" i="6"/>
  <c r="M1701" i="6"/>
  <c r="M1702" i="6"/>
  <c r="M1703" i="6"/>
  <c r="M1704" i="6"/>
  <c r="M1705" i="6"/>
  <c r="M1706" i="6"/>
  <c r="M1707" i="6"/>
  <c r="M1708" i="6"/>
  <c r="M1709" i="6"/>
  <c r="M1710" i="6"/>
  <c r="M1711" i="6"/>
  <c r="M1712" i="6"/>
  <c r="M1713" i="6"/>
  <c r="M1714" i="6"/>
  <c r="M1715" i="6"/>
  <c r="M1716" i="6"/>
  <c r="M1717" i="6"/>
  <c r="M1718" i="6"/>
  <c r="M1719" i="6"/>
  <c r="M1720" i="6"/>
  <c r="M1721" i="6"/>
  <c r="M1722" i="6"/>
  <c r="M1723" i="6"/>
  <c r="M1724" i="6"/>
  <c r="M1725" i="6"/>
  <c r="M1726" i="6"/>
  <c r="M1727" i="6"/>
  <c r="M1728" i="6"/>
  <c r="M1729" i="6"/>
  <c r="M1730" i="6"/>
  <c r="M1731" i="6"/>
  <c r="M1732" i="6"/>
  <c r="M1733" i="6"/>
  <c r="M1734" i="6"/>
  <c r="M1735" i="6"/>
  <c r="M1736" i="6"/>
  <c r="M1737" i="6"/>
  <c r="M1738" i="6"/>
  <c r="M1739" i="6"/>
  <c r="M1740" i="6"/>
  <c r="M1741" i="6"/>
  <c r="M1742" i="6"/>
  <c r="M1743" i="6"/>
  <c r="M1744" i="6"/>
  <c r="M1745" i="6"/>
  <c r="M1746" i="6"/>
  <c r="M1747" i="6"/>
  <c r="M1748" i="6"/>
  <c r="M1749" i="6"/>
  <c r="M1750" i="6"/>
  <c r="M1751" i="6"/>
  <c r="M1752" i="6"/>
  <c r="M1753" i="6"/>
  <c r="M1754" i="6"/>
  <c r="M1755" i="6"/>
  <c r="M1756" i="6"/>
  <c r="M1757" i="6"/>
  <c r="M1758" i="6"/>
  <c r="M1759" i="6"/>
  <c r="M1760" i="6"/>
  <c r="M1761" i="6"/>
  <c r="M1762" i="6"/>
  <c r="M1763" i="6"/>
  <c r="M1764" i="6"/>
  <c r="M1765" i="6"/>
  <c r="M1766" i="6"/>
  <c r="M1767" i="6"/>
  <c r="M1768" i="6"/>
  <c r="M1769" i="6"/>
  <c r="M1770" i="6"/>
  <c r="M1771" i="6"/>
  <c r="M1772" i="6"/>
  <c r="M1773" i="6"/>
  <c r="M1774" i="6"/>
  <c r="M1775" i="6"/>
  <c r="M1776" i="6"/>
  <c r="M1777" i="6"/>
  <c r="M1778" i="6"/>
  <c r="M1779" i="6"/>
  <c r="M1780" i="6"/>
  <c r="M1781" i="6"/>
  <c r="M1782" i="6"/>
  <c r="M1783" i="6"/>
  <c r="M1784" i="6"/>
  <c r="M1785" i="6"/>
  <c r="M1786" i="6"/>
  <c r="M1787" i="6"/>
  <c r="M1788" i="6"/>
  <c r="M1789" i="6"/>
  <c r="M1790" i="6"/>
  <c r="M1791" i="6"/>
  <c r="M1792" i="6"/>
  <c r="M1793" i="6"/>
  <c r="M1794" i="6"/>
  <c r="M1795" i="6"/>
  <c r="M1796" i="6"/>
  <c r="M1797" i="6"/>
  <c r="M1798" i="6"/>
  <c r="M1799" i="6"/>
  <c r="M1800" i="6"/>
  <c r="M1801" i="6"/>
  <c r="M1802" i="6"/>
  <c r="M1803" i="6"/>
  <c r="M1804" i="6"/>
  <c r="M1805" i="6"/>
  <c r="M1806" i="6"/>
  <c r="M1807" i="6"/>
  <c r="M1808" i="6"/>
  <c r="M1809" i="6"/>
  <c r="M1810" i="6"/>
  <c r="M1811" i="6"/>
  <c r="M1812" i="6"/>
  <c r="M1813" i="6"/>
  <c r="M1814" i="6"/>
  <c r="M1815" i="6"/>
  <c r="M1816" i="6"/>
  <c r="M1817" i="6"/>
  <c r="M1818" i="6"/>
  <c r="M1819" i="6"/>
  <c r="M1820" i="6"/>
  <c r="M1821" i="6"/>
  <c r="M1822" i="6"/>
  <c r="M1823" i="6"/>
  <c r="M1824" i="6"/>
  <c r="M1825" i="6"/>
  <c r="M1826" i="6"/>
  <c r="M1827" i="6"/>
  <c r="M1828" i="6"/>
  <c r="M1829" i="6"/>
  <c r="M1830" i="6"/>
  <c r="M1831" i="6"/>
  <c r="M1832" i="6"/>
  <c r="M1833" i="6"/>
  <c r="M1834" i="6"/>
  <c r="M1835" i="6"/>
  <c r="M1836" i="6"/>
  <c r="M1837" i="6"/>
  <c r="M1838" i="6"/>
  <c r="M1839" i="6"/>
  <c r="M1840" i="6"/>
  <c r="M1841" i="6"/>
  <c r="M1842" i="6"/>
  <c r="M1843" i="6"/>
  <c r="M1844" i="6"/>
  <c r="M1845" i="6"/>
  <c r="M1846" i="6"/>
  <c r="M1847" i="6"/>
  <c r="M1848" i="6"/>
  <c r="M1849" i="6"/>
  <c r="M1850" i="6"/>
  <c r="M1851" i="6"/>
  <c r="M1852" i="6"/>
  <c r="M1853" i="6"/>
  <c r="M1854" i="6"/>
  <c r="M1855" i="6"/>
  <c r="M1856" i="6"/>
  <c r="M1857" i="6"/>
  <c r="M1858" i="6"/>
  <c r="M1859" i="6"/>
  <c r="M1860" i="6"/>
  <c r="M1861" i="6"/>
  <c r="M1862" i="6"/>
  <c r="M1863" i="6"/>
  <c r="M1864" i="6"/>
  <c r="M1865" i="6"/>
  <c r="M1866" i="6"/>
  <c r="M1867" i="6"/>
  <c r="M1868" i="6"/>
  <c r="M1869" i="6"/>
  <c r="M1870" i="6"/>
  <c r="M1871" i="6"/>
  <c r="M1872" i="6"/>
  <c r="M1873" i="6"/>
  <c r="M1874" i="6"/>
  <c r="M1875" i="6"/>
  <c r="M1876" i="6"/>
  <c r="M1877" i="6"/>
  <c r="M1878" i="6"/>
  <c r="M1879" i="6"/>
  <c r="M1880" i="6"/>
  <c r="M1881" i="6"/>
  <c r="M1882" i="6"/>
  <c r="M1883" i="6"/>
  <c r="M1884" i="6"/>
  <c r="M1885" i="6"/>
  <c r="M1886" i="6"/>
  <c r="M1887" i="6"/>
  <c r="M1888" i="6"/>
  <c r="M1889" i="6"/>
  <c r="M1890" i="6"/>
  <c r="M1891" i="6"/>
  <c r="M1892" i="6"/>
  <c r="M1893" i="6"/>
  <c r="M1894" i="6"/>
  <c r="M1895" i="6"/>
  <c r="M1896" i="6"/>
  <c r="M1897" i="6"/>
  <c r="M1898" i="6"/>
  <c r="M1899" i="6"/>
  <c r="M1900" i="6"/>
  <c r="M1901" i="6"/>
  <c r="M1902" i="6"/>
  <c r="M1903" i="6"/>
  <c r="M1904" i="6"/>
  <c r="M1905" i="6"/>
  <c r="M1906" i="6"/>
  <c r="M1907" i="6"/>
  <c r="M1908" i="6"/>
  <c r="M1909" i="6"/>
  <c r="M1910" i="6"/>
  <c r="M1911" i="6"/>
  <c r="M1912" i="6"/>
  <c r="M1913" i="6"/>
  <c r="M1914" i="6"/>
  <c r="M1915" i="6"/>
  <c r="M1916" i="6"/>
  <c r="M1917" i="6"/>
  <c r="M1918" i="6"/>
  <c r="M1919" i="6"/>
  <c r="M1920" i="6"/>
  <c r="M1921" i="6"/>
  <c r="M1922" i="6"/>
  <c r="M1923" i="6"/>
  <c r="M1924" i="6"/>
  <c r="M1925" i="6"/>
  <c r="M1926" i="6"/>
  <c r="M1927" i="6"/>
  <c r="M1928" i="6"/>
  <c r="M1929" i="6"/>
  <c r="M1930" i="6"/>
  <c r="M1931" i="6"/>
  <c r="M1932" i="6"/>
  <c r="M1933" i="6"/>
  <c r="M1934" i="6"/>
  <c r="M1935" i="6"/>
  <c r="M1936" i="6"/>
  <c r="M1937" i="6"/>
  <c r="M1938" i="6"/>
  <c r="M1939" i="6"/>
  <c r="M1940" i="6"/>
  <c r="M1941" i="6"/>
  <c r="M1942" i="6"/>
  <c r="M1943" i="6"/>
  <c r="M1944" i="6"/>
  <c r="M1945" i="6"/>
  <c r="M1946" i="6"/>
  <c r="M1947" i="6"/>
  <c r="M1948" i="6"/>
  <c r="M1949" i="6"/>
  <c r="M1950" i="6"/>
  <c r="M1951" i="6"/>
  <c r="M1952" i="6"/>
  <c r="M1953" i="6"/>
  <c r="M1954" i="6"/>
  <c r="M1955" i="6"/>
  <c r="M1956" i="6"/>
  <c r="M1957" i="6"/>
  <c r="M1958" i="6"/>
  <c r="M1959" i="6"/>
  <c r="M1960" i="6"/>
  <c r="M1961" i="6"/>
  <c r="M1962" i="6"/>
  <c r="M1963" i="6"/>
  <c r="M1964" i="6"/>
  <c r="M1965" i="6"/>
  <c r="M1966" i="6"/>
  <c r="M1967" i="6"/>
  <c r="M1968" i="6"/>
  <c r="M1969" i="6"/>
  <c r="M1970" i="6"/>
  <c r="M1971" i="6"/>
  <c r="M1972" i="6"/>
  <c r="M1973" i="6"/>
  <c r="M1974" i="6"/>
  <c r="M1975" i="6"/>
  <c r="M1976" i="6"/>
  <c r="M1977" i="6"/>
  <c r="M1978" i="6"/>
  <c r="M1979" i="6"/>
  <c r="M1980" i="6"/>
  <c r="M1981" i="6"/>
  <c r="M1982" i="6"/>
  <c r="M1983" i="6"/>
  <c r="M1984" i="6"/>
  <c r="M1985" i="6"/>
  <c r="M1986" i="6"/>
  <c r="M1987" i="6"/>
  <c r="M1988" i="6"/>
  <c r="M1989" i="6"/>
  <c r="M1990" i="6"/>
  <c r="M1991" i="6"/>
  <c r="M1992" i="6"/>
  <c r="M1993" i="6"/>
  <c r="M1994" i="6"/>
  <c r="M1995" i="6"/>
  <c r="M1996" i="6"/>
  <c r="M1997" i="6"/>
  <c r="M1998" i="6"/>
  <c r="M1999" i="6"/>
  <c r="M2000" i="6"/>
  <c r="M2001" i="6"/>
  <c r="M2002" i="6"/>
  <c r="M2003" i="6"/>
  <c r="M2004" i="6"/>
  <c r="M2005" i="6"/>
  <c r="M2006" i="6"/>
  <c r="M2007" i="6"/>
  <c r="M2008" i="6"/>
  <c r="M2009" i="6"/>
  <c r="M2010" i="6"/>
  <c r="M2011" i="6"/>
  <c r="M2012" i="6"/>
  <c r="M2013" i="6"/>
  <c r="M2014" i="6"/>
  <c r="M2015" i="6"/>
  <c r="M2016" i="6"/>
  <c r="M2017" i="6"/>
  <c r="M2018" i="6"/>
  <c r="M2019" i="6"/>
  <c r="M2020" i="6"/>
  <c r="M2021" i="6"/>
  <c r="M2022" i="6"/>
  <c r="M2023" i="6"/>
  <c r="M2024" i="6"/>
  <c r="M2025" i="6"/>
  <c r="M2026" i="6"/>
  <c r="M2027" i="6"/>
  <c r="M2028" i="6"/>
  <c r="M2029" i="6"/>
  <c r="M2030" i="6"/>
  <c r="M2031" i="6"/>
  <c r="M2032" i="6"/>
  <c r="M2033" i="6"/>
  <c r="M2034" i="6"/>
  <c r="M2035" i="6"/>
  <c r="M2036" i="6"/>
  <c r="M2037" i="6"/>
  <c r="M2038" i="6"/>
  <c r="M2039" i="6"/>
  <c r="M2040" i="6"/>
  <c r="M2041" i="6"/>
  <c r="M2042" i="6"/>
  <c r="M2043" i="6"/>
  <c r="M2044" i="6"/>
  <c r="M2045" i="6"/>
  <c r="M2046" i="6"/>
  <c r="M2047" i="6"/>
  <c r="M2048" i="6"/>
  <c r="M2049" i="6"/>
  <c r="M2050" i="6"/>
  <c r="M2051" i="6"/>
  <c r="M2052" i="6"/>
  <c r="M2053" i="6"/>
  <c r="M2054" i="6"/>
  <c r="M2055" i="6"/>
  <c r="M2056" i="6"/>
  <c r="M2057" i="6"/>
  <c r="M44" i="6"/>
  <c r="I8" i="8"/>
  <c r="I18" i="8" l="1"/>
  <c r="I17" i="8"/>
  <c r="I16" i="8"/>
  <c r="I15" i="8"/>
  <c r="I14" i="8"/>
  <c r="I13" i="8"/>
  <c r="I12" i="8"/>
  <c r="I11" i="8"/>
  <c r="I10" i="8"/>
  <c r="I9" i="8"/>
  <c r="F85" i="8"/>
  <c r="F84" i="8"/>
  <c r="F83" i="8"/>
  <c r="F82" i="8"/>
  <c r="F81" i="8"/>
  <c r="F80" i="8"/>
  <c r="F79" i="8"/>
  <c r="F78" i="8"/>
  <c r="F77" i="8"/>
  <c r="F76" i="8"/>
  <c r="F75" i="8"/>
  <c r="F74" i="8"/>
  <c r="F73" i="8"/>
  <c r="F72" i="8"/>
  <c r="F71" i="8"/>
  <c r="F70" i="8"/>
  <c r="F69" i="8"/>
  <c r="F68" i="8"/>
  <c r="F67" i="8"/>
  <c r="F66" i="8"/>
  <c r="F65" i="8"/>
  <c r="F64" i="8"/>
  <c r="F63" i="8"/>
  <c r="F62" i="8"/>
  <c r="E85" i="8"/>
  <c r="E84" i="8"/>
  <c r="E83" i="8"/>
  <c r="E82" i="8"/>
  <c r="E81" i="8"/>
  <c r="E80" i="8"/>
  <c r="E79" i="8"/>
  <c r="E78" i="8"/>
  <c r="E77" i="8"/>
  <c r="E76" i="8"/>
  <c r="E75" i="8"/>
  <c r="E74" i="8"/>
  <c r="E73" i="8"/>
  <c r="E72" i="8"/>
  <c r="E71" i="8"/>
  <c r="E70" i="8"/>
  <c r="E69" i="8"/>
  <c r="E68" i="8"/>
  <c r="E67" i="8"/>
  <c r="E66" i="8"/>
  <c r="E65" i="8"/>
  <c r="E64" i="8"/>
  <c r="E63" i="8"/>
  <c r="E62" i="8"/>
  <c r="E61" i="8"/>
  <c r="E60" i="8"/>
  <c r="E59" i="8"/>
  <c r="E58" i="8"/>
  <c r="E42" i="8"/>
  <c r="E41" i="8"/>
  <c r="E38" i="8"/>
  <c r="E40" i="8" s="1"/>
  <c r="F37" i="8"/>
  <c r="F35" i="8"/>
  <c r="F34" i="8"/>
  <c r="F33" i="8"/>
  <c r="F32" i="8"/>
  <c r="F31" i="8"/>
  <c r="F30" i="8"/>
  <c r="F29" i="8"/>
  <c r="F28" i="8"/>
  <c r="F27" i="8"/>
  <c r="F26" i="8"/>
  <c r="F25" i="8"/>
  <c r="F24" i="8"/>
  <c r="E25" i="8"/>
  <c r="E24" i="8"/>
  <c r="O13" i="1" l="1"/>
  <c r="M13" i="1"/>
  <c r="E22" i="8" s="1"/>
  <c r="J13" i="1"/>
  <c r="AE12" i="1"/>
  <c r="AD12" i="1"/>
  <c r="AC12" i="1"/>
  <c r="AA12" i="1"/>
  <c r="Y12" i="1"/>
  <c r="X12" i="1"/>
  <c r="P12" i="1"/>
  <c r="AF12" i="1" l="1"/>
  <c r="Z12" i="1"/>
  <c r="AB12" i="1" s="1"/>
  <c r="W12" i="1"/>
  <c r="AG12" i="1" s="1"/>
  <c r="AH12" i="1"/>
  <c r="AI12" i="1"/>
  <c r="A9" i="8" l="1"/>
  <c r="A10" i="8"/>
  <c r="A11" i="8"/>
  <c r="A12" i="8"/>
  <c r="A13" i="8"/>
  <c r="A14" i="8"/>
  <c r="A15" i="8"/>
  <c r="A16" i="8"/>
  <c r="A17" i="8"/>
  <c r="A18" i="8"/>
  <c r="A19" i="8"/>
  <c r="A20" i="8"/>
  <c r="A21" i="8"/>
  <c r="A23" i="8"/>
  <c r="A24" i="8"/>
  <c r="A25" i="8"/>
  <c r="A26" i="8"/>
  <c r="A27" i="8"/>
  <c r="A28" i="8"/>
  <c r="A29" i="8"/>
  <c r="A30" i="8"/>
  <c r="A31" i="8"/>
  <c r="A32" i="8"/>
  <c r="A33" i="8"/>
  <c r="A34" i="8"/>
  <c r="A35" i="8"/>
  <c r="A37" i="8"/>
  <c r="A38" i="8"/>
  <c r="A40" i="8"/>
  <c r="A41" i="8"/>
  <c r="A42" i="8"/>
  <c r="A43" i="8"/>
  <c r="A44" i="8"/>
  <c r="A45" i="8"/>
  <c r="A46" i="8"/>
  <c r="A47" i="8"/>
  <c r="A48" i="8"/>
  <c r="A49" i="8"/>
  <c r="A50" i="8"/>
  <c r="A51" i="8"/>
  <c r="A52" i="8"/>
  <c r="A53" i="8"/>
  <c r="A54" i="8"/>
  <c r="A55" i="8"/>
  <c r="A56" i="8"/>
  <c r="A57" i="8"/>
  <c r="A58" i="8"/>
  <c r="A59" i="8"/>
  <c r="A60" i="8"/>
  <c r="A61" i="8"/>
  <c r="A62" i="8"/>
  <c r="A63" i="8"/>
  <c r="A64" i="8"/>
  <c r="A65" i="8"/>
  <c r="A66" i="8"/>
  <c r="A67" i="8"/>
  <c r="A68" i="8"/>
  <c r="A69" i="8"/>
  <c r="A70" i="8"/>
  <c r="A71" i="8"/>
  <c r="A72" i="8"/>
  <c r="A73" i="8"/>
  <c r="A74" i="8"/>
  <c r="A75" i="8"/>
  <c r="A76" i="8"/>
  <c r="A77" i="8"/>
  <c r="A78" i="8"/>
  <c r="A79" i="8"/>
  <c r="A80" i="8"/>
  <c r="A81" i="8"/>
  <c r="A82" i="8"/>
  <c r="A83" i="8"/>
  <c r="A84" i="8"/>
  <c r="A85" i="8"/>
  <c r="A8" i="8"/>
  <c r="L44" i="6" l="1"/>
  <c r="L45" i="6"/>
  <c r="L46" i="6"/>
  <c r="L47" i="6"/>
  <c r="L48" i="6"/>
  <c r="L49" i="6"/>
  <c r="L50" i="6"/>
  <c r="L51" i="6"/>
  <c r="L52" i="6"/>
  <c r="L53" i="6"/>
  <c r="L54" i="6"/>
  <c r="L55" i="6"/>
  <c r="L56" i="6"/>
  <c r="L57" i="6"/>
  <c r="L58" i="6"/>
  <c r="L59" i="6"/>
  <c r="L60" i="6"/>
  <c r="L61" i="6"/>
  <c r="L62" i="6"/>
  <c r="L63" i="6"/>
  <c r="L64" i="6"/>
  <c r="L65" i="6"/>
  <c r="L66" i="6"/>
  <c r="L67" i="6"/>
  <c r="L68" i="6"/>
  <c r="L69" i="6"/>
  <c r="L70" i="6"/>
  <c r="L71" i="6"/>
  <c r="L72" i="6"/>
  <c r="L73" i="6"/>
  <c r="L74" i="6"/>
  <c r="L75" i="6"/>
  <c r="L76" i="6"/>
  <c r="L77" i="6"/>
  <c r="L78" i="6"/>
  <c r="L79" i="6"/>
  <c r="L80" i="6"/>
  <c r="L81" i="6"/>
  <c r="L82" i="6"/>
  <c r="L83" i="6"/>
  <c r="L84" i="6"/>
  <c r="L85" i="6"/>
  <c r="L86" i="6"/>
  <c r="L87" i="6"/>
  <c r="L88" i="6"/>
  <c r="L89" i="6"/>
  <c r="L90" i="6"/>
  <c r="L91" i="6"/>
  <c r="L92" i="6"/>
  <c r="L93" i="6"/>
  <c r="L94" i="6"/>
  <c r="L95" i="6"/>
  <c r="L96" i="6"/>
  <c r="L97" i="6"/>
  <c r="L98" i="6"/>
  <c r="L99" i="6"/>
  <c r="L100" i="6"/>
  <c r="L101" i="6"/>
  <c r="L102" i="6"/>
  <c r="L103" i="6"/>
  <c r="L104" i="6"/>
  <c r="L105" i="6"/>
  <c r="L106" i="6"/>
  <c r="L107" i="6"/>
  <c r="L108" i="6"/>
  <c r="L109" i="6"/>
  <c r="L110" i="6"/>
  <c r="L111" i="6"/>
  <c r="L112" i="6"/>
  <c r="L113" i="6"/>
  <c r="L114" i="6"/>
  <c r="L115" i="6"/>
  <c r="L116" i="6"/>
  <c r="L117" i="6"/>
  <c r="L118" i="6"/>
  <c r="L119" i="6"/>
  <c r="L120" i="6"/>
  <c r="L121" i="6"/>
  <c r="L122" i="6"/>
  <c r="L123" i="6"/>
  <c r="L124" i="6"/>
  <c r="L125" i="6"/>
  <c r="L126" i="6"/>
  <c r="L127" i="6"/>
  <c r="L128" i="6"/>
  <c r="L129" i="6"/>
  <c r="L130" i="6"/>
  <c r="L131" i="6"/>
  <c r="L132" i="6"/>
  <c r="L133" i="6"/>
  <c r="L134" i="6"/>
  <c r="L135" i="6"/>
  <c r="L136" i="6"/>
  <c r="L137" i="6"/>
  <c r="L138" i="6"/>
  <c r="L139" i="6"/>
  <c r="L140" i="6"/>
  <c r="L141" i="6"/>
  <c r="L142" i="6"/>
  <c r="L143" i="6"/>
  <c r="L144" i="6"/>
  <c r="L145" i="6"/>
  <c r="L146" i="6"/>
  <c r="L147" i="6"/>
  <c r="L148" i="6"/>
  <c r="L149" i="6"/>
  <c r="L150" i="6"/>
  <c r="L151" i="6"/>
  <c r="L152" i="6"/>
  <c r="L153" i="6"/>
  <c r="L154" i="6"/>
  <c r="L155" i="6"/>
  <c r="L156" i="6"/>
  <c r="L157" i="6"/>
  <c r="L158" i="6"/>
  <c r="L159" i="6"/>
  <c r="L160" i="6"/>
  <c r="L161" i="6"/>
  <c r="L162" i="6"/>
  <c r="L163" i="6"/>
  <c r="L164" i="6"/>
  <c r="L165" i="6"/>
  <c r="L166" i="6"/>
  <c r="L167" i="6"/>
  <c r="L168" i="6"/>
  <c r="L169" i="6"/>
  <c r="L170" i="6"/>
  <c r="L171" i="6"/>
  <c r="L172" i="6"/>
  <c r="L173" i="6"/>
  <c r="L174" i="6"/>
  <c r="L175" i="6"/>
  <c r="L176" i="6"/>
  <c r="L177" i="6"/>
  <c r="L178" i="6"/>
  <c r="L179" i="6"/>
  <c r="L180" i="6"/>
  <c r="L181" i="6"/>
  <c r="L182" i="6"/>
  <c r="L183" i="6"/>
  <c r="L184" i="6"/>
  <c r="L185" i="6"/>
  <c r="L186" i="6"/>
  <c r="L187" i="6"/>
  <c r="L188" i="6"/>
  <c r="L189" i="6"/>
  <c r="L190" i="6"/>
  <c r="L191" i="6"/>
  <c r="L192" i="6"/>
  <c r="L193" i="6"/>
  <c r="L194" i="6"/>
  <c r="L195" i="6"/>
  <c r="L196" i="6"/>
  <c r="L197" i="6"/>
  <c r="L198" i="6"/>
  <c r="L199" i="6"/>
  <c r="L200" i="6"/>
  <c r="L201" i="6"/>
  <c r="L202" i="6"/>
  <c r="L203" i="6"/>
  <c r="L204" i="6"/>
  <c r="L205" i="6"/>
  <c r="L206" i="6"/>
  <c r="L207" i="6"/>
  <c r="L208" i="6"/>
  <c r="L209" i="6"/>
  <c r="L210" i="6"/>
  <c r="L211" i="6"/>
  <c r="L212" i="6"/>
  <c r="L213" i="6"/>
  <c r="L214" i="6"/>
  <c r="L215" i="6"/>
  <c r="L216" i="6"/>
  <c r="L217" i="6"/>
  <c r="L218" i="6"/>
  <c r="L219" i="6"/>
  <c r="L220" i="6"/>
  <c r="L221" i="6"/>
  <c r="L222" i="6"/>
  <c r="L223" i="6"/>
  <c r="L224" i="6"/>
  <c r="L225" i="6"/>
  <c r="L226" i="6"/>
  <c r="L227" i="6"/>
  <c r="L228" i="6"/>
  <c r="L229" i="6"/>
  <c r="L230" i="6"/>
  <c r="L231" i="6"/>
  <c r="L232" i="6"/>
  <c r="L233" i="6"/>
  <c r="L234" i="6"/>
  <c r="L235" i="6"/>
  <c r="L236" i="6"/>
  <c r="L237" i="6"/>
  <c r="L238" i="6"/>
  <c r="L239" i="6"/>
  <c r="L240" i="6"/>
  <c r="L241" i="6"/>
  <c r="L242" i="6"/>
  <c r="L243" i="6"/>
  <c r="L244" i="6"/>
  <c r="L245" i="6"/>
  <c r="L246" i="6"/>
  <c r="L247" i="6"/>
  <c r="L248" i="6"/>
  <c r="L249" i="6"/>
  <c r="L250" i="6"/>
  <c r="L251" i="6"/>
  <c r="L252" i="6"/>
  <c r="L253" i="6"/>
  <c r="L254" i="6"/>
  <c r="L255" i="6"/>
  <c r="L256" i="6"/>
  <c r="L257" i="6"/>
  <c r="L258" i="6"/>
  <c r="L259" i="6"/>
  <c r="L260" i="6"/>
  <c r="L261" i="6"/>
  <c r="L262" i="6"/>
  <c r="L263" i="6"/>
  <c r="L264" i="6"/>
  <c r="L265" i="6"/>
  <c r="L266" i="6"/>
  <c r="L267" i="6"/>
  <c r="L268" i="6"/>
  <c r="L269" i="6"/>
  <c r="L270" i="6"/>
  <c r="L271" i="6"/>
  <c r="L272" i="6"/>
  <c r="L273" i="6"/>
  <c r="L274" i="6"/>
  <c r="L275" i="6"/>
  <c r="L276" i="6"/>
  <c r="L277" i="6"/>
  <c r="L278" i="6"/>
  <c r="L279" i="6"/>
  <c r="L280" i="6"/>
  <c r="L281" i="6"/>
  <c r="L282" i="6"/>
  <c r="L283" i="6"/>
  <c r="L284" i="6"/>
  <c r="L285" i="6"/>
  <c r="L286" i="6"/>
  <c r="L287" i="6"/>
  <c r="L288" i="6"/>
  <c r="L289" i="6"/>
  <c r="L290" i="6"/>
  <c r="L291" i="6"/>
  <c r="L292" i="6"/>
  <c r="L293" i="6"/>
  <c r="L294" i="6"/>
  <c r="L295" i="6"/>
  <c r="L296" i="6"/>
  <c r="L297" i="6"/>
  <c r="L298" i="6"/>
  <c r="L299" i="6"/>
  <c r="L300" i="6"/>
  <c r="L301" i="6"/>
  <c r="L302" i="6"/>
  <c r="L303" i="6"/>
  <c r="L304" i="6"/>
  <c r="L305" i="6"/>
  <c r="L306" i="6"/>
  <c r="L307" i="6"/>
  <c r="L308" i="6"/>
  <c r="L309" i="6"/>
  <c r="L310" i="6"/>
  <c r="L311" i="6"/>
  <c r="L312" i="6"/>
  <c r="L313" i="6"/>
  <c r="L314" i="6"/>
  <c r="L315" i="6"/>
  <c r="L316" i="6"/>
  <c r="L317" i="6"/>
  <c r="L318" i="6"/>
  <c r="L319" i="6"/>
  <c r="L320" i="6"/>
  <c r="L321" i="6"/>
  <c r="L322" i="6"/>
  <c r="L323" i="6"/>
  <c r="L324" i="6"/>
  <c r="L325" i="6"/>
  <c r="L326" i="6"/>
  <c r="L327" i="6"/>
  <c r="L328" i="6"/>
  <c r="L329" i="6"/>
  <c r="L330" i="6"/>
  <c r="L331" i="6"/>
  <c r="L332" i="6"/>
  <c r="L333" i="6"/>
  <c r="L334" i="6"/>
  <c r="L335" i="6"/>
  <c r="L336" i="6"/>
  <c r="L337" i="6"/>
  <c r="L338" i="6"/>
  <c r="L339" i="6"/>
  <c r="L340" i="6"/>
  <c r="L341" i="6"/>
  <c r="L342" i="6"/>
  <c r="L343" i="6"/>
  <c r="L344" i="6"/>
  <c r="L345" i="6"/>
  <c r="L346" i="6"/>
  <c r="L347" i="6"/>
  <c r="L348" i="6"/>
  <c r="L349" i="6"/>
  <c r="L350" i="6"/>
  <c r="L351" i="6"/>
  <c r="L352" i="6"/>
  <c r="L353" i="6"/>
  <c r="L354" i="6"/>
  <c r="L355" i="6"/>
  <c r="L356" i="6"/>
  <c r="L357" i="6"/>
  <c r="L358" i="6"/>
  <c r="L359" i="6"/>
  <c r="L360" i="6"/>
  <c r="L361" i="6"/>
  <c r="L362" i="6"/>
  <c r="L363" i="6"/>
  <c r="L364" i="6"/>
  <c r="L365" i="6"/>
  <c r="L366" i="6"/>
  <c r="L367" i="6"/>
  <c r="L368" i="6"/>
  <c r="L369" i="6"/>
  <c r="L370" i="6"/>
  <c r="L371" i="6"/>
  <c r="L372" i="6"/>
  <c r="L373" i="6"/>
  <c r="L374" i="6"/>
  <c r="L375" i="6"/>
  <c r="L376" i="6"/>
  <c r="L377" i="6"/>
  <c r="L378" i="6"/>
  <c r="L379" i="6"/>
  <c r="L380" i="6"/>
  <c r="L381" i="6"/>
  <c r="L382" i="6"/>
  <c r="L383" i="6"/>
  <c r="L384" i="6"/>
  <c r="L385" i="6"/>
  <c r="L386" i="6"/>
  <c r="L387" i="6"/>
  <c r="L388" i="6"/>
  <c r="L389" i="6"/>
  <c r="L390" i="6"/>
  <c r="L391" i="6"/>
  <c r="L392" i="6"/>
  <c r="L393" i="6"/>
  <c r="L394" i="6"/>
  <c r="L395" i="6"/>
  <c r="L396" i="6"/>
  <c r="L397" i="6"/>
  <c r="L398" i="6"/>
  <c r="L399" i="6"/>
  <c r="L400" i="6"/>
  <c r="L401" i="6"/>
  <c r="L402" i="6"/>
  <c r="L403" i="6"/>
  <c r="L404" i="6"/>
  <c r="L405" i="6"/>
  <c r="L406" i="6"/>
  <c r="L407" i="6"/>
  <c r="L408" i="6"/>
  <c r="L409" i="6"/>
  <c r="L410" i="6"/>
  <c r="L411" i="6"/>
  <c r="L412" i="6"/>
  <c r="L413" i="6"/>
  <c r="L414" i="6"/>
  <c r="L415" i="6"/>
  <c r="L416" i="6"/>
  <c r="L417" i="6"/>
  <c r="L418" i="6"/>
  <c r="L419" i="6"/>
  <c r="L420" i="6"/>
  <c r="L421" i="6"/>
  <c r="L422" i="6"/>
  <c r="L423" i="6"/>
  <c r="L424" i="6"/>
  <c r="L425" i="6"/>
  <c r="L426" i="6"/>
  <c r="L427" i="6"/>
  <c r="L428" i="6"/>
  <c r="L429" i="6"/>
  <c r="L430" i="6"/>
  <c r="L431" i="6"/>
  <c r="L432" i="6"/>
  <c r="L433" i="6"/>
  <c r="L434" i="6"/>
  <c r="L435" i="6"/>
  <c r="L436" i="6"/>
  <c r="L437" i="6"/>
  <c r="L438" i="6"/>
  <c r="L439" i="6"/>
  <c r="L440" i="6"/>
  <c r="L441" i="6"/>
  <c r="L442" i="6"/>
  <c r="L443" i="6"/>
  <c r="L444" i="6"/>
  <c r="L445" i="6"/>
  <c r="L446" i="6"/>
  <c r="L447" i="6"/>
  <c r="L448" i="6"/>
  <c r="L449" i="6"/>
  <c r="L450" i="6"/>
  <c r="L451" i="6"/>
  <c r="L452" i="6"/>
  <c r="L453" i="6"/>
  <c r="L454" i="6"/>
  <c r="L455" i="6"/>
  <c r="L456" i="6"/>
  <c r="L457" i="6"/>
  <c r="L458" i="6"/>
  <c r="L459" i="6"/>
  <c r="L460" i="6"/>
  <c r="L461" i="6"/>
  <c r="L462" i="6"/>
  <c r="L463" i="6"/>
  <c r="L464" i="6"/>
  <c r="L465" i="6"/>
  <c r="L466" i="6"/>
  <c r="L467" i="6"/>
  <c r="L468" i="6"/>
  <c r="L469" i="6"/>
  <c r="L470" i="6"/>
  <c r="L471" i="6"/>
  <c r="L472" i="6"/>
  <c r="L473" i="6"/>
  <c r="L474" i="6"/>
  <c r="L475" i="6"/>
  <c r="L476" i="6"/>
  <c r="L477" i="6"/>
  <c r="L478" i="6"/>
  <c r="L479" i="6"/>
  <c r="L480" i="6"/>
  <c r="L481" i="6"/>
  <c r="L482" i="6"/>
  <c r="L483" i="6"/>
  <c r="L484" i="6"/>
  <c r="L485" i="6"/>
  <c r="L486" i="6"/>
  <c r="L487" i="6"/>
  <c r="L488" i="6"/>
  <c r="L489" i="6"/>
  <c r="L490" i="6"/>
  <c r="L491" i="6"/>
  <c r="L492" i="6"/>
  <c r="L493" i="6"/>
  <c r="L494" i="6"/>
  <c r="L495" i="6"/>
  <c r="L496" i="6"/>
  <c r="L497" i="6"/>
  <c r="L498" i="6"/>
  <c r="L499" i="6"/>
  <c r="L500" i="6"/>
  <c r="L501" i="6"/>
  <c r="L502" i="6"/>
  <c r="L503" i="6"/>
  <c r="L504" i="6"/>
  <c r="L505" i="6"/>
  <c r="L506" i="6"/>
  <c r="L507" i="6"/>
  <c r="L508" i="6"/>
  <c r="L509" i="6"/>
  <c r="L510" i="6"/>
  <c r="L511" i="6"/>
  <c r="L512" i="6"/>
  <c r="L513" i="6"/>
  <c r="L514" i="6"/>
  <c r="L515" i="6"/>
  <c r="L516" i="6"/>
  <c r="L517" i="6"/>
  <c r="L518" i="6"/>
  <c r="L519" i="6"/>
  <c r="L520" i="6"/>
  <c r="L521" i="6"/>
  <c r="L522" i="6"/>
  <c r="L523" i="6"/>
  <c r="L524" i="6"/>
  <c r="L525" i="6"/>
  <c r="L526" i="6"/>
  <c r="L527" i="6"/>
  <c r="L528" i="6"/>
  <c r="L529" i="6"/>
  <c r="L530" i="6"/>
  <c r="L531" i="6"/>
  <c r="L532" i="6"/>
  <c r="L533" i="6"/>
  <c r="L534" i="6"/>
  <c r="L535" i="6"/>
  <c r="L536" i="6"/>
  <c r="L537" i="6"/>
  <c r="L538" i="6"/>
  <c r="L539" i="6"/>
  <c r="L540" i="6"/>
  <c r="L541" i="6"/>
  <c r="L542" i="6"/>
  <c r="L543" i="6"/>
  <c r="L544" i="6"/>
  <c r="L545" i="6"/>
  <c r="L546" i="6"/>
  <c r="L547" i="6"/>
  <c r="L548" i="6"/>
  <c r="L549" i="6"/>
  <c r="L550" i="6"/>
  <c r="L551" i="6"/>
  <c r="L552" i="6"/>
  <c r="L553" i="6"/>
  <c r="L554" i="6"/>
  <c r="L555" i="6"/>
  <c r="L556" i="6"/>
  <c r="L557" i="6"/>
  <c r="L558" i="6"/>
  <c r="L559" i="6"/>
  <c r="L560" i="6"/>
  <c r="L561" i="6"/>
  <c r="L562" i="6"/>
  <c r="L563" i="6"/>
  <c r="L564" i="6"/>
  <c r="L565" i="6"/>
  <c r="L566" i="6"/>
  <c r="L567" i="6"/>
  <c r="L568" i="6"/>
  <c r="L569" i="6"/>
  <c r="L570" i="6"/>
  <c r="L571" i="6"/>
  <c r="L572" i="6"/>
  <c r="L573" i="6"/>
  <c r="L574" i="6"/>
  <c r="L575" i="6"/>
  <c r="L576" i="6"/>
  <c r="L577" i="6"/>
  <c r="L578" i="6"/>
  <c r="L579" i="6"/>
  <c r="L580" i="6"/>
  <c r="L581" i="6"/>
  <c r="L582" i="6"/>
  <c r="L583" i="6"/>
  <c r="L584" i="6"/>
  <c r="L585" i="6"/>
  <c r="L586" i="6"/>
  <c r="L587" i="6"/>
  <c r="L588" i="6"/>
  <c r="L589" i="6"/>
  <c r="L590" i="6"/>
  <c r="L591" i="6"/>
  <c r="L592" i="6"/>
  <c r="L593" i="6"/>
  <c r="L594" i="6"/>
  <c r="L595" i="6"/>
  <c r="L596" i="6"/>
  <c r="L597" i="6"/>
  <c r="L598" i="6"/>
  <c r="L599" i="6"/>
  <c r="L600" i="6"/>
  <c r="L601" i="6"/>
  <c r="L602" i="6"/>
  <c r="L603" i="6"/>
  <c r="L604" i="6"/>
  <c r="L605" i="6"/>
  <c r="L606" i="6"/>
  <c r="L607" i="6"/>
  <c r="L608" i="6"/>
  <c r="L609" i="6"/>
  <c r="L610" i="6"/>
  <c r="L611" i="6"/>
  <c r="L612" i="6"/>
  <c r="L613" i="6"/>
  <c r="L614" i="6"/>
  <c r="L615" i="6"/>
  <c r="L616" i="6"/>
  <c r="L617" i="6"/>
  <c r="L618" i="6"/>
  <c r="L619" i="6"/>
  <c r="L620" i="6"/>
  <c r="L621" i="6"/>
  <c r="L622" i="6"/>
  <c r="L623" i="6"/>
  <c r="L624" i="6"/>
  <c r="L625" i="6"/>
  <c r="L626" i="6"/>
  <c r="L627" i="6"/>
  <c r="L628" i="6"/>
  <c r="L629" i="6"/>
  <c r="L630" i="6"/>
  <c r="L631" i="6"/>
  <c r="L632" i="6"/>
  <c r="L633" i="6"/>
  <c r="L634" i="6"/>
  <c r="L635" i="6"/>
  <c r="L636" i="6"/>
  <c r="L637" i="6"/>
  <c r="L638" i="6"/>
  <c r="L639" i="6"/>
  <c r="L640" i="6"/>
  <c r="L641" i="6"/>
  <c r="L642" i="6"/>
  <c r="L643" i="6"/>
  <c r="L644" i="6"/>
  <c r="L645" i="6"/>
  <c r="L646" i="6"/>
  <c r="L647" i="6"/>
  <c r="L648" i="6"/>
  <c r="L649" i="6"/>
  <c r="L650" i="6"/>
  <c r="L651" i="6"/>
  <c r="L652" i="6"/>
  <c r="L653" i="6"/>
  <c r="L654" i="6"/>
  <c r="L655" i="6"/>
  <c r="L656" i="6"/>
  <c r="L657" i="6"/>
  <c r="L658" i="6"/>
  <c r="L659" i="6"/>
  <c r="L660" i="6"/>
  <c r="L661" i="6"/>
  <c r="L662" i="6"/>
  <c r="L663" i="6"/>
  <c r="L664" i="6"/>
  <c r="L665" i="6"/>
  <c r="L666" i="6"/>
  <c r="L667" i="6"/>
  <c r="L668" i="6"/>
  <c r="L669" i="6"/>
  <c r="L670" i="6"/>
  <c r="L671" i="6"/>
  <c r="L672" i="6"/>
  <c r="L673" i="6"/>
  <c r="L674" i="6"/>
  <c r="L675" i="6"/>
  <c r="L676" i="6"/>
  <c r="L677" i="6"/>
  <c r="L678" i="6"/>
  <c r="L679" i="6"/>
  <c r="L680" i="6"/>
  <c r="L681" i="6"/>
  <c r="L682" i="6"/>
  <c r="L683" i="6"/>
  <c r="L684" i="6"/>
  <c r="L685" i="6"/>
  <c r="L686" i="6"/>
  <c r="L687" i="6"/>
  <c r="L688" i="6"/>
  <c r="L689" i="6"/>
  <c r="L690" i="6"/>
  <c r="L691" i="6"/>
  <c r="L692" i="6"/>
  <c r="L693" i="6"/>
  <c r="L694" i="6"/>
  <c r="L695" i="6"/>
  <c r="L696" i="6"/>
  <c r="L697" i="6"/>
  <c r="L698" i="6"/>
  <c r="L699" i="6"/>
  <c r="L700" i="6"/>
  <c r="L701" i="6"/>
  <c r="L702" i="6"/>
  <c r="L703" i="6"/>
  <c r="L704" i="6"/>
  <c r="L705" i="6"/>
  <c r="L706" i="6"/>
  <c r="L707" i="6"/>
  <c r="L708" i="6"/>
  <c r="L709" i="6"/>
  <c r="L710" i="6"/>
  <c r="L711" i="6"/>
  <c r="L712" i="6"/>
  <c r="L713" i="6"/>
  <c r="L714" i="6"/>
  <c r="L715" i="6"/>
  <c r="L716" i="6"/>
  <c r="L717" i="6"/>
  <c r="L718" i="6"/>
  <c r="L719" i="6"/>
  <c r="L720" i="6"/>
  <c r="L721" i="6"/>
  <c r="L722" i="6"/>
  <c r="L723" i="6"/>
  <c r="L724" i="6"/>
  <c r="L725" i="6"/>
  <c r="L726" i="6"/>
  <c r="L727" i="6"/>
  <c r="L728" i="6"/>
  <c r="L729" i="6"/>
  <c r="L730" i="6"/>
  <c r="L731" i="6"/>
  <c r="L732" i="6"/>
  <c r="L733" i="6"/>
  <c r="L734" i="6"/>
  <c r="L735" i="6"/>
  <c r="L736" i="6"/>
  <c r="L737" i="6"/>
  <c r="L738" i="6"/>
  <c r="L739" i="6"/>
  <c r="L740" i="6"/>
  <c r="L741" i="6"/>
  <c r="L742" i="6"/>
  <c r="L743" i="6"/>
  <c r="L744" i="6"/>
  <c r="L745" i="6"/>
  <c r="L746" i="6"/>
  <c r="L747" i="6"/>
  <c r="L748" i="6"/>
  <c r="L749" i="6"/>
  <c r="L750" i="6"/>
  <c r="L751" i="6"/>
  <c r="L752" i="6"/>
  <c r="L753" i="6"/>
  <c r="L754" i="6"/>
  <c r="L755" i="6"/>
  <c r="L756" i="6"/>
  <c r="L757" i="6"/>
  <c r="L758" i="6"/>
  <c r="L759" i="6"/>
  <c r="L760" i="6"/>
  <c r="L761" i="6"/>
  <c r="L762" i="6"/>
  <c r="L763" i="6"/>
  <c r="L764" i="6"/>
  <c r="L765" i="6"/>
  <c r="L766" i="6"/>
  <c r="L767" i="6"/>
  <c r="L768" i="6"/>
  <c r="L769" i="6"/>
  <c r="L770" i="6"/>
  <c r="L771" i="6"/>
  <c r="L772" i="6"/>
  <c r="L773" i="6"/>
  <c r="L774" i="6"/>
  <c r="L775" i="6"/>
  <c r="L776" i="6"/>
  <c r="L777" i="6"/>
  <c r="L778" i="6"/>
  <c r="L779" i="6"/>
  <c r="L780" i="6"/>
  <c r="L781" i="6"/>
  <c r="L782" i="6"/>
  <c r="L783" i="6"/>
  <c r="L784" i="6"/>
  <c r="L785" i="6"/>
  <c r="L786" i="6"/>
  <c r="L787" i="6"/>
  <c r="L788" i="6"/>
  <c r="L789" i="6"/>
  <c r="L790" i="6"/>
  <c r="L791" i="6"/>
  <c r="L792" i="6"/>
  <c r="L793" i="6"/>
  <c r="L794" i="6"/>
  <c r="L795" i="6"/>
  <c r="L796" i="6"/>
  <c r="L797" i="6"/>
  <c r="L798" i="6"/>
  <c r="L799" i="6"/>
  <c r="L800" i="6"/>
  <c r="L801" i="6"/>
  <c r="L802" i="6"/>
  <c r="L803" i="6"/>
  <c r="L804" i="6"/>
  <c r="L805" i="6"/>
  <c r="L806" i="6"/>
  <c r="L807" i="6"/>
  <c r="L808" i="6"/>
  <c r="L809" i="6"/>
  <c r="L810" i="6"/>
  <c r="L811" i="6"/>
  <c r="L812" i="6"/>
  <c r="L813" i="6"/>
  <c r="L814" i="6"/>
  <c r="L815" i="6"/>
  <c r="L816" i="6"/>
  <c r="L817" i="6"/>
  <c r="L818" i="6"/>
  <c r="L819" i="6"/>
  <c r="L820" i="6"/>
  <c r="L821" i="6"/>
  <c r="L822" i="6"/>
  <c r="L823" i="6"/>
  <c r="L824" i="6"/>
  <c r="L825" i="6"/>
  <c r="L826" i="6"/>
  <c r="L827" i="6"/>
  <c r="L828" i="6"/>
  <c r="L829" i="6"/>
  <c r="L830" i="6"/>
  <c r="L831" i="6"/>
  <c r="L832" i="6"/>
  <c r="L833" i="6"/>
  <c r="L834" i="6"/>
  <c r="L835" i="6"/>
  <c r="L836" i="6"/>
  <c r="L837" i="6"/>
  <c r="L838" i="6"/>
  <c r="L839" i="6"/>
  <c r="L840" i="6"/>
  <c r="L841" i="6"/>
  <c r="L842" i="6"/>
  <c r="L843" i="6"/>
  <c r="L844" i="6"/>
  <c r="L845" i="6"/>
  <c r="L846" i="6"/>
  <c r="L847" i="6"/>
  <c r="L848" i="6"/>
  <c r="L849" i="6"/>
  <c r="L850" i="6"/>
  <c r="L851" i="6"/>
  <c r="L852" i="6"/>
  <c r="L853" i="6"/>
  <c r="L854" i="6"/>
  <c r="L855" i="6"/>
  <c r="L856" i="6"/>
  <c r="L857" i="6"/>
  <c r="L858" i="6"/>
  <c r="L859" i="6"/>
  <c r="L860" i="6"/>
  <c r="L861" i="6"/>
  <c r="L862" i="6"/>
  <c r="L863" i="6"/>
  <c r="L864" i="6"/>
  <c r="L865" i="6"/>
  <c r="L866" i="6"/>
  <c r="L867" i="6"/>
  <c r="L868" i="6"/>
  <c r="L869" i="6"/>
  <c r="L870" i="6"/>
  <c r="L871" i="6"/>
  <c r="L872" i="6"/>
  <c r="L873" i="6"/>
  <c r="L874" i="6"/>
  <c r="L875" i="6"/>
  <c r="L876" i="6"/>
  <c r="L877" i="6"/>
  <c r="L878" i="6"/>
  <c r="L879" i="6"/>
  <c r="L880" i="6"/>
  <c r="L881" i="6"/>
  <c r="L882" i="6"/>
  <c r="L883" i="6"/>
  <c r="L884" i="6"/>
  <c r="L885" i="6"/>
  <c r="L886" i="6"/>
  <c r="L887" i="6"/>
  <c r="L888" i="6"/>
  <c r="L889" i="6"/>
  <c r="L890" i="6"/>
  <c r="L891" i="6"/>
  <c r="L892" i="6"/>
  <c r="L893" i="6"/>
  <c r="L894" i="6"/>
  <c r="L895" i="6"/>
  <c r="L896" i="6"/>
  <c r="L897" i="6"/>
  <c r="L898" i="6"/>
  <c r="L899" i="6"/>
  <c r="L900" i="6"/>
  <c r="L901" i="6"/>
  <c r="L902" i="6"/>
  <c r="L903" i="6"/>
  <c r="L904" i="6"/>
  <c r="L905" i="6"/>
  <c r="L906" i="6"/>
  <c r="L907" i="6"/>
  <c r="L908" i="6"/>
  <c r="L909" i="6"/>
  <c r="L910" i="6"/>
  <c r="L911" i="6"/>
  <c r="L912" i="6"/>
  <c r="L913" i="6"/>
  <c r="L914" i="6"/>
  <c r="L915" i="6"/>
  <c r="L916" i="6"/>
  <c r="L917" i="6"/>
  <c r="L918" i="6"/>
  <c r="L919" i="6"/>
  <c r="L920" i="6"/>
  <c r="L921" i="6"/>
  <c r="L922" i="6"/>
  <c r="L923" i="6"/>
  <c r="L924" i="6"/>
  <c r="L925" i="6"/>
  <c r="L926" i="6"/>
  <c r="L927" i="6"/>
  <c r="L928" i="6"/>
  <c r="L929" i="6"/>
  <c r="L930" i="6"/>
  <c r="L931" i="6"/>
  <c r="L932" i="6"/>
  <c r="L933" i="6"/>
  <c r="L934" i="6"/>
  <c r="L935" i="6"/>
  <c r="L936" i="6"/>
  <c r="L937" i="6"/>
  <c r="L938" i="6"/>
  <c r="L939" i="6"/>
  <c r="L940" i="6"/>
  <c r="L941" i="6"/>
  <c r="L942" i="6"/>
  <c r="L943" i="6"/>
  <c r="L944" i="6"/>
  <c r="L945" i="6"/>
  <c r="L946" i="6"/>
  <c r="L947" i="6"/>
  <c r="L948" i="6"/>
  <c r="L949" i="6"/>
  <c r="L950" i="6"/>
  <c r="L951" i="6"/>
  <c r="L952" i="6"/>
  <c r="L953" i="6"/>
  <c r="L954" i="6"/>
  <c r="L955" i="6"/>
  <c r="L956" i="6"/>
  <c r="L957" i="6"/>
  <c r="L958" i="6"/>
  <c r="L959" i="6"/>
  <c r="L960" i="6"/>
  <c r="L961" i="6"/>
  <c r="L962" i="6"/>
  <c r="L963" i="6"/>
  <c r="L964" i="6"/>
  <c r="L965" i="6"/>
  <c r="L966" i="6"/>
  <c r="L967" i="6"/>
  <c r="L968" i="6"/>
  <c r="L969" i="6"/>
  <c r="L970" i="6"/>
  <c r="L971" i="6"/>
  <c r="L972" i="6"/>
  <c r="L973" i="6"/>
  <c r="L974" i="6"/>
  <c r="L975" i="6"/>
  <c r="L976" i="6"/>
  <c r="L977" i="6"/>
  <c r="L978" i="6"/>
  <c r="L979" i="6"/>
  <c r="L980" i="6"/>
  <c r="L981" i="6"/>
  <c r="L982" i="6"/>
  <c r="L983" i="6"/>
  <c r="L984" i="6"/>
  <c r="L985" i="6"/>
  <c r="L986" i="6"/>
  <c r="L987" i="6"/>
  <c r="L988" i="6"/>
  <c r="L989" i="6"/>
  <c r="L990" i="6"/>
  <c r="L991" i="6"/>
  <c r="L992" i="6"/>
  <c r="L993" i="6"/>
  <c r="L994" i="6"/>
  <c r="L995" i="6"/>
  <c r="L996" i="6"/>
  <c r="L997" i="6"/>
  <c r="L998" i="6"/>
  <c r="L999" i="6"/>
  <c r="L1000" i="6"/>
  <c r="L1001" i="6"/>
  <c r="L1002" i="6"/>
  <c r="L1003" i="6"/>
  <c r="L1004" i="6"/>
  <c r="L1005" i="6"/>
  <c r="L1006" i="6"/>
  <c r="L1007" i="6"/>
  <c r="L1008" i="6"/>
  <c r="L1009" i="6"/>
  <c r="L1010" i="6"/>
  <c r="L1011" i="6"/>
  <c r="L1012" i="6"/>
  <c r="L1013" i="6"/>
  <c r="L1014" i="6"/>
  <c r="L1015" i="6"/>
  <c r="L1016" i="6"/>
  <c r="L1017" i="6"/>
  <c r="L1018" i="6"/>
  <c r="L1019" i="6"/>
  <c r="L1020" i="6"/>
  <c r="L1021" i="6"/>
  <c r="L1022" i="6"/>
  <c r="L1023" i="6"/>
  <c r="L1024" i="6"/>
  <c r="L1025" i="6"/>
  <c r="L1026" i="6"/>
  <c r="L1027" i="6"/>
  <c r="L1028" i="6"/>
  <c r="L1029" i="6"/>
  <c r="L1030" i="6"/>
  <c r="L1031" i="6"/>
  <c r="L1032" i="6"/>
  <c r="L1033" i="6"/>
  <c r="L1034" i="6"/>
  <c r="L1035" i="6"/>
  <c r="L1036" i="6"/>
  <c r="L1037" i="6"/>
  <c r="L1038" i="6"/>
  <c r="L1039" i="6"/>
  <c r="L1040" i="6"/>
  <c r="L1041" i="6"/>
  <c r="L1042" i="6"/>
  <c r="L1043" i="6"/>
  <c r="L1044" i="6"/>
  <c r="L1045" i="6"/>
  <c r="L1046" i="6"/>
  <c r="L1047" i="6"/>
  <c r="L1048" i="6"/>
  <c r="L1049" i="6"/>
  <c r="L1050" i="6"/>
  <c r="L1051" i="6"/>
  <c r="L1052" i="6"/>
  <c r="L1053" i="6"/>
  <c r="L1054" i="6"/>
  <c r="L1055" i="6"/>
  <c r="L1056" i="6"/>
  <c r="L1057" i="6"/>
  <c r="L1058" i="6"/>
  <c r="L1059" i="6"/>
  <c r="L1060" i="6"/>
  <c r="L1061" i="6"/>
  <c r="L1062" i="6"/>
  <c r="L1063" i="6"/>
  <c r="L1064" i="6"/>
  <c r="L1065" i="6"/>
  <c r="L1066" i="6"/>
  <c r="L1067" i="6"/>
  <c r="L1068" i="6"/>
  <c r="L1069" i="6"/>
  <c r="L1070" i="6"/>
  <c r="L1071" i="6"/>
  <c r="L1072" i="6"/>
  <c r="L1073" i="6"/>
  <c r="L1074" i="6"/>
  <c r="L1075" i="6"/>
  <c r="L1076" i="6"/>
  <c r="L1077" i="6"/>
  <c r="L1078" i="6"/>
  <c r="L1079" i="6"/>
  <c r="L1080" i="6"/>
  <c r="L1081" i="6"/>
  <c r="L1082" i="6"/>
  <c r="L1083" i="6"/>
  <c r="L1084" i="6"/>
  <c r="L1085" i="6"/>
  <c r="L1086" i="6"/>
  <c r="L1087" i="6"/>
  <c r="L1088" i="6"/>
  <c r="L1089" i="6"/>
  <c r="L1090" i="6"/>
  <c r="L1091" i="6"/>
  <c r="L1092" i="6"/>
  <c r="L1093" i="6"/>
  <c r="L1094" i="6"/>
  <c r="L1095" i="6"/>
  <c r="L1096" i="6"/>
  <c r="L1097" i="6"/>
  <c r="L1098" i="6"/>
  <c r="L1099" i="6"/>
  <c r="L1100" i="6"/>
  <c r="L1101" i="6"/>
  <c r="L1102" i="6"/>
  <c r="L1103" i="6"/>
  <c r="L1104" i="6"/>
  <c r="L1105" i="6"/>
  <c r="L1106" i="6"/>
  <c r="L1107" i="6"/>
  <c r="L1108" i="6"/>
  <c r="L1109" i="6"/>
  <c r="L1110" i="6"/>
  <c r="L1111" i="6"/>
  <c r="L1112" i="6"/>
  <c r="L1113" i="6"/>
  <c r="L1114" i="6"/>
  <c r="L1115" i="6"/>
  <c r="L1116" i="6"/>
  <c r="L1117" i="6"/>
  <c r="L1118" i="6"/>
  <c r="L1119" i="6"/>
  <c r="L1120" i="6"/>
  <c r="L1121" i="6"/>
  <c r="L1122" i="6"/>
  <c r="L1123" i="6"/>
  <c r="L1124" i="6"/>
  <c r="L1125" i="6"/>
  <c r="L1126" i="6"/>
  <c r="L1127" i="6"/>
  <c r="L1128" i="6"/>
  <c r="L1129" i="6"/>
  <c r="L1130" i="6"/>
  <c r="L1131" i="6"/>
  <c r="L1132" i="6"/>
  <c r="L1133" i="6"/>
  <c r="L1134" i="6"/>
  <c r="L1135" i="6"/>
  <c r="L1136" i="6"/>
  <c r="L1137" i="6"/>
  <c r="L1138" i="6"/>
  <c r="L1139" i="6"/>
  <c r="L1140" i="6"/>
  <c r="L1141" i="6"/>
  <c r="L1142" i="6"/>
  <c r="L1143" i="6"/>
  <c r="L1144" i="6"/>
  <c r="L1145" i="6"/>
  <c r="L1146" i="6"/>
  <c r="L1147" i="6"/>
  <c r="L1148" i="6"/>
  <c r="L1149" i="6"/>
  <c r="L1150" i="6"/>
  <c r="L1151" i="6"/>
  <c r="L1152" i="6"/>
  <c r="L1153" i="6"/>
  <c r="L1154" i="6"/>
  <c r="L1155" i="6"/>
  <c r="L1156" i="6"/>
  <c r="L1157" i="6"/>
  <c r="L1158" i="6"/>
  <c r="L1159" i="6"/>
  <c r="L1160" i="6"/>
  <c r="L1161" i="6"/>
  <c r="L1162" i="6"/>
  <c r="L1163" i="6"/>
  <c r="L1164" i="6"/>
  <c r="L1165" i="6"/>
  <c r="L1166" i="6"/>
  <c r="L1167" i="6"/>
  <c r="L1168" i="6"/>
  <c r="L1169" i="6"/>
  <c r="L1170" i="6"/>
  <c r="L1171" i="6"/>
  <c r="L1172" i="6"/>
  <c r="L1173" i="6"/>
  <c r="L1174" i="6"/>
  <c r="L1175" i="6"/>
  <c r="L1176" i="6"/>
  <c r="L1177" i="6"/>
  <c r="L1178" i="6"/>
  <c r="L1179" i="6"/>
  <c r="L1180" i="6"/>
  <c r="L1181" i="6"/>
  <c r="L1182" i="6"/>
  <c r="L1183" i="6"/>
  <c r="L1184" i="6"/>
  <c r="L1185" i="6"/>
  <c r="L1186" i="6"/>
  <c r="L1187" i="6"/>
  <c r="L1188" i="6"/>
  <c r="L1189" i="6"/>
  <c r="L1190" i="6"/>
  <c r="L1191" i="6"/>
  <c r="L1192" i="6"/>
  <c r="L1193" i="6"/>
  <c r="L1194" i="6"/>
  <c r="L1195" i="6"/>
  <c r="L1196" i="6"/>
  <c r="L1197" i="6"/>
  <c r="L1198" i="6"/>
  <c r="L1199" i="6"/>
  <c r="L1200" i="6"/>
  <c r="L1201" i="6"/>
  <c r="L1202" i="6"/>
  <c r="L1203" i="6"/>
  <c r="L1204" i="6"/>
  <c r="L1205" i="6"/>
  <c r="L1206" i="6"/>
  <c r="L1207" i="6"/>
  <c r="L1208" i="6"/>
  <c r="L1209" i="6"/>
  <c r="L1210" i="6"/>
  <c r="L1211" i="6"/>
  <c r="L1212" i="6"/>
  <c r="L1213" i="6"/>
  <c r="L1214" i="6"/>
  <c r="L1215" i="6"/>
  <c r="L1216" i="6"/>
  <c r="L1217" i="6"/>
  <c r="L1218" i="6"/>
  <c r="L1219" i="6"/>
  <c r="L1220" i="6"/>
  <c r="L1221" i="6"/>
  <c r="L1222" i="6"/>
  <c r="L1223" i="6"/>
  <c r="L1224" i="6"/>
  <c r="L1225" i="6"/>
  <c r="L1226" i="6"/>
  <c r="L1227" i="6"/>
  <c r="L1228" i="6"/>
  <c r="L1229" i="6"/>
  <c r="L1230" i="6"/>
  <c r="L1231" i="6"/>
  <c r="L1232" i="6"/>
  <c r="L1233" i="6"/>
  <c r="L1234" i="6"/>
  <c r="L1235" i="6"/>
  <c r="L1236" i="6"/>
  <c r="L1237" i="6"/>
  <c r="L1238" i="6"/>
  <c r="L1239" i="6"/>
  <c r="L1240" i="6"/>
  <c r="L1241" i="6"/>
  <c r="L1242" i="6"/>
  <c r="L1243" i="6"/>
  <c r="L1244" i="6"/>
  <c r="L1245" i="6"/>
  <c r="L1246" i="6"/>
  <c r="L1247" i="6"/>
  <c r="L1248" i="6"/>
  <c r="L1249" i="6"/>
  <c r="L1250" i="6"/>
  <c r="L1251" i="6"/>
  <c r="L1252" i="6"/>
  <c r="L1253" i="6"/>
  <c r="L1254" i="6"/>
  <c r="L1255" i="6"/>
  <c r="L1256" i="6"/>
  <c r="L1257" i="6"/>
  <c r="L1258" i="6"/>
  <c r="L1259" i="6"/>
  <c r="L1260" i="6"/>
  <c r="L1261" i="6"/>
  <c r="L1262" i="6"/>
  <c r="L1263" i="6"/>
  <c r="L1264" i="6"/>
  <c r="L1265" i="6"/>
  <c r="L1266" i="6"/>
  <c r="L1267" i="6"/>
  <c r="L1268" i="6"/>
  <c r="L1269" i="6"/>
  <c r="L1270" i="6"/>
  <c r="L1271" i="6"/>
  <c r="L1272" i="6"/>
  <c r="L1273" i="6"/>
  <c r="L1274" i="6"/>
  <c r="L1275" i="6"/>
  <c r="L1276" i="6"/>
  <c r="L1277" i="6"/>
  <c r="L1278" i="6"/>
  <c r="L1279" i="6"/>
  <c r="L1280" i="6"/>
  <c r="L1281" i="6"/>
  <c r="L1282" i="6"/>
  <c r="L1283" i="6"/>
  <c r="L1284" i="6"/>
  <c r="L1285" i="6"/>
  <c r="L1286" i="6"/>
  <c r="L1287" i="6"/>
  <c r="L1288" i="6"/>
  <c r="L1289" i="6"/>
  <c r="L1290" i="6"/>
  <c r="L1291" i="6"/>
  <c r="L1292" i="6"/>
  <c r="L1293" i="6"/>
  <c r="L1294" i="6"/>
  <c r="L1295" i="6"/>
  <c r="L1296" i="6"/>
  <c r="L1297" i="6"/>
  <c r="L1298" i="6"/>
  <c r="L1299" i="6"/>
  <c r="L1300" i="6"/>
  <c r="L1301" i="6"/>
  <c r="L1302" i="6"/>
  <c r="L1303" i="6"/>
  <c r="L1304" i="6"/>
  <c r="L1305" i="6"/>
  <c r="L1306" i="6"/>
  <c r="L1307" i="6"/>
  <c r="L1308" i="6"/>
  <c r="L1309" i="6"/>
  <c r="L1310" i="6"/>
  <c r="L1311" i="6"/>
  <c r="L1312" i="6"/>
  <c r="L1313" i="6"/>
  <c r="L1314" i="6"/>
  <c r="L1315" i="6"/>
  <c r="L1316" i="6"/>
  <c r="L1317" i="6"/>
  <c r="L1318" i="6"/>
  <c r="L1319" i="6"/>
  <c r="L1320" i="6"/>
  <c r="L1321" i="6"/>
  <c r="L1322" i="6"/>
  <c r="L1323" i="6"/>
  <c r="L1324" i="6"/>
  <c r="L1325" i="6"/>
  <c r="L1326" i="6"/>
  <c r="L1327" i="6"/>
  <c r="L1328" i="6"/>
  <c r="L1329" i="6"/>
  <c r="L1330" i="6"/>
  <c r="L1331" i="6"/>
  <c r="L1332" i="6"/>
  <c r="L1333" i="6"/>
  <c r="L1334" i="6"/>
  <c r="L1335" i="6"/>
  <c r="L1336" i="6"/>
  <c r="L1337" i="6"/>
  <c r="L1338" i="6"/>
  <c r="L1339" i="6"/>
  <c r="L1340" i="6"/>
  <c r="L1341" i="6"/>
  <c r="L1342" i="6"/>
  <c r="L1343" i="6"/>
  <c r="L1344" i="6"/>
  <c r="L1345" i="6"/>
  <c r="L1346" i="6"/>
  <c r="L1347" i="6"/>
  <c r="L1348" i="6"/>
  <c r="L1349" i="6"/>
  <c r="L1350" i="6"/>
  <c r="L1351" i="6"/>
  <c r="L1352" i="6"/>
  <c r="L1353" i="6"/>
  <c r="L1354" i="6"/>
  <c r="L1355" i="6"/>
  <c r="L1356" i="6"/>
  <c r="L1357" i="6"/>
  <c r="L1358" i="6"/>
  <c r="L1359" i="6"/>
  <c r="L1360" i="6"/>
  <c r="L1361" i="6"/>
  <c r="L1362" i="6"/>
  <c r="L1363" i="6"/>
  <c r="L1364" i="6"/>
  <c r="L1365" i="6"/>
  <c r="L1366" i="6"/>
  <c r="L1367" i="6"/>
  <c r="L1368" i="6"/>
  <c r="L1369" i="6"/>
  <c r="L1370" i="6"/>
  <c r="L1371" i="6"/>
  <c r="L1372" i="6"/>
  <c r="L1373" i="6"/>
  <c r="L1374" i="6"/>
  <c r="L1375" i="6"/>
  <c r="L1376" i="6"/>
  <c r="L1377" i="6"/>
  <c r="L1378" i="6"/>
  <c r="L1379" i="6"/>
  <c r="L1380" i="6"/>
  <c r="L1381" i="6"/>
  <c r="L1382" i="6"/>
  <c r="L1383" i="6"/>
  <c r="L1384" i="6"/>
  <c r="L1385" i="6"/>
  <c r="L1386" i="6"/>
  <c r="L1387" i="6"/>
  <c r="L1388" i="6"/>
  <c r="L1389" i="6"/>
  <c r="L1390" i="6"/>
  <c r="L1391" i="6"/>
  <c r="L1392" i="6"/>
  <c r="L1393" i="6"/>
  <c r="L1394" i="6"/>
  <c r="L1395" i="6"/>
  <c r="L1396" i="6"/>
  <c r="L1397" i="6"/>
  <c r="L1398" i="6"/>
  <c r="L1399" i="6"/>
  <c r="L1400" i="6"/>
  <c r="L1401" i="6"/>
  <c r="L1402" i="6"/>
  <c r="L1403" i="6"/>
  <c r="L1404" i="6"/>
  <c r="L1405" i="6"/>
  <c r="L1406" i="6"/>
  <c r="L1407" i="6"/>
  <c r="L1408" i="6"/>
  <c r="L1409" i="6"/>
  <c r="L1410" i="6"/>
  <c r="L1411" i="6"/>
  <c r="L1412" i="6"/>
  <c r="L1413" i="6"/>
  <c r="L1414" i="6"/>
  <c r="L1415" i="6"/>
  <c r="L1416" i="6"/>
  <c r="L1417" i="6"/>
  <c r="L1418" i="6"/>
  <c r="L1419" i="6"/>
  <c r="L1420" i="6"/>
  <c r="L1421" i="6"/>
  <c r="L1422" i="6"/>
  <c r="L1423" i="6"/>
  <c r="L1424" i="6"/>
  <c r="L1425" i="6"/>
  <c r="L1426" i="6"/>
  <c r="L1427" i="6"/>
  <c r="L1428" i="6"/>
  <c r="L1429" i="6"/>
  <c r="L1430" i="6"/>
  <c r="L1431" i="6"/>
  <c r="L1432" i="6"/>
  <c r="L1433" i="6"/>
  <c r="L1434" i="6"/>
  <c r="L1435" i="6"/>
  <c r="L1436" i="6"/>
  <c r="L1437" i="6"/>
  <c r="L1438" i="6"/>
  <c r="L1439" i="6"/>
  <c r="L1440" i="6"/>
  <c r="L1441" i="6"/>
  <c r="L1442" i="6"/>
  <c r="L1443" i="6"/>
  <c r="L1444" i="6"/>
  <c r="L1445" i="6"/>
  <c r="L1446" i="6"/>
  <c r="L1447" i="6"/>
  <c r="L1448" i="6"/>
  <c r="L1449" i="6"/>
  <c r="L1450" i="6"/>
  <c r="L1451" i="6"/>
  <c r="L1452" i="6"/>
  <c r="L1453" i="6"/>
  <c r="L1454" i="6"/>
  <c r="L1455" i="6"/>
  <c r="L1456" i="6"/>
  <c r="L1457" i="6"/>
  <c r="L1458" i="6"/>
  <c r="L1459" i="6"/>
  <c r="L1460" i="6"/>
  <c r="L1461" i="6"/>
  <c r="L1462" i="6"/>
  <c r="L1463" i="6"/>
  <c r="L1464" i="6"/>
  <c r="L1465" i="6"/>
  <c r="L1466" i="6"/>
  <c r="L1467" i="6"/>
  <c r="L1468" i="6"/>
  <c r="L1469" i="6"/>
  <c r="L1470" i="6"/>
  <c r="L1471" i="6"/>
  <c r="L1472" i="6"/>
  <c r="L1473" i="6"/>
  <c r="L1474" i="6"/>
  <c r="L1475" i="6"/>
  <c r="L1476" i="6"/>
  <c r="L1477" i="6"/>
  <c r="L1478" i="6"/>
  <c r="L1479" i="6"/>
  <c r="L1480" i="6"/>
  <c r="L1481" i="6"/>
  <c r="L1482" i="6"/>
  <c r="L1483" i="6"/>
  <c r="L1484" i="6"/>
  <c r="L1485" i="6"/>
  <c r="L1486" i="6"/>
  <c r="L1487" i="6"/>
  <c r="L1488" i="6"/>
  <c r="L1489" i="6"/>
  <c r="L1490" i="6"/>
  <c r="L1491" i="6"/>
  <c r="L1492" i="6"/>
  <c r="L1493" i="6"/>
  <c r="L1494" i="6"/>
  <c r="L1495" i="6"/>
  <c r="L1496" i="6"/>
  <c r="L1497" i="6"/>
  <c r="L1498" i="6"/>
  <c r="L1499" i="6"/>
  <c r="L1500" i="6"/>
  <c r="L1501" i="6"/>
  <c r="L1502" i="6"/>
  <c r="L1503" i="6"/>
  <c r="L1504" i="6"/>
  <c r="L1505" i="6"/>
  <c r="L1506" i="6"/>
  <c r="L1507" i="6"/>
  <c r="L1508" i="6"/>
  <c r="L1509" i="6"/>
  <c r="L1510" i="6"/>
  <c r="L1511" i="6"/>
  <c r="L1512" i="6"/>
  <c r="L1513" i="6"/>
  <c r="L1514" i="6"/>
  <c r="L1515" i="6"/>
  <c r="L1516" i="6"/>
  <c r="L1517" i="6"/>
  <c r="L1518" i="6"/>
  <c r="L1519" i="6"/>
  <c r="L1520" i="6"/>
  <c r="L1521" i="6"/>
  <c r="L1522" i="6"/>
  <c r="L1523" i="6"/>
  <c r="L1524" i="6"/>
  <c r="L1525" i="6"/>
  <c r="L1526" i="6"/>
  <c r="L1527" i="6"/>
  <c r="L1528" i="6"/>
  <c r="L1529" i="6"/>
  <c r="L1530" i="6"/>
  <c r="L1531" i="6"/>
  <c r="L1532" i="6"/>
  <c r="L1533" i="6"/>
  <c r="L1534" i="6"/>
  <c r="L1535" i="6"/>
  <c r="L1536" i="6"/>
  <c r="L1537" i="6"/>
  <c r="L1538" i="6"/>
  <c r="L1539" i="6"/>
  <c r="L1540" i="6"/>
  <c r="L1541" i="6"/>
  <c r="L1542" i="6"/>
  <c r="L1543" i="6"/>
  <c r="L1544" i="6"/>
  <c r="L1545" i="6"/>
  <c r="L1546" i="6"/>
  <c r="L1547" i="6"/>
  <c r="L1548" i="6"/>
  <c r="L1549" i="6"/>
  <c r="L1550" i="6"/>
  <c r="L1551" i="6"/>
  <c r="L1552" i="6"/>
  <c r="L1553" i="6"/>
  <c r="L1554" i="6"/>
  <c r="L1555" i="6"/>
  <c r="L1556" i="6"/>
  <c r="L1557" i="6"/>
  <c r="L1558" i="6"/>
  <c r="L1559" i="6"/>
  <c r="L1560" i="6"/>
  <c r="L1561" i="6"/>
  <c r="L1562" i="6"/>
  <c r="L1563" i="6"/>
  <c r="L1564" i="6"/>
  <c r="L1565" i="6"/>
  <c r="L1566" i="6"/>
  <c r="L1567" i="6"/>
  <c r="L1568" i="6"/>
  <c r="L1569" i="6"/>
  <c r="L1570" i="6"/>
  <c r="L1571" i="6"/>
  <c r="L1572" i="6"/>
  <c r="L1573" i="6"/>
  <c r="L1574" i="6"/>
  <c r="L1575" i="6"/>
  <c r="L1576" i="6"/>
  <c r="L1577" i="6"/>
  <c r="L1578" i="6"/>
  <c r="L1579" i="6"/>
  <c r="L1580" i="6"/>
  <c r="L1581" i="6"/>
  <c r="L1582" i="6"/>
  <c r="L1583" i="6"/>
  <c r="L1584" i="6"/>
  <c r="L1585" i="6"/>
  <c r="L1586" i="6"/>
  <c r="L1587" i="6"/>
  <c r="L1588" i="6"/>
  <c r="L1589" i="6"/>
  <c r="L1590" i="6"/>
  <c r="L1591" i="6"/>
  <c r="L1592" i="6"/>
  <c r="L1593" i="6"/>
  <c r="L1594" i="6"/>
  <c r="L1595" i="6"/>
  <c r="L1596" i="6"/>
  <c r="L1597" i="6"/>
  <c r="L1598" i="6"/>
  <c r="L1599" i="6"/>
  <c r="L1600" i="6"/>
  <c r="L1601" i="6"/>
  <c r="L1602" i="6"/>
  <c r="L1603" i="6"/>
  <c r="L1604" i="6"/>
  <c r="L1605" i="6"/>
  <c r="L1606" i="6"/>
  <c r="L1607" i="6"/>
  <c r="L1608" i="6"/>
  <c r="L1609" i="6"/>
  <c r="L1610" i="6"/>
  <c r="L1611" i="6"/>
  <c r="L1612" i="6"/>
  <c r="L1613" i="6"/>
  <c r="L1614" i="6"/>
  <c r="L1615" i="6"/>
  <c r="L1616" i="6"/>
  <c r="L1617" i="6"/>
  <c r="L1618" i="6"/>
  <c r="L1619" i="6"/>
  <c r="L1620" i="6"/>
  <c r="L1621" i="6"/>
  <c r="L1622" i="6"/>
  <c r="L1623" i="6"/>
  <c r="L1624" i="6"/>
  <c r="L1625" i="6"/>
  <c r="L1626" i="6"/>
  <c r="L1627" i="6"/>
  <c r="L1628" i="6"/>
  <c r="L1629" i="6"/>
  <c r="L1630" i="6"/>
  <c r="L1631" i="6"/>
  <c r="L1632" i="6"/>
  <c r="L1633" i="6"/>
  <c r="L1634" i="6"/>
  <c r="L1635" i="6"/>
  <c r="L1636" i="6"/>
  <c r="L1637" i="6"/>
  <c r="L1638" i="6"/>
  <c r="L1639" i="6"/>
  <c r="L1640" i="6"/>
  <c r="L1641" i="6"/>
  <c r="L1642" i="6"/>
  <c r="L1643" i="6"/>
  <c r="L1644" i="6"/>
  <c r="L1645" i="6"/>
  <c r="L1646" i="6"/>
  <c r="L1647" i="6"/>
  <c r="L1648" i="6"/>
  <c r="L1649" i="6"/>
  <c r="L1650" i="6"/>
  <c r="L1651" i="6"/>
  <c r="L1652" i="6"/>
  <c r="L1653" i="6"/>
  <c r="L1654" i="6"/>
  <c r="L1655" i="6"/>
  <c r="L1656" i="6"/>
  <c r="L1657" i="6"/>
  <c r="L1658" i="6"/>
  <c r="L1659" i="6"/>
  <c r="L1660" i="6"/>
  <c r="L1661" i="6"/>
  <c r="L1662" i="6"/>
  <c r="L1663" i="6"/>
  <c r="L1664" i="6"/>
  <c r="L1665" i="6"/>
  <c r="L1666" i="6"/>
  <c r="L1667" i="6"/>
  <c r="L1668" i="6"/>
  <c r="L1669" i="6"/>
  <c r="L1670" i="6"/>
  <c r="L1671" i="6"/>
  <c r="L1672" i="6"/>
  <c r="L1673" i="6"/>
  <c r="L1674" i="6"/>
  <c r="L1675" i="6"/>
  <c r="L1676" i="6"/>
  <c r="L1677" i="6"/>
  <c r="L1678" i="6"/>
  <c r="L1679" i="6"/>
  <c r="L1680" i="6"/>
  <c r="L1681" i="6"/>
  <c r="L1682" i="6"/>
  <c r="L1683" i="6"/>
  <c r="L1684" i="6"/>
  <c r="L1685" i="6"/>
  <c r="L1686" i="6"/>
  <c r="L1687" i="6"/>
  <c r="L1688" i="6"/>
  <c r="L1689" i="6"/>
  <c r="L1690" i="6"/>
  <c r="L1691" i="6"/>
  <c r="L1692" i="6"/>
  <c r="L1693" i="6"/>
  <c r="L1694" i="6"/>
  <c r="L1695" i="6"/>
  <c r="L1696" i="6"/>
  <c r="L1697" i="6"/>
  <c r="L1698" i="6"/>
  <c r="L1699" i="6"/>
  <c r="L1700" i="6"/>
  <c r="L1701" i="6"/>
  <c r="L1702" i="6"/>
  <c r="L1703" i="6"/>
  <c r="L1704" i="6"/>
  <c r="L1705" i="6"/>
  <c r="L1706" i="6"/>
  <c r="L1707" i="6"/>
  <c r="L1708" i="6"/>
  <c r="L1709" i="6"/>
  <c r="L1710" i="6"/>
  <c r="L1711" i="6"/>
  <c r="L1712" i="6"/>
  <c r="L1713" i="6"/>
  <c r="L1714" i="6"/>
  <c r="L1715" i="6"/>
  <c r="L1716" i="6"/>
  <c r="L1717" i="6"/>
  <c r="L1718" i="6"/>
  <c r="L1719" i="6"/>
  <c r="L1720" i="6"/>
  <c r="L1721" i="6"/>
  <c r="L1722" i="6"/>
  <c r="L1723" i="6"/>
  <c r="L1724" i="6"/>
  <c r="L1725" i="6"/>
  <c r="L1726" i="6"/>
  <c r="L1727" i="6"/>
  <c r="L1728" i="6"/>
  <c r="L1729" i="6"/>
  <c r="L1730" i="6"/>
  <c r="L1731" i="6"/>
  <c r="L1732" i="6"/>
  <c r="L1733" i="6"/>
  <c r="L1734" i="6"/>
  <c r="L1735" i="6"/>
  <c r="L1736" i="6"/>
  <c r="L1737" i="6"/>
  <c r="L1738" i="6"/>
  <c r="L1739" i="6"/>
  <c r="L1740" i="6"/>
  <c r="L1741" i="6"/>
  <c r="L1742" i="6"/>
  <c r="L1743" i="6"/>
  <c r="L1744" i="6"/>
  <c r="L1745" i="6"/>
  <c r="L1746" i="6"/>
  <c r="L1747" i="6"/>
  <c r="L1748" i="6"/>
  <c r="L1749" i="6"/>
  <c r="L1750" i="6"/>
  <c r="L1751" i="6"/>
  <c r="L1752" i="6"/>
  <c r="L1753" i="6"/>
  <c r="L1754" i="6"/>
  <c r="L1755" i="6"/>
  <c r="L1756" i="6"/>
  <c r="L1757" i="6"/>
  <c r="L1758" i="6"/>
  <c r="L1759" i="6"/>
  <c r="L1760" i="6"/>
  <c r="L1761" i="6"/>
  <c r="L1762" i="6"/>
  <c r="L1763" i="6"/>
  <c r="L1764" i="6"/>
  <c r="L1765" i="6"/>
  <c r="L1766" i="6"/>
  <c r="L1767" i="6"/>
  <c r="L1768" i="6"/>
  <c r="L1769" i="6"/>
  <c r="L1770" i="6"/>
  <c r="L1771" i="6"/>
  <c r="L1772" i="6"/>
  <c r="L1773" i="6"/>
  <c r="L1774" i="6"/>
  <c r="L1775" i="6"/>
  <c r="L1776" i="6"/>
  <c r="L1777" i="6"/>
  <c r="L1778" i="6"/>
  <c r="L1779" i="6"/>
  <c r="L1780" i="6"/>
  <c r="L1781" i="6"/>
  <c r="L1782" i="6"/>
  <c r="L1783" i="6"/>
  <c r="L1784" i="6"/>
  <c r="L1785" i="6"/>
  <c r="L1786" i="6"/>
  <c r="L1787" i="6"/>
  <c r="L1788" i="6"/>
  <c r="L1789" i="6"/>
  <c r="L1790" i="6"/>
  <c r="L1791" i="6"/>
  <c r="L1792" i="6"/>
  <c r="L1793" i="6"/>
  <c r="L1794" i="6"/>
  <c r="L1795" i="6"/>
  <c r="L1796" i="6"/>
  <c r="L1797" i="6"/>
  <c r="L1798" i="6"/>
  <c r="L1799" i="6"/>
  <c r="L1800" i="6"/>
  <c r="L1801" i="6"/>
  <c r="L1802" i="6"/>
  <c r="L1803" i="6"/>
  <c r="L1804" i="6"/>
  <c r="L1805" i="6"/>
  <c r="L1806" i="6"/>
  <c r="L1807" i="6"/>
  <c r="L1808" i="6"/>
  <c r="L1809" i="6"/>
  <c r="L1810" i="6"/>
  <c r="L1811" i="6"/>
  <c r="L1812" i="6"/>
  <c r="L1813" i="6"/>
  <c r="L1814" i="6"/>
  <c r="L1815" i="6"/>
  <c r="L1816" i="6"/>
  <c r="L1817" i="6"/>
  <c r="L1818" i="6"/>
  <c r="L1819" i="6"/>
  <c r="L1820" i="6"/>
  <c r="L1821" i="6"/>
  <c r="L1822" i="6"/>
  <c r="L1823" i="6"/>
  <c r="L1824" i="6"/>
  <c r="L1825" i="6"/>
  <c r="L1826" i="6"/>
  <c r="L1827" i="6"/>
  <c r="L1828" i="6"/>
  <c r="L1829" i="6"/>
  <c r="L1830" i="6"/>
  <c r="L1831" i="6"/>
  <c r="L1832" i="6"/>
  <c r="L1833" i="6"/>
  <c r="L1834" i="6"/>
  <c r="L1835" i="6"/>
  <c r="L1836" i="6"/>
  <c r="L1837" i="6"/>
  <c r="L1838" i="6"/>
  <c r="L1839" i="6"/>
  <c r="L1840" i="6"/>
  <c r="L1841" i="6"/>
  <c r="L1842" i="6"/>
  <c r="L1843" i="6"/>
  <c r="L1844" i="6"/>
  <c r="L1845" i="6"/>
  <c r="L1846" i="6"/>
  <c r="L1847" i="6"/>
  <c r="L1848" i="6"/>
  <c r="L1849" i="6"/>
  <c r="L1850" i="6"/>
  <c r="L1851" i="6"/>
  <c r="L1852" i="6"/>
  <c r="L1853" i="6"/>
  <c r="L1854" i="6"/>
  <c r="L1855" i="6"/>
  <c r="L1856" i="6"/>
  <c r="L1857" i="6"/>
  <c r="L1858" i="6"/>
  <c r="L1859" i="6"/>
  <c r="L1860" i="6"/>
  <c r="L1861" i="6"/>
  <c r="L1862" i="6"/>
  <c r="L1863" i="6"/>
  <c r="L1864" i="6"/>
  <c r="L1865" i="6"/>
  <c r="L1866" i="6"/>
  <c r="L1867" i="6"/>
  <c r="L1868" i="6"/>
  <c r="L1869" i="6"/>
  <c r="L1870" i="6"/>
  <c r="L1871" i="6"/>
  <c r="L1872" i="6"/>
  <c r="L1873" i="6"/>
  <c r="L1874" i="6"/>
  <c r="L1875" i="6"/>
  <c r="L1876" i="6"/>
  <c r="L1877" i="6"/>
  <c r="L1878" i="6"/>
  <c r="L1879" i="6"/>
  <c r="L1880" i="6"/>
  <c r="L1881" i="6"/>
  <c r="L1882" i="6"/>
  <c r="L1883" i="6"/>
  <c r="L1884" i="6"/>
  <c r="L1885" i="6"/>
  <c r="L1886" i="6"/>
  <c r="L1887" i="6"/>
  <c r="L1888" i="6"/>
  <c r="L1889" i="6"/>
  <c r="L1890" i="6"/>
  <c r="L1891" i="6"/>
  <c r="L1892" i="6"/>
  <c r="L1893" i="6"/>
  <c r="L1894" i="6"/>
  <c r="L1895" i="6"/>
  <c r="L1896" i="6"/>
  <c r="L1897" i="6"/>
  <c r="L1898" i="6"/>
  <c r="L1899" i="6"/>
  <c r="L1900" i="6"/>
  <c r="L1901" i="6"/>
  <c r="L1902" i="6"/>
  <c r="L1903" i="6"/>
  <c r="L1904" i="6"/>
  <c r="L1905" i="6"/>
  <c r="L1906" i="6"/>
  <c r="L1907" i="6"/>
  <c r="L1908" i="6"/>
  <c r="L1909" i="6"/>
  <c r="L1910" i="6"/>
  <c r="L1911" i="6"/>
  <c r="L1912" i="6"/>
  <c r="L1913" i="6"/>
  <c r="L1914" i="6"/>
  <c r="L1915" i="6"/>
  <c r="L1916" i="6"/>
  <c r="L1917" i="6"/>
  <c r="L1918" i="6"/>
  <c r="L1919" i="6"/>
  <c r="L1920" i="6"/>
  <c r="L1921" i="6"/>
  <c r="L1922" i="6"/>
  <c r="L1923" i="6"/>
  <c r="L1924" i="6"/>
  <c r="L1925" i="6"/>
  <c r="L1926" i="6"/>
  <c r="L1927" i="6"/>
  <c r="L1928" i="6"/>
  <c r="L1929" i="6"/>
  <c r="L1930" i="6"/>
  <c r="L1931" i="6"/>
  <c r="L1932" i="6"/>
  <c r="L1933" i="6"/>
  <c r="L1934" i="6"/>
  <c r="L1935" i="6"/>
  <c r="L1936" i="6"/>
  <c r="L1937" i="6"/>
  <c r="L1938" i="6"/>
  <c r="L1939" i="6"/>
  <c r="L1940" i="6"/>
  <c r="L1941" i="6"/>
  <c r="L1942" i="6"/>
  <c r="L1943" i="6"/>
  <c r="L1944" i="6"/>
  <c r="L1945" i="6"/>
  <c r="L1946" i="6"/>
  <c r="L1947" i="6"/>
  <c r="L1948" i="6"/>
  <c r="L1949" i="6"/>
  <c r="L1950" i="6"/>
  <c r="L1951" i="6"/>
  <c r="L1952" i="6"/>
  <c r="L1953" i="6"/>
  <c r="L1954" i="6"/>
  <c r="L1955" i="6"/>
  <c r="L1956" i="6"/>
  <c r="L1957" i="6"/>
  <c r="L1958" i="6"/>
  <c r="L1959" i="6"/>
  <c r="L1960" i="6"/>
  <c r="L1961" i="6"/>
  <c r="L1962" i="6"/>
  <c r="L1963" i="6"/>
  <c r="L1964" i="6"/>
  <c r="L1965" i="6"/>
  <c r="L1966" i="6"/>
  <c r="L1967" i="6"/>
  <c r="L1968" i="6"/>
  <c r="L1969" i="6"/>
  <c r="L1970" i="6"/>
  <c r="L1971" i="6"/>
  <c r="L1972" i="6"/>
  <c r="L1973" i="6"/>
  <c r="L1974" i="6"/>
  <c r="L1975" i="6"/>
  <c r="L1976" i="6"/>
  <c r="L1977" i="6"/>
  <c r="L1978" i="6"/>
  <c r="L1979" i="6"/>
  <c r="L1980" i="6"/>
  <c r="L1981" i="6"/>
  <c r="L1982" i="6"/>
  <c r="L1983" i="6"/>
  <c r="L1984" i="6"/>
  <c r="L1985" i="6"/>
  <c r="L1986" i="6"/>
  <c r="L1987" i="6"/>
  <c r="L1988" i="6"/>
  <c r="L1989" i="6"/>
  <c r="L1990" i="6"/>
  <c r="L1991" i="6"/>
  <c r="L1992" i="6"/>
  <c r="L1993" i="6"/>
  <c r="L1994" i="6"/>
  <c r="L1995" i="6"/>
  <c r="L1996" i="6"/>
  <c r="L1997" i="6"/>
  <c r="L1998" i="6"/>
  <c r="L1999" i="6"/>
  <c r="L2000" i="6"/>
  <c r="L2001" i="6"/>
  <c r="L2002" i="6"/>
  <c r="L2003" i="6"/>
  <c r="L2004" i="6"/>
  <c r="L2005" i="6"/>
  <c r="L2006" i="6"/>
  <c r="L2007" i="6"/>
  <c r="L2008" i="6"/>
  <c r="L2009" i="6"/>
  <c r="L2010" i="6"/>
  <c r="L2011" i="6"/>
  <c r="L2012" i="6"/>
  <c r="L2013" i="6"/>
  <c r="L2014" i="6"/>
  <c r="L2015" i="6"/>
  <c r="L2016" i="6"/>
  <c r="L2017" i="6"/>
  <c r="L2018" i="6"/>
  <c r="L2019" i="6"/>
  <c r="L2020" i="6"/>
  <c r="L2021" i="6"/>
  <c r="L2022" i="6"/>
  <c r="L2023" i="6"/>
  <c r="L2024" i="6"/>
  <c r="L2025" i="6"/>
  <c r="L2026" i="6"/>
  <c r="L2027" i="6"/>
  <c r="L2028" i="6"/>
  <c r="L2029" i="6"/>
  <c r="L2030" i="6"/>
  <c r="L2031" i="6"/>
  <c r="L2032" i="6"/>
  <c r="L2033" i="6"/>
  <c r="L2034" i="6"/>
  <c r="L2035" i="6"/>
  <c r="L2036" i="6"/>
  <c r="L2037" i="6"/>
  <c r="L2038" i="6"/>
  <c r="L2039" i="6"/>
  <c r="L2040" i="6"/>
  <c r="L2041" i="6"/>
  <c r="L2042" i="6"/>
  <c r="L2043" i="6"/>
  <c r="L2044" i="6"/>
  <c r="L2045" i="6"/>
  <c r="L2046" i="6"/>
  <c r="L2047" i="6"/>
  <c r="L2048" i="6"/>
  <c r="L2049" i="6"/>
  <c r="L2050" i="6"/>
  <c r="L2051" i="6"/>
  <c r="L2052" i="6"/>
  <c r="L2053" i="6"/>
  <c r="L2054" i="6"/>
  <c r="L2055" i="6"/>
  <c r="L2056" i="6"/>
  <c r="L2057" i="6"/>
  <c r="O7" i="1" l="1" a="1"/>
  <c r="O7" i="1" s="1"/>
  <c r="E48" i="8" l="1"/>
  <c r="F47" i="8"/>
  <c r="E46" i="8"/>
  <c r="F45" i="8"/>
  <c r="P13" i="1" l="1"/>
  <c r="P7" i="1"/>
  <c r="F43" i="8"/>
  <c r="F49" i="8" s="1"/>
  <c r="E44" i="8"/>
  <c r="E50" i="8" s="1"/>
  <c r="F9" i="8"/>
  <c r="F10" i="8"/>
  <c r="F11" i="8"/>
  <c r="F12" i="8"/>
  <c r="F13" i="8"/>
  <c r="F15" i="8"/>
  <c r="F16" i="8"/>
  <c r="F17" i="8"/>
  <c r="F18" i="8"/>
  <c r="F19" i="8"/>
  <c r="F20" i="8"/>
  <c r="F21" i="8"/>
  <c r="F8" i="8"/>
  <c r="E53" i="8"/>
  <c r="E54" i="8" s="1"/>
  <c r="F53" i="8"/>
  <c r="F54" i="8" s="1"/>
  <c r="E55" i="8"/>
  <c r="F55" i="8"/>
  <c r="E56" i="8"/>
  <c r="F56" i="8"/>
  <c r="E57" i="8"/>
  <c r="F57" i="8"/>
  <c r="B4" i="8"/>
  <c r="F14" i="8" l="1"/>
  <c r="P21" i="10"/>
  <c r="E10" i="8" l="1"/>
  <c r="E12" i="8"/>
  <c r="E14" i="8"/>
  <c r="E16" i="8"/>
  <c r="E18" i="8"/>
  <c r="E20" i="8"/>
  <c r="E9" i="8"/>
  <c r="E11" i="8"/>
  <c r="E13" i="8"/>
  <c r="E15" i="8"/>
  <c r="E17" i="8"/>
  <c r="E19" i="8"/>
  <c r="E21" i="8"/>
  <c r="E8" i="8"/>
  <c r="I19" i="8" l="1"/>
  <c r="U6" i="10"/>
  <c r="G13" i="1" l="1"/>
  <c r="N13" i="1" s="1"/>
  <c r="H13" i="1"/>
  <c r="I22" i="8"/>
  <c r="AE13" i="1"/>
  <c r="AD13" i="1"/>
  <c r="AC13" i="1"/>
  <c r="AA13" i="1"/>
  <c r="Y13" i="1"/>
  <c r="X13" i="1"/>
  <c r="P36" i="1" l="1"/>
  <c r="W36" i="1"/>
  <c r="X36" i="1"/>
  <c r="G36" i="1"/>
  <c r="AA36" i="1"/>
  <c r="AB36" i="1"/>
  <c r="Y36" i="1"/>
  <c r="R36" i="1"/>
  <c r="S36" i="1"/>
  <c r="V36" i="1"/>
  <c r="Z36" i="1"/>
  <c r="R13" i="1"/>
  <c r="S13" i="1"/>
  <c r="A12" i="1"/>
  <c r="AH13" i="1"/>
  <c r="AI13" i="1"/>
  <c r="AF13" i="1"/>
  <c r="N36" i="1" s="1"/>
  <c r="A13" i="1"/>
  <c r="P7" i="10"/>
  <c r="P8" i="10"/>
  <c r="P9" i="10"/>
  <c r="P10" i="10"/>
  <c r="P11" i="10"/>
  <c r="P12" i="10"/>
  <c r="P13" i="10"/>
  <c r="P14" i="10"/>
  <c r="P15" i="10"/>
  <c r="P16" i="10"/>
  <c r="P17" i="10"/>
  <c r="P18" i="10"/>
  <c r="P19" i="10"/>
  <c r="P20" i="10"/>
  <c r="P6" i="10"/>
  <c r="K4" i="8" l="1"/>
  <c r="G18" i="1" l="1"/>
  <c r="G17" i="1"/>
  <c r="G19" i="1"/>
  <c r="Y35" i="1"/>
  <c r="P35" i="1"/>
  <c r="AA34" i="1"/>
  <c r="W34" i="1"/>
  <c r="R34" i="1"/>
  <c r="G34" i="1"/>
  <c r="Y33" i="1"/>
  <c r="P33" i="1"/>
  <c r="AA32" i="1"/>
  <c r="W32" i="1"/>
  <c r="R32" i="1"/>
  <c r="G32" i="1"/>
  <c r="Y31" i="1"/>
  <c r="P31" i="1"/>
  <c r="AA30" i="1"/>
  <c r="W30" i="1"/>
  <c r="R30" i="1"/>
  <c r="G30" i="1"/>
  <c r="Y29" i="1"/>
  <c r="P29" i="1"/>
  <c r="AA27" i="1"/>
  <c r="W27" i="1"/>
  <c r="R27" i="1"/>
  <c r="G27" i="1"/>
  <c r="AA24" i="1"/>
  <c r="R24" i="1"/>
  <c r="Y23" i="1"/>
  <c r="P23" i="1"/>
  <c r="Y20" i="1"/>
  <c r="P20" i="1"/>
  <c r="AA19" i="1"/>
  <c r="W19" i="1"/>
  <c r="R19" i="1"/>
  <c r="Y18" i="1"/>
  <c r="P18" i="1"/>
  <c r="AA17" i="1"/>
  <c r="W17" i="1"/>
  <c r="R17" i="1"/>
  <c r="P16" i="1"/>
  <c r="V35" i="1"/>
  <c r="AB34" i="1"/>
  <c r="X34" i="1"/>
  <c r="S34" i="1"/>
  <c r="Z33" i="1"/>
  <c r="V33" i="1"/>
  <c r="AB32" i="1"/>
  <c r="X32" i="1"/>
  <c r="S32" i="1"/>
  <c r="Z31" i="1"/>
  <c r="V31" i="1"/>
  <c r="AB30" i="1"/>
  <c r="X30" i="1"/>
  <c r="S30" i="1"/>
  <c r="Z29" i="1"/>
  <c r="V29" i="1"/>
  <c r="AB27" i="1"/>
  <c r="X27" i="1"/>
  <c r="S27" i="1"/>
  <c r="AB24" i="1"/>
  <c r="X24" i="1"/>
  <c r="S24" i="1"/>
  <c r="V23" i="1"/>
  <c r="Z20" i="1"/>
  <c r="V20" i="1"/>
  <c r="AB19" i="1"/>
  <c r="X19" i="1"/>
  <c r="S19" i="1"/>
  <c r="Z18" i="1"/>
  <c r="V18" i="1"/>
  <c r="AB17" i="1"/>
  <c r="X17" i="1"/>
  <c r="S17" i="1"/>
  <c r="V16" i="1"/>
  <c r="AA35" i="1"/>
  <c r="Y34" i="1"/>
  <c r="P34" i="1"/>
  <c r="AA33" i="1"/>
  <c r="W33" i="1"/>
  <c r="R33" i="1"/>
  <c r="G33" i="1"/>
  <c r="Y32" i="1"/>
  <c r="P32" i="1"/>
  <c r="AA31" i="1"/>
  <c r="W31" i="1"/>
  <c r="R31" i="1"/>
  <c r="G31" i="1"/>
  <c r="Y30" i="1"/>
  <c r="P30" i="1"/>
  <c r="AA29" i="1"/>
  <c r="W29" i="1"/>
  <c r="R29" i="1"/>
  <c r="G29" i="1"/>
  <c r="Y27" i="1"/>
  <c r="P27" i="1"/>
  <c r="Y24" i="1"/>
  <c r="P24" i="1"/>
  <c r="AA23" i="1"/>
  <c r="G23" i="1"/>
  <c r="AA20" i="1"/>
  <c r="W20" i="1"/>
  <c r="R20" i="1"/>
  <c r="G20" i="1"/>
  <c r="Y19" i="1"/>
  <c r="P19" i="1"/>
  <c r="AA18" i="1"/>
  <c r="W18" i="1"/>
  <c r="R18" i="1"/>
  <c r="Y17" i="1"/>
  <c r="P17" i="1"/>
  <c r="X35" i="1"/>
  <c r="Z34" i="1"/>
  <c r="V34" i="1"/>
  <c r="AB33" i="1"/>
  <c r="X33" i="1"/>
  <c r="S33" i="1"/>
  <c r="Z32" i="1"/>
  <c r="V32" i="1"/>
  <c r="AB31" i="1"/>
  <c r="X31" i="1"/>
  <c r="S31" i="1"/>
  <c r="Z30" i="1"/>
  <c r="V30" i="1"/>
  <c r="AB29" i="1"/>
  <c r="X29" i="1"/>
  <c r="S29" i="1"/>
  <c r="Z27" i="1"/>
  <c r="V27" i="1"/>
  <c r="Z24" i="1"/>
  <c r="V24" i="1"/>
  <c r="X23" i="1"/>
  <c r="AB20" i="1"/>
  <c r="X20" i="1"/>
  <c r="S20" i="1"/>
  <c r="Z19" i="1"/>
  <c r="V19" i="1"/>
  <c r="AB18" i="1"/>
  <c r="X18" i="1"/>
  <c r="S18" i="1"/>
  <c r="Z17" i="1"/>
  <c r="V17" i="1"/>
  <c r="P37" i="1" l="1"/>
  <c r="V37" i="1"/>
  <c r="Y37" i="1"/>
  <c r="AA37" i="1"/>
  <c r="X37" i="1"/>
  <c r="X25" i="1"/>
  <c r="AA25" i="1"/>
  <c r="N18" i="1"/>
  <c r="N20" i="1"/>
  <c r="N23" i="1"/>
  <c r="N29" i="1"/>
  <c r="N31" i="1"/>
  <c r="N33" i="1"/>
  <c r="N17" i="1"/>
  <c r="N19" i="1"/>
  <c r="N27" i="1"/>
  <c r="N30" i="1"/>
  <c r="N32" i="1"/>
  <c r="N34" i="1"/>
  <c r="P25" i="1"/>
  <c r="V21" i="1"/>
  <c r="P21" i="1"/>
  <c r="V25" i="1"/>
  <c r="Y25" i="1"/>
  <c r="AE7" i="1"/>
  <c r="AD7" i="1"/>
  <c r="AC7" i="1"/>
  <c r="AF7" i="1" s="1"/>
  <c r="AA7" i="1"/>
  <c r="Y7" i="1"/>
  <c r="X7" i="1"/>
  <c r="AI7" i="1" l="1"/>
  <c r="AH7" i="1"/>
  <c r="V39" i="1"/>
  <c r="T40" i="1"/>
  <c r="P39" i="1"/>
  <c r="P40" i="1" s="1"/>
  <c r="Z7" i="1" l="1"/>
  <c r="AB7" i="1" s="1"/>
  <c r="W7" i="1"/>
  <c r="AG7" i="1" s="1"/>
  <c r="AB23" i="1" l="1"/>
  <c r="AB25" i="1" s="1"/>
  <c r="R23" i="1" l="1"/>
  <c r="R25" i="1" s="1"/>
  <c r="S23" i="1"/>
  <c r="S25" i="1" s="1"/>
  <c r="W23" i="1"/>
  <c r="Z23" i="1" l="1"/>
  <c r="Z25" i="1" s="1"/>
  <c r="N35" i="1" l="1"/>
  <c r="N37" i="1" s="1"/>
  <c r="AB16" i="1" l="1"/>
  <c r="AB21" i="1" s="1"/>
  <c r="N24" i="1"/>
  <c r="N25" i="1" s="1"/>
  <c r="Y16" i="1"/>
  <c r="Y21" i="1" s="1"/>
  <c r="Y39" i="1" s="1"/>
  <c r="Y40" i="1" s="1"/>
  <c r="W24" i="1"/>
  <c r="W25" i="1" s="1"/>
  <c r="X16" i="1"/>
  <c r="X21" i="1" s="1"/>
  <c r="X39" i="1" s="1"/>
  <c r="X40" i="1" s="1"/>
  <c r="W16" i="1"/>
  <c r="W21" i="1" s="1"/>
  <c r="N16" i="1"/>
  <c r="N21" i="1" s="1"/>
  <c r="S16" i="1"/>
  <c r="S21" i="1" s="1"/>
  <c r="AA16" i="1"/>
  <c r="AA21" i="1" s="1"/>
  <c r="AA39" i="1" s="1"/>
  <c r="AA40" i="1" s="1"/>
  <c r="R16" i="1"/>
  <c r="R21" i="1" s="1"/>
  <c r="Z16" i="1"/>
  <c r="Z21" i="1" s="1"/>
  <c r="G24" i="1"/>
  <c r="G25" i="1" s="1"/>
  <c r="G16" i="1"/>
  <c r="G21" i="1" s="1"/>
  <c r="N39" i="1" l="1"/>
  <c r="G35" i="1" l="1"/>
  <c r="AB13" i="1"/>
  <c r="AB35" i="1" s="1"/>
  <c r="G37" i="1" l="1"/>
  <c r="G39" i="1" s="1"/>
  <c r="G40" i="1" s="1"/>
  <c r="AB37" i="1"/>
  <c r="AB39" i="1" s="1"/>
  <c r="AB40" i="1" s="1"/>
  <c r="R35" i="1"/>
  <c r="F51" i="8"/>
  <c r="R37" i="1" l="1"/>
  <c r="R39" i="1" s="1"/>
  <c r="R40" i="1" s="1"/>
  <c r="S35" i="1"/>
  <c r="E52" i="8"/>
  <c r="F6" i="8" s="1"/>
  <c r="W13" i="1"/>
  <c r="AG13" i="1" s="1"/>
  <c r="Z13" i="1"/>
  <c r="Z35" i="1" s="1"/>
  <c r="E23" i="8" l="1"/>
  <c r="E6" i="8" s="1"/>
  <c r="G6" i="8" s="1"/>
  <c r="Z37" i="1"/>
  <c r="Z39" i="1" s="1"/>
  <c r="Z40" i="1" s="1"/>
  <c r="S37" i="1"/>
  <c r="S39" i="1" s="1"/>
  <c r="S40" i="1" s="1"/>
  <c r="W35" i="1"/>
  <c r="W37" i="1" l="1"/>
  <c r="W39" i="1" s="1"/>
  <c r="W40" i="1" s="1"/>
  <c r="I24" i="8"/>
  <c r="I25" i="8"/>
</calcChain>
</file>

<file path=xl/comments1.xml><?xml version="1.0" encoding="utf-8"?>
<comments xmlns="http://schemas.openxmlformats.org/spreadsheetml/2006/main">
  <authors>
    <author>BAinsworth</author>
  </authors>
  <commentList>
    <comment ref="N3" authorId="0" shapeId="0">
      <text>
        <r>
          <rPr>
            <b/>
            <sz val="9"/>
            <color indexed="81"/>
            <rFont val="Tahoma"/>
            <family val="2"/>
          </rPr>
          <t>BAinsworth:</t>
        </r>
        <r>
          <rPr>
            <sz val="9"/>
            <color indexed="81"/>
            <rFont val="Tahoma"/>
            <family val="2"/>
          </rPr>
          <t xml:space="preserve">
If a value is less than zero than the shares for the sale are too high.</t>
        </r>
      </text>
    </comment>
  </commentList>
</comments>
</file>

<file path=xl/comments2.xml><?xml version="1.0" encoding="utf-8"?>
<comments xmlns="http://schemas.openxmlformats.org/spreadsheetml/2006/main">
  <authors>
    <author>Brennen A. Ainsworth</author>
  </authors>
  <commentList>
    <comment ref="C62" authorId="0" shapeId="0">
      <text>
        <r>
          <rPr>
            <b/>
            <sz val="9"/>
            <color indexed="81"/>
            <rFont val="Tahoma"/>
            <family val="2"/>
          </rPr>
          <t>Brennen A. Ainsworth:</t>
        </r>
        <r>
          <rPr>
            <sz val="9"/>
            <color indexed="81"/>
            <rFont val="Tahoma"/>
            <family val="2"/>
          </rPr>
          <t xml:space="preserve">
Enter Quick books account number here.</t>
        </r>
      </text>
    </comment>
    <comment ref="C63" authorId="0" shapeId="0">
      <text>
        <r>
          <rPr>
            <b/>
            <sz val="9"/>
            <color indexed="81"/>
            <rFont val="Tahoma"/>
            <family val="2"/>
          </rPr>
          <t>Brennen A. Ainsworth:</t>
        </r>
        <r>
          <rPr>
            <sz val="9"/>
            <color indexed="81"/>
            <rFont val="Tahoma"/>
            <family val="2"/>
          </rPr>
          <t xml:space="preserve">
Enter Quick books account number here.</t>
        </r>
      </text>
    </comment>
    <comment ref="C64" authorId="0" shapeId="0">
      <text>
        <r>
          <rPr>
            <b/>
            <sz val="9"/>
            <color indexed="81"/>
            <rFont val="Tahoma"/>
            <family val="2"/>
          </rPr>
          <t>Brennen A. Ainsworth:</t>
        </r>
        <r>
          <rPr>
            <sz val="9"/>
            <color indexed="81"/>
            <rFont val="Tahoma"/>
            <family val="2"/>
          </rPr>
          <t xml:space="preserve">
Enter Quick books account number here.</t>
        </r>
      </text>
    </comment>
    <comment ref="C65" authorId="0" shapeId="0">
      <text>
        <r>
          <rPr>
            <b/>
            <sz val="9"/>
            <color indexed="81"/>
            <rFont val="Tahoma"/>
            <family val="2"/>
          </rPr>
          <t>Brennen A. Ainsworth:</t>
        </r>
        <r>
          <rPr>
            <sz val="9"/>
            <color indexed="81"/>
            <rFont val="Tahoma"/>
            <family val="2"/>
          </rPr>
          <t xml:space="preserve">
Enter Quick books account number here.</t>
        </r>
      </text>
    </comment>
    <comment ref="C66" authorId="0" shapeId="0">
      <text>
        <r>
          <rPr>
            <b/>
            <sz val="9"/>
            <color indexed="81"/>
            <rFont val="Tahoma"/>
            <family val="2"/>
          </rPr>
          <t>Brennen A. Ainsworth:</t>
        </r>
        <r>
          <rPr>
            <sz val="9"/>
            <color indexed="81"/>
            <rFont val="Tahoma"/>
            <family val="2"/>
          </rPr>
          <t xml:space="preserve">
Enter Quick books account number here.</t>
        </r>
      </text>
    </comment>
    <comment ref="C67" authorId="0" shapeId="0">
      <text>
        <r>
          <rPr>
            <b/>
            <sz val="9"/>
            <color indexed="81"/>
            <rFont val="Tahoma"/>
            <family val="2"/>
          </rPr>
          <t>Brennen A. Ainsworth:</t>
        </r>
        <r>
          <rPr>
            <sz val="9"/>
            <color indexed="81"/>
            <rFont val="Tahoma"/>
            <family val="2"/>
          </rPr>
          <t xml:space="preserve">
Enter Quick books account number here.</t>
        </r>
      </text>
    </comment>
    <comment ref="C68" authorId="0" shapeId="0">
      <text>
        <r>
          <rPr>
            <b/>
            <sz val="9"/>
            <color indexed="81"/>
            <rFont val="Tahoma"/>
            <family val="2"/>
          </rPr>
          <t>Brennen A. Ainsworth:</t>
        </r>
        <r>
          <rPr>
            <sz val="9"/>
            <color indexed="81"/>
            <rFont val="Tahoma"/>
            <family val="2"/>
          </rPr>
          <t xml:space="preserve">
Enter Quick books account number here.</t>
        </r>
      </text>
    </comment>
    <comment ref="C69" authorId="0" shapeId="0">
      <text>
        <r>
          <rPr>
            <b/>
            <sz val="9"/>
            <color indexed="81"/>
            <rFont val="Tahoma"/>
            <family val="2"/>
          </rPr>
          <t>Brennen A. Ainsworth:</t>
        </r>
        <r>
          <rPr>
            <sz val="9"/>
            <color indexed="81"/>
            <rFont val="Tahoma"/>
            <family val="2"/>
          </rPr>
          <t xml:space="preserve">
Enter Quick books account number here.</t>
        </r>
      </text>
    </comment>
    <comment ref="C70" authorId="0" shapeId="0">
      <text>
        <r>
          <rPr>
            <b/>
            <sz val="9"/>
            <color indexed="81"/>
            <rFont val="Tahoma"/>
            <family val="2"/>
          </rPr>
          <t>Brennen A. Ainsworth:</t>
        </r>
        <r>
          <rPr>
            <sz val="9"/>
            <color indexed="81"/>
            <rFont val="Tahoma"/>
            <family val="2"/>
          </rPr>
          <t xml:space="preserve">
Enter Quick books account number here.</t>
        </r>
      </text>
    </comment>
    <comment ref="C71" authorId="0" shapeId="0">
      <text>
        <r>
          <rPr>
            <b/>
            <sz val="9"/>
            <color indexed="81"/>
            <rFont val="Tahoma"/>
            <family val="2"/>
          </rPr>
          <t>Brennen A. Ainsworth:</t>
        </r>
        <r>
          <rPr>
            <sz val="9"/>
            <color indexed="81"/>
            <rFont val="Tahoma"/>
            <family val="2"/>
          </rPr>
          <t xml:space="preserve">
Enter Quick books account number here.</t>
        </r>
      </text>
    </comment>
    <comment ref="C72" authorId="0" shapeId="0">
      <text>
        <r>
          <rPr>
            <b/>
            <sz val="9"/>
            <color indexed="81"/>
            <rFont val="Tahoma"/>
            <family val="2"/>
          </rPr>
          <t>Brennen A. Ainsworth:</t>
        </r>
        <r>
          <rPr>
            <sz val="9"/>
            <color indexed="81"/>
            <rFont val="Tahoma"/>
            <family val="2"/>
          </rPr>
          <t xml:space="preserve">
Enter Quick books account number here.</t>
        </r>
      </text>
    </comment>
    <comment ref="C73" authorId="0" shapeId="0">
      <text>
        <r>
          <rPr>
            <b/>
            <sz val="9"/>
            <color indexed="81"/>
            <rFont val="Tahoma"/>
            <family val="2"/>
          </rPr>
          <t>Brennen A. Ainsworth:</t>
        </r>
        <r>
          <rPr>
            <sz val="9"/>
            <color indexed="81"/>
            <rFont val="Tahoma"/>
            <family val="2"/>
          </rPr>
          <t xml:space="preserve">
Enter Quick books account number here.</t>
        </r>
      </text>
    </comment>
    <comment ref="C74" authorId="0" shapeId="0">
      <text>
        <r>
          <rPr>
            <b/>
            <sz val="9"/>
            <color indexed="81"/>
            <rFont val="Tahoma"/>
            <family val="2"/>
          </rPr>
          <t>Brennen A. Ainsworth:</t>
        </r>
        <r>
          <rPr>
            <sz val="9"/>
            <color indexed="81"/>
            <rFont val="Tahoma"/>
            <family val="2"/>
          </rPr>
          <t xml:space="preserve">
Enter Quick books account number here.</t>
        </r>
      </text>
    </comment>
    <comment ref="C75" authorId="0" shapeId="0">
      <text>
        <r>
          <rPr>
            <b/>
            <sz val="9"/>
            <color indexed="81"/>
            <rFont val="Tahoma"/>
            <family val="2"/>
          </rPr>
          <t>Brennen A. Ainsworth:</t>
        </r>
        <r>
          <rPr>
            <sz val="9"/>
            <color indexed="81"/>
            <rFont val="Tahoma"/>
            <family val="2"/>
          </rPr>
          <t xml:space="preserve">
Enter Quick books account number here.</t>
        </r>
      </text>
    </comment>
    <comment ref="C76" authorId="0" shapeId="0">
      <text>
        <r>
          <rPr>
            <b/>
            <sz val="9"/>
            <color indexed="81"/>
            <rFont val="Tahoma"/>
            <family val="2"/>
          </rPr>
          <t>Brennen A. Ainsworth:</t>
        </r>
        <r>
          <rPr>
            <sz val="9"/>
            <color indexed="81"/>
            <rFont val="Tahoma"/>
            <family val="2"/>
          </rPr>
          <t xml:space="preserve">
Enter Quick books account number here.</t>
        </r>
      </text>
    </comment>
    <comment ref="C77" authorId="0" shapeId="0">
      <text>
        <r>
          <rPr>
            <b/>
            <sz val="9"/>
            <color indexed="81"/>
            <rFont val="Tahoma"/>
            <family val="2"/>
          </rPr>
          <t>Brennen A. Ainsworth:</t>
        </r>
        <r>
          <rPr>
            <sz val="9"/>
            <color indexed="81"/>
            <rFont val="Tahoma"/>
            <family val="2"/>
          </rPr>
          <t xml:space="preserve">
Enter Quick books account number here.</t>
        </r>
      </text>
    </comment>
    <comment ref="C78" authorId="0" shapeId="0">
      <text>
        <r>
          <rPr>
            <b/>
            <sz val="9"/>
            <color indexed="81"/>
            <rFont val="Tahoma"/>
            <family val="2"/>
          </rPr>
          <t>Brennen A. Ainsworth:</t>
        </r>
        <r>
          <rPr>
            <sz val="9"/>
            <color indexed="81"/>
            <rFont val="Tahoma"/>
            <family val="2"/>
          </rPr>
          <t xml:space="preserve">
Enter Quick books account number here.</t>
        </r>
      </text>
    </comment>
    <comment ref="C79" authorId="0" shapeId="0">
      <text>
        <r>
          <rPr>
            <b/>
            <sz val="9"/>
            <color indexed="81"/>
            <rFont val="Tahoma"/>
            <family val="2"/>
          </rPr>
          <t>Brennen A. Ainsworth:</t>
        </r>
        <r>
          <rPr>
            <sz val="9"/>
            <color indexed="81"/>
            <rFont val="Tahoma"/>
            <family val="2"/>
          </rPr>
          <t xml:space="preserve">
Enter Quick books account number here.</t>
        </r>
      </text>
    </comment>
    <comment ref="C80" authorId="0" shapeId="0">
      <text>
        <r>
          <rPr>
            <b/>
            <sz val="9"/>
            <color indexed="81"/>
            <rFont val="Tahoma"/>
            <family val="2"/>
          </rPr>
          <t>Brennen A. Ainsworth:</t>
        </r>
        <r>
          <rPr>
            <sz val="9"/>
            <color indexed="81"/>
            <rFont val="Tahoma"/>
            <family val="2"/>
          </rPr>
          <t xml:space="preserve">
Enter Quick books account number here.</t>
        </r>
      </text>
    </comment>
    <comment ref="C81" authorId="0" shapeId="0">
      <text>
        <r>
          <rPr>
            <b/>
            <sz val="9"/>
            <color indexed="81"/>
            <rFont val="Tahoma"/>
            <family val="2"/>
          </rPr>
          <t>Brennen A. Ainsworth:</t>
        </r>
        <r>
          <rPr>
            <sz val="9"/>
            <color indexed="81"/>
            <rFont val="Tahoma"/>
            <family val="2"/>
          </rPr>
          <t xml:space="preserve">
Enter Quick books account number here.</t>
        </r>
      </text>
    </comment>
    <comment ref="C82" authorId="0" shapeId="0">
      <text>
        <r>
          <rPr>
            <b/>
            <sz val="9"/>
            <color indexed="81"/>
            <rFont val="Tahoma"/>
            <family val="2"/>
          </rPr>
          <t>Brennen A. Ainsworth:</t>
        </r>
        <r>
          <rPr>
            <sz val="9"/>
            <color indexed="81"/>
            <rFont val="Tahoma"/>
            <family val="2"/>
          </rPr>
          <t xml:space="preserve">
Enter Quick books account number here.</t>
        </r>
      </text>
    </comment>
    <comment ref="C83" authorId="0" shapeId="0">
      <text>
        <r>
          <rPr>
            <b/>
            <sz val="9"/>
            <color indexed="81"/>
            <rFont val="Tahoma"/>
            <family val="2"/>
          </rPr>
          <t>Brennen A. Ainsworth:</t>
        </r>
        <r>
          <rPr>
            <sz val="9"/>
            <color indexed="81"/>
            <rFont val="Tahoma"/>
            <family val="2"/>
          </rPr>
          <t xml:space="preserve">
Enter Quick books account number here.</t>
        </r>
      </text>
    </comment>
    <comment ref="C84" authorId="0" shapeId="0">
      <text>
        <r>
          <rPr>
            <b/>
            <sz val="9"/>
            <color indexed="81"/>
            <rFont val="Tahoma"/>
            <family val="2"/>
          </rPr>
          <t>Brennen A. Ainsworth:</t>
        </r>
        <r>
          <rPr>
            <sz val="9"/>
            <color indexed="81"/>
            <rFont val="Tahoma"/>
            <family val="2"/>
          </rPr>
          <t xml:space="preserve">
Enter Quick books account number here.</t>
        </r>
      </text>
    </comment>
    <comment ref="C85" authorId="0" shapeId="0">
      <text>
        <r>
          <rPr>
            <b/>
            <sz val="9"/>
            <color indexed="81"/>
            <rFont val="Tahoma"/>
            <family val="2"/>
          </rPr>
          <t>Brennen A. Ainsworth:</t>
        </r>
        <r>
          <rPr>
            <sz val="9"/>
            <color indexed="81"/>
            <rFont val="Tahoma"/>
            <family val="2"/>
          </rPr>
          <t xml:space="preserve">
Enter Quick books account number here.</t>
        </r>
      </text>
    </comment>
  </commentList>
</comments>
</file>

<file path=xl/comments3.xml><?xml version="1.0" encoding="utf-8"?>
<comments xmlns="http://schemas.openxmlformats.org/spreadsheetml/2006/main">
  <authors>
    <author xml:space="preserve"> </author>
    <author>Aaron</author>
    <author>asmith</author>
  </authors>
  <commentList>
    <comment ref="D11" authorId="0" shapeId="0">
      <text>
        <r>
          <rPr>
            <b/>
            <sz val="8"/>
            <color indexed="81"/>
            <rFont val="Tahoma"/>
            <family val="2"/>
          </rPr>
          <t>GPWA :</t>
        </r>
        <r>
          <rPr>
            <sz val="8"/>
            <color indexed="81"/>
            <rFont val="Tahoma"/>
            <family val="2"/>
          </rPr>
          <t xml:space="preserve">
Only need to input if bond is in default (6); otherwise any number can be used</t>
        </r>
      </text>
    </comment>
    <comment ref="F11" authorId="1" shapeId="0">
      <text>
        <r>
          <rPr>
            <sz val="8"/>
            <color indexed="81"/>
            <rFont val="Tahoma"/>
            <family val="2"/>
          </rPr>
          <t xml:space="preserve">A complete and accurate description of all securities as listed in the NAIC VOS.
</t>
        </r>
      </text>
    </comment>
    <comment ref="M11" authorId="1" shapeId="0">
      <text>
        <r>
          <rPr>
            <sz val="8"/>
            <color indexed="81"/>
            <rFont val="Tahoma"/>
            <family val="2"/>
          </rPr>
          <t xml:space="preserve">Use the trade date, not the settlement date.
</t>
        </r>
      </text>
    </comment>
    <comment ref="Q11" authorId="0" shapeId="0">
      <text>
        <r>
          <rPr>
            <b/>
            <sz val="8"/>
            <color indexed="81"/>
            <rFont val="Tahoma"/>
            <family val="2"/>
          </rPr>
          <t>GPWA :</t>
        </r>
        <r>
          <rPr>
            <sz val="8"/>
            <color indexed="81"/>
            <rFont val="Tahoma"/>
            <family val="2"/>
          </rPr>
          <t xml:space="preserve">
Only need to input if bond is in default (6); otherwise any number can be used</t>
        </r>
      </text>
    </comment>
    <comment ref="R11" authorId="2" shapeId="0">
      <text>
        <r>
          <rPr>
            <sz val="8"/>
            <color indexed="81"/>
            <rFont val="Tahoma"/>
            <family val="2"/>
          </rPr>
          <t>Accrual of Discount - Account 820</t>
        </r>
        <r>
          <rPr>
            <b/>
            <sz val="8"/>
            <color indexed="81"/>
            <rFont val="Tahoma"/>
            <family val="2"/>
          </rPr>
          <t>X</t>
        </r>
      </text>
    </comment>
    <comment ref="S11" authorId="2" shapeId="0">
      <text>
        <r>
          <rPr>
            <sz val="8"/>
            <color indexed="81"/>
            <rFont val="Tahoma"/>
            <family val="2"/>
          </rPr>
          <t>Amortization of Premium - Account 821</t>
        </r>
        <r>
          <rPr>
            <b/>
            <sz val="8"/>
            <color indexed="81"/>
            <rFont val="Tahoma"/>
            <family val="2"/>
          </rPr>
          <t>X</t>
        </r>
      </text>
    </comment>
    <comment ref="T11" authorId="0" shapeId="0">
      <text>
        <r>
          <rPr>
            <b/>
            <sz val="8"/>
            <color indexed="81"/>
            <rFont val="Tahoma"/>
            <family val="2"/>
          </rPr>
          <t>GPWA :</t>
        </r>
        <r>
          <rPr>
            <sz val="8"/>
            <color indexed="81"/>
            <rFont val="Tahoma"/>
            <family val="2"/>
          </rPr>
          <t xml:space="preserve">
Only need to input if bond is in default (6); otherwise any number can be used</t>
        </r>
      </text>
    </comment>
    <comment ref="U11" authorId="1" shapeId="0">
      <text>
        <r>
          <rPr>
            <sz val="8"/>
            <color indexed="81"/>
            <rFont val="Tahoma"/>
            <family val="2"/>
          </rPr>
          <t>use the trade date, not the settlement date</t>
        </r>
      </text>
    </comment>
    <comment ref="X11" authorId="2" shapeId="0">
      <text>
        <r>
          <rPr>
            <sz val="8"/>
            <color indexed="81"/>
            <rFont val="Tahoma"/>
            <family val="2"/>
          </rPr>
          <t>Capital Gain - Account 823</t>
        </r>
        <r>
          <rPr>
            <b/>
            <sz val="8"/>
            <color indexed="81"/>
            <rFont val="Tahoma"/>
            <family val="2"/>
          </rPr>
          <t>X</t>
        </r>
      </text>
    </comment>
    <comment ref="Y11" authorId="2" shapeId="0">
      <text>
        <r>
          <rPr>
            <sz val="8"/>
            <color indexed="81"/>
            <rFont val="Tahoma"/>
            <family val="2"/>
          </rPr>
          <t>Capital Loss - Account 824</t>
        </r>
        <r>
          <rPr>
            <b/>
            <sz val="8"/>
            <color indexed="81"/>
            <rFont val="Tahoma"/>
            <family val="2"/>
          </rPr>
          <t>X</t>
        </r>
      </text>
    </comment>
    <comment ref="Z11" authorId="1" shapeId="0">
      <text>
        <r>
          <rPr>
            <sz val="8"/>
            <color indexed="81"/>
            <rFont val="Tahoma"/>
            <family val="2"/>
          </rPr>
          <t>Note: Common stocks are reported at market value while all other securities are reported at amortized value.</t>
        </r>
      </text>
    </comment>
    <comment ref="R15" authorId="2" shapeId="0">
      <text>
        <r>
          <rPr>
            <sz val="8"/>
            <color indexed="81"/>
            <rFont val="Tahoma"/>
            <family val="2"/>
          </rPr>
          <t>Accrual of Discount - Account 820</t>
        </r>
        <r>
          <rPr>
            <b/>
            <i/>
            <sz val="8"/>
            <color indexed="81"/>
            <rFont val="Tahoma"/>
            <family val="2"/>
          </rPr>
          <t>X</t>
        </r>
      </text>
    </comment>
  </commentList>
</comments>
</file>

<file path=xl/sharedStrings.xml><?xml version="1.0" encoding="utf-8"?>
<sst xmlns="http://schemas.openxmlformats.org/spreadsheetml/2006/main" count="3180" uniqueCount="3044">
  <si>
    <t>10.  All other governments - foreign</t>
  </si>
  <si>
    <t>9.  Other governments-Canada</t>
  </si>
  <si>
    <t>Name of Company:</t>
  </si>
  <si>
    <t>Date of Valuation:</t>
  </si>
  <si>
    <t>Date of Valuation PY:</t>
  </si>
  <si>
    <t>General Information</t>
  </si>
  <si>
    <t>Sale of Assets</t>
  </si>
  <si>
    <t>Bonds, Stocks &amp; Short-Term Investments</t>
  </si>
  <si>
    <t>Tax - Schedule D</t>
  </si>
  <si>
    <t>Bond and Stock Info</t>
  </si>
  <si>
    <t>Asset</t>
  </si>
  <si>
    <t>Book Value</t>
  </si>
  <si>
    <t>Par Value or</t>
  </si>
  <si>
    <t>Par Value</t>
  </si>
  <si>
    <t>Interest</t>
  </si>
  <si>
    <t>Rate Used</t>
  </si>
  <si>
    <t>Date</t>
  </si>
  <si>
    <t>Actual</t>
  </si>
  <si>
    <t>Date Int</t>
  </si>
  <si>
    <t>Interest/Dividends</t>
  </si>
  <si>
    <t>Adjustments During Yr</t>
  </si>
  <si>
    <t>Capital Gains/Losses</t>
  </si>
  <si>
    <t>Capital Gains (Losses)</t>
  </si>
  <si>
    <t>Type of Asset</t>
  </si>
  <si>
    <t>Type of B or S</t>
  </si>
  <si>
    <t>Description</t>
  </si>
  <si>
    <t>BOY or @ Pur</t>
  </si>
  <si>
    <t>No. of Shares</t>
  </si>
  <si>
    <t>Per Share</t>
  </si>
  <si>
    <t>Maturity Date</t>
  </si>
  <si>
    <t>Rate</t>
  </si>
  <si>
    <t>For MV</t>
  </si>
  <si>
    <t>Acqr'd</t>
  </si>
  <si>
    <t>Cost</t>
  </si>
  <si>
    <t>Last Paid</t>
  </si>
  <si>
    <t>Due &amp; Accrued</t>
  </si>
  <si>
    <t>Incr in BV</t>
  </si>
  <si>
    <t>Decr in BV</t>
  </si>
  <si>
    <t>Sold</t>
  </si>
  <si>
    <t>Consideration</t>
  </si>
  <si>
    <t>Profit</t>
  </si>
  <si>
    <t>Loss</t>
  </si>
  <si>
    <t>at Disposal</t>
  </si>
  <si>
    <t>Market Value</t>
  </si>
  <si>
    <t>short term</t>
  </si>
  <si>
    <t>long term</t>
  </si>
  <si>
    <t>ST</t>
  </si>
  <si>
    <t>US Governments</t>
  </si>
  <si>
    <t>All other governments</t>
  </si>
  <si>
    <t>States, Territorities &amp; Possessions</t>
  </si>
  <si>
    <t>General Ledger</t>
  </si>
  <si>
    <t>Book/Adjusted</t>
  </si>
  <si>
    <t>Carrying Value</t>
  </si>
  <si>
    <t>Number</t>
  </si>
  <si>
    <t>Account</t>
  </si>
  <si>
    <t>Key</t>
  </si>
  <si>
    <t>Sales</t>
  </si>
  <si>
    <t>Security</t>
  </si>
  <si>
    <t>Account Number</t>
  </si>
  <si>
    <t>b.1.</t>
  </si>
  <si>
    <t>b.2.</t>
  </si>
  <si>
    <t>b.3.</t>
  </si>
  <si>
    <t>b.4.</t>
  </si>
  <si>
    <t>b.6.</t>
  </si>
  <si>
    <t>c.1.</t>
  </si>
  <si>
    <t>c.2.</t>
  </si>
  <si>
    <t>p.1.</t>
  </si>
  <si>
    <t>st.1.</t>
  </si>
  <si>
    <t>Government Bonds</t>
  </si>
  <si>
    <t>States, Territories and Poss</t>
  </si>
  <si>
    <t>Political Subs of States, Terr and Poss</t>
  </si>
  <si>
    <t>Special Rev./Oblig (CMOs/Paydowns)</t>
  </si>
  <si>
    <t>Bond Subtotal</t>
  </si>
  <si>
    <t>Stock Subtotal</t>
  </si>
  <si>
    <t>Current</t>
  </si>
  <si>
    <t>Purch Key</t>
  </si>
  <si>
    <t>CR</t>
  </si>
  <si>
    <t>DR</t>
  </si>
  <si>
    <t>Name of Trust Company:</t>
  </si>
  <si>
    <t>Account Number at Trust Company:</t>
  </si>
  <si>
    <t>Assets</t>
  </si>
  <si>
    <t>Common Stocks</t>
  </si>
  <si>
    <t>Stock/Bond Mutual Funds</t>
  </si>
  <si>
    <t>Preferred Stocks</t>
  </si>
  <si>
    <t>Grand Total</t>
  </si>
  <si>
    <t>Short-Term/Gov't Bonds</t>
  </si>
  <si>
    <t>st.2.</t>
  </si>
  <si>
    <t>st.3.</t>
  </si>
  <si>
    <t>st.4.</t>
  </si>
  <si>
    <t>st.5.</t>
  </si>
  <si>
    <t>st.6.</t>
  </si>
  <si>
    <t>st.10.</t>
  </si>
  <si>
    <t>Short-Term/State,Terr. Bonds</t>
  </si>
  <si>
    <t>Short-Term/Political Subs Bonds</t>
  </si>
  <si>
    <t>Short-Term/Public Utilities Bonds</t>
  </si>
  <si>
    <t>Short-Term/Special Rev./Oblig Bonds</t>
  </si>
  <si>
    <t>Short-Term/Money Markets</t>
  </si>
  <si>
    <t>Short-Term Subtotal</t>
  </si>
  <si>
    <t>1011/8011</t>
  </si>
  <si>
    <t>1013/8013</t>
  </si>
  <si>
    <t>1014/8014</t>
  </si>
  <si>
    <t>1017/8017</t>
  </si>
  <si>
    <t>1034/8034</t>
  </si>
  <si>
    <t>1033/8033</t>
  </si>
  <si>
    <t>1024/8024</t>
  </si>
  <si>
    <t>1123/8123</t>
  </si>
  <si>
    <t>1122/8122</t>
  </si>
  <si>
    <t>1121/8121</t>
  </si>
  <si>
    <t>Formulas - Do Not Hardcode</t>
  </si>
  <si>
    <t>Summary</t>
  </si>
  <si>
    <t>1114/8114</t>
  </si>
  <si>
    <t>Short-Term/Certificates of Deposit</t>
  </si>
  <si>
    <t>Industrial and Misc. &amp; CDs</t>
  </si>
  <si>
    <t>Columns P, R and S</t>
  </si>
  <si>
    <t xml:space="preserve">A/D, A/P and Int. Accruals may </t>
  </si>
  <si>
    <t>be hard-coded to match trust report</t>
  </si>
  <si>
    <t>Trans_Date</t>
  </si>
  <si>
    <t>Transaction_Type</t>
  </si>
  <si>
    <t>Shares</t>
  </si>
  <si>
    <t>Amount</t>
  </si>
  <si>
    <t>INT</t>
  </si>
  <si>
    <t>Maturity</t>
  </si>
  <si>
    <t>Sale</t>
  </si>
  <si>
    <t>Row Labels</t>
  </si>
  <si>
    <t>Sum of No. of Shares</t>
  </si>
  <si>
    <t>Values</t>
  </si>
  <si>
    <t>(blank)</t>
  </si>
  <si>
    <t>Sum of Market Value</t>
  </si>
  <si>
    <t>CR.</t>
  </si>
  <si>
    <t>DR.</t>
  </si>
  <si>
    <t>b</t>
  </si>
  <si>
    <t>NA</t>
  </si>
  <si>
    <t>Account #</t>
  </si>
  <si>
    <t>Type</t>
  </si>
  <si>
    <t>8200</t>
  </si>
  <si>
    <t>8210</t>
  </si>
  <si>
    <t>8211</t>
  </si>
  <si>
    <t>total</t>
  </si>
  <si>
    <t>Formula/Manual Data Entry</t>
  </si>
  <si>
    <t>Booked</t>
  </si>
  <si>
    <t>Purch</t>
  </si>
  <si>
    <t>Div/Int</t>
  </si>
  <si>
    <t>Div Reinv</t>
  </si>
  <si>
    <t>Other</t>
  </si>
  <si>
    <t>1011</t>
  </si>
  <si>
    <t>8011</t>
  </si>
  <si>
    <t>1013</t>
  </si>
  <si>
    <t>8013</t>
  </si>
  <si>
    <t>1014</t>
  </si>
  <si>
    <t>8014</t>
  </si>
  <si>
    <t>1017</t>
  </si>
  <si>
    <t>8017</t>
  </si>
  <si>
    <t>1034</t>
  </si>
  <si>
    <t>8034</t>
  </si>
  <si>
    <t>1033</t>
  </si>
  <si>
    <t>8033</t>
  </si>
  <si>
    <t>1024</t>
  </si>
  <si>
    <t>8024</t>
  </si>
  <si>
    <t>1123</t>
  </si>
  <si>
    <t>8123</t>
  </si>
  <si>
    <t>1122</t>
  </si>
  <si>
    <t>8122</t>
  </si>
  <si>
    <t>1114</t>
  </si>
  <si>
    <t>8114</t>
  </si>
  <si>
    <t>1121</t>
  </si>
  <si>
    <t>8121</t>
  </si>
  <si>
    <t>Capital Gain Dist S/T</t>
  </si>
  <si>
    <t>Capital Gain Dist L/T</t>
  </si>
  <si>
    <t>Split</t>
  </si>
  <si>
    <t>Do not Delete</t>
  </si>
  <si>
    <t>Give Cost basis</t>
  </si>
  <si>
    <t>Security_Name/Description</t>
  </si>
  <si>
    <t>Yes</t>
  </si>
  <si>
    <t>No</t>
  </si>
  <si>
    <t>9512</t>
  </si>
  <si>
    <t>5068</t>
  </si>
  <si>
    <t>9701</t>
  </si>
  <si>
    <t>9602</t>
  </si>
  <si>
    <t>3400</t>
  </si>
  <si>
    <t>Current File</t>
  </si>
  <si>
    <t>Post to D</t>
  </si>
  <si>
    <t>BOY</t>
  </si>
  <si>
    <t>End of Period</t>
  </si>
  <si>
    <t>Asset Type</t>
  </si>
  <si>
    <t>1115</t>
  </si>
  <si>
    <t>8115</t>
  </si>
  <si>
    <t>NA1</t>
  </si>
  <si>
    <t>NA2</t>
  </si>
  <si>
    <t>NA3</t>
  </si>
  <si>
    <t>Money Market/Cash Reconciliation</t>
  </si>
  <si>
    <t>Sum of Carrying Value</t>
  </si>
  <si>
    <t>PaidAccInt</t>
  </si>
  <si>
    <t>c</t>
  </si>
  <si>
    <t>st</t>
  </si>
  <si>
    <t>Loss/Gains</t>
  </si>
  <si>
    <t>8230/8240</t>
  </si>
  <si>
    <t>Expenses</t>
  </si>
  <si>
    <t>AD/Ap</t>
  </si>
  <si>
    <t>Misc</t>
  </si>
  <si>
    <t>Bring Forward Schedd</t>
  </si>
  <si>
    <t>This macro will copy data from the prior year's schedule d.</t>
  </si>
  <si>
    <t>-It will delete the rows that had a book value of 0.</t>
  </si>
  <si>
    <t>-Copies the "GL book value" from prior and paste in "Book value BOY" in Current D.</t>
  </si>
  <si>
    <t>User Form</t>
  </si>
  <si>
    <t>-Enter the prior folder path and the name of the prior Schedule D</t>
  </si>
  <si>
    <t>Show Form</t>
  </si>
  <si>
    <t>-Enter Transactions into the user form and click "Post Transaction"</t>
  </si>
  <si>
    <t>-This form populates the "Bank Transactions" Tab</t>
  </si>
  <si>
    <t>Post Transactions to Schedd</t>
  </si>
  <si>
    <t>-This will post data from "Bank Transactions" to "Schedd" Tab.</t>
  </si>
  <si>
    <t>-Transaction with Yes are the only transactions that will be posted</t>
  </si>
  <si>
    <t>-A copy of the Schedd tab will be created with the name given from user form</t>
  </si>
  <si>
    <t xml:space="preserve">-Enter transactions as positive numbers, except for "other" transactions.  </t>
  </si>
  <si>
    <t xml:space="preserve">    For "other" transactions: enter payments as negative and deposits as positive values</t>
  </si>
  <si>
    <t>Check</t>
  </si>
  <si>
    <t>Ending Statement Balance</t>
  </si>
  <si>
    <t>Balance Check</t>
  </si>
  <si>
    <t>8231/8241</t>
  </si>
  <si>
    <t>8232/8242</t>
  </si>
  <si>
    <t>8233/8243</t>
  </si>
  <si>
    <t>8236/8246</t>
  </si>
  <si>
    <t>Sum of Due &amp; Accrued</t>
  </si>
  <si>
    <t>Sum of Cost</t>
  </si>
  <si>
    <t>Return of Capital</t>
  </si>
  <si>
    <t>8204</t>
  </si>
  <si>
    <t>8214</t>
  </si>
  <si>
    <t>8202</t>
  </si>
  <si>
    <t>8212</t>
  </si>
  <si>
    <t>Money Market</t>
  </si>
  <si>
    <t>RollBack Macro</t>
  </si>
  <si>
    <t>-This macro take "BOY Schedd" Tab and pastes into "SCHEDD" tab and deletes rows</t>
  </si>
  <si>
    <t xml:space="preserve">-You will have to change "Post to D" collumn in the "Bank Transactions" to </t>
  </si>
  <si>
    <t xml:space="preserve">     Yes and run post "Post Transactions to Schedd" Macro</t>
  </si>
  <si>
    <t>act1011.000</t>
  </si>
  <si>
    <t>GNMA, non mortgage backed</t>
  </si>
  <si>
    <t>act1011.100</t>
  </si>
  <si>
    <t>Govt Sponsored, non mortgage backed</t>
  </si>
  <si>
    <t>act1011.200</t>
  </si>
  <si>
    <t>Municipal Bonds</t>
  </si>
  <si>
    <t>act1013.000</t>
  </si>
  <si>
    <t>Special Revenue Bonds</t>
  </si>
  <si>
    <t>act1014.000</t>
  </si>
  <si>
    <t>MBS, GNMA</t>
  </si>
  <si>
    <t>act1014.100</t>
  </si>
  <si>
    <t>Public Utility Bonds</t>
  </si>
  <si>
    <t>act1016.000</t>
  </si>
  <si>
    <t>Corporate Bonds</t>
  </si>
  <si>
    <t>act1017.000</t>
  </si>
  <si>
    <t>CMO's</t>
  </si>
  <si>
    <t>act1018.000</t>
  </si>
  <si>
    <t>CMO, GNMA</t>
  </si>
  <si>
    <t>act1018.100</t>
  </si>
  <si>
    <t>Political Subdivision Bonds</t>
  </si>
  <si>
    <t>act1019.000</t>
  </si>
  <si>
    <t xml:space="preserve">PS </t>
  </si>
  <si>
    <t>act1020.000</t>
  </si>
  <si>
    <t>PS:Public Utilies</t>
  </si>
  <si>
    <t>act1022.000</t>
  </si>
  <si>
    <t>PS:BTI</t>
  </si>
  <si>
    <t>act1023.000</t>
  </si>
  <si>
    <t>PS:Industrial &amp; Misc</t>
  </si>
  <si>
    <t>act1024.000</t>
  </si>
  <si>
    <t xml:space="preserve">CS Unaffl. </t>
  </si>
  <si>
    <t>act1030.000</t>
  </si>
  <si>
    <t>CS Unaffl:Public Utilies</t>
  </si>
  <si>
    <t>act1032.000</t>
  </si>
  <si>
    <t>CS Unaffl:BTI</t>
  </si>
  <si>
    <t>act1033.000</t>
  </si>
  <si>
    <t>CS Unaffl:Industrial &amp; Misc</t>
  </si>
  <si>
    <t>act1034.000</t>
  </si>
  <si>
    <t>Mtg Loans Real Estate:1st Lien</t>
  </si>
  <si>
    <t>act1040.000</t>
  </si>
  <si>
    <t>Mtg Loans Real Estate:Other</t>
  </si>
  <si>
    <t>act1045.000</t>
  </si>
  <si>
    <t>Adj:foreign exchange rates</t>
  </si>
  <si>
    <t>act1051.000</t>
  </si>
  <si>
    <t>Amts recb-uninsured plans</t>
  </si>
  <si>
    <t>act1052.000</t>
  </si>
  <si>
    <t>Other Invested Assets (Sch BA)</t>
  </si>
  <si>
    <t>act1074.000</t>
  </si>
  <si>
    <t>Derivatives (in the money)</t>
  </si>
  <si>
    <t>act1076.000</t>
  </si>
  <si>
    <t>Securities lending reinvested collateral assets</t>
  </si>
  <si>
    <t>act1078.000</t>
  </si>
  <si>
    <t>Cash:Checking</t>
  </si>
  <si>
    <t>act1111.000</t>
  </si>
  <si>
    <t>Petty Cash</t>
  </si>
  <si>
    <t>act1112.000</t>
  </si>
  <si>
    <t xml:space="preserve">Cash:Trust </t>
  </si>
  <si>
    <t>act1113.000</t>
  </si>
  <si>
    <t>Certificates of Deposit</t>
  </si>
  <si>
    <t>act1114.000</t>
  </si>
  <si>
    <t>STI</t>
  </si>
  <si>
    <t>act1115.000</t>
  </si>
  <si>
    <t>act1121.000</t>
  </si>
  <si>
    <t>Money Market-Cash Equivalent</t>
  </si>
  <si>
    <t>act1121.100</t>
  </si>
  <si>
    <t>Money Market-Cash</t>
  </si>
  <si>
    <t>act1121.200</t>
  </si>
  <si>
    <t>Commerical Paper</t>
  </si>
  <si>
    <t>act1122.000</t>
  </si>
  <si>
    <t>UST Bills</t>
  </si>
  <si>
    <t>act1123.000</t>
  </si>
  <si>
    <t>Cash:Custodial Fund</t>
  </si>
  <si>
    <t>act1124.000</t>
  </si>
  <si>
    <t>Other -Bills Receivable</t>
  </si>
  <si>
    <t>act1148.000</t>
  </si>
  <si>
    <t>Other -Loans on personal sec</t>
  </si>
  <si>
    <t>act1148.100</t>
  </si>
  <si>
    <t>Other -Supplies</t>
  </si>
  <si>
    <t>act1148.200</t>
  </si>
  <si>
    <t>Other -Commuted comm</t>
  </si>
  <si>
    <t>act1148.300</t>
  </si>
  <si>
    <t>Loans on company stock</t>
  </si>
  <si>
    <t>act1148.500</t>
  </si>
  <si>
    <t>Guarantee Fund Assessments</t>
  </si>
  <si>
    <t>act1149.000</t>
  </si>
  <si>
    <t>Prepaid Organizational Exps</t>
  </si>
  <si>
    <t>act1151.000</t>
  </si>
  <si>
    <t>Accounts Receivable</t>
  </si>
  <si>
    <t>act1152.000</t>
  </si>
  <si>
    <t>Due from Other Insurance cos</t>
  </si>
  <si>
    <t>act1153.000</t>
  </si>
  <si>
    <t>Due To Other Insurance Cos</t>
  </si>
  <si>
    <t>act1153.100</t>
  </si>
  <si>
    <t>Other Amts Due under reinsurance agreement</t>
  </si>
  <si>
    <t>act1153.200</t>
  </si>
  <si>
    <t>Amounts recoverable from reinsurers</t>
  </si>
  <si>
    <t>act1153.300</t>
  </si>
  <si>
    <t>Funds Held by insurance co.</t>
  </si>
  <si>
    <t>act1154.000</t>
  </si>
  <si>
    <t xml:space="preserve">Interest Bearing Funds Held </t>
  </si>
  <si>
    <t>act1154.100</t>
  </si>
  <si>
    <t>Funds held by or deposited with reinsured companies</t>
  </si>
  <si>
    <t>act1154.200</t>
  </si>
  <si>
    <t>Funds Held by Company</t>
  </si>
  <si>
    <t>act1154.300</t>
  </si>
  <si>
    <t>Accounts Receivable Interco</t>
  </si>
  <si>
    <t>act1155.000</t>
  </si>
  <si>
    <t>Furniture &amp; Equipment</t>
  </si>
  <si>
    <t>act1156.000</t>
  </si>
  <si>
    <t xml:space="preserve">Notes Receivable </t>
  </si>
  <si>
    <t>act1157.000</t>
  </si>
  <si>
    <t>Insur Exam Revolving Fd</t>
  </si>
  <si>
    <t>act1158.000</t>
  </si>
  <si>
    <t>Notes Receivable, as invest</t>
  </si>
  <si>
    <t>act1159.000</t>
  </si>
  <si>
    <t>EDP</t>
  </si>
  <si>
    <t>act1160.000</t>
  </si>
  <si>
    <t>Real Estate:Home Office</t>
  </si>
  <si>
    <t>act1161.000</t>
  </si>
  <si>
    <t>RE:Home Office encumbrances</t>
  </si>
  <si>
    <t>act1161.001</t>
  </si>
  <si>
    <t>Inv Real Estate</t>
  </si>
  <si>
    <t>act1162.000</t>
  </si>
  <si>
    <t>Inv Real Estate encumbrances</t>
  </si>
  <si>
    <t>act1162.001</t>
  </si>
  <si>
    <t>RE in sat. of debt:for Sale</t>
  </si>
  <si>
    <t>act1163.000</t>
  </si>
  <si>
    <t>RE in sat. of debt:for Sale encumb</t>
  </si>
  <si>
    <t>act1163.001</t>
  </si>
  <si>
    <t>Contract Loans</t>
  </si>
  <si>
    <t>act1164.000</t>
  </si>
  <si>
    <t>Premium Notes</t>
  </si>
  <si>
    <t>act1166.000</t>
  </si>
  <si>
    <t>Write-In-other invested asset</t>
  </si>
  <si>
    <t>act1169.000</t>
  </si>
  <si>
    <t>Cash Advanced to Officers</t>
  </si>
  <si>
    <t>act1170.000</t>
  </si>
  <si>
    <t>Insur Pxs D &amp; U</t>
  </si>
  <si>
    <t>act1171.000</t>
  </si>
  <si>
    <t>Write-In for assets</t>
  </si>
  <si>
    <t>act1172.000</t>
  </si>
  <si>
    <t>act1173.000</t>
  </si>
  <si>
    <t>Premiums in course of Collection</t>
  </si>
  <si>
    <t>act1180.000</t>
  </si>
  <si>
    <t>Securities Receivable</t>
  </si>
  <si>
    <t>act1185.000</t>
  </si>
  <si>
    <t>IMR Asset</t>
  </si>
  <si>
    <t>act2035.000</t>
  </si>
  <si>
    <t>A&amp;H Premiums Due &amp; Unpaid</t>
  </si>
  <si>
    <t>act2202.000</t>
  </si>
  <si>
    <t>FIT Recoverable</t>
  </si>
  <si>
    <t>act2205.000</t>
  </si>
  <si>
    <t>Deferred Tax Asset</t>
  </si>
  <si>
    <t>act2206.000</t>
  </si>
  <si>
    <t>Int Accrued Govt Bonds</t>
  </si>
  <si>
    <t>act2207.001</t>
  </si>
  <si>
    <t>Int Accrued Money Markets</t>
  </si>
  <si>
    <t>act2207.002</t>
  </si>
  <si>
    <t>Int Accrued Other Bonds</t>
  </si>
  <si>
    <t>act2207.003</t>
  </si>
  <si>
    <t>Divds Accrued on Common Stock</t>
  </si>
  <si>
    <t>act2207.004</t>
  </si>
  <si>
    <t>Divds Accrued on Pfd Stock</t>
  </si>
  <si>
    <t>act2207.005</t>
  </si>
  <si>
    <t>Int on Other Invested Assets</t>
  </si>
  <si>
    <t>act2207.006</t>
  </si>
  <si>
    <t>Int Accrued on Cash &amp; CD's</t>
  </si>
  <si>
    <t>act2207.007</t>
  </si>
  <si>
    <t>Int Accrued on STI</t>
  </si>
  <si>
    <t>act2207.008</t>
  </si>
  <si>
    <t>Int Accrued on Funds Held</t>
  </si>
  <si>
    <t>act2207.009</t>
  </si>
  <si>
    <t>Int Accrued on Tax Exempt Bonds</t>
  </si>
  <si>
    <t>act2207.010</t>
  </si>
  <si>
    <t>Int Accrued on Notes Receivable</t>
  </si>
  <si>
    <t>act2207.011</t>
  </si>
  <si>
    <t>Int Accrued Mortgage Loans</t>
  </si>
  <si>
    <t>act2207.100</t>
  </si>
  <si>
    <t>Int Accrued on Notes Receivable-Affl</t>
  </si>
  <si>
    <t>act2207.200</t>
  </si>
  <si>
    <t>AVR</t>
  </si>
  <si>
    <t>act3030.000</t>
  </si>
  <si>
    <t>Change in AVR</t>
  </si>
  <si>
    <t>act3031.000</t>
  </si>
  <si>
    <t>IMR</t>
  </si>
  <si>
    <t>act3035.000</t>
  </si>
  <si>
    <t>Capital notes payable (Principle)</t>
  </si>
  <si>
    <t>act3040.000</t>
  </si>
  <si>
    <t>Capital notes payable (interest)</t>
  </si>
  <si>
    <t>act3041.000</t>
  </si>
  <si>
    <t>Gen Exps Payable:Actuary</t>
  </si>
  <si>
    <t>act3050.000</t>
  </si>
  <si>
    <t>Gen Exps Payable:Legal</t>
  </si>
  <si>
    <t>act3051.000</t>
  </si>
  <si>
    <t>Gen Exps Payable:Invest Exps</t>
  </si>
  <si>
    <t>act3052.000</t>
  </si>
  <si>
    <t>Gen Exps Payable:Maintenance</t>
  </si>
  <si>
    <t>act3053.000</t>
  </si>
  <si>
    <t>Gen Exps Payable:Phone</t>
  </si>
  <si>
    <t>act3054.000</t>
  </si>
  <si>
    <t>Experience Rating Refund</t>
  </si>
  <si>
    <t>act3055.000</t>
  </si>
  <si>
    <t>Premium Taxes Payable</t>
  </si>
  <si>
    <t>act3056.000</t>
  </si>
  <si>
    <t>Advance premiums</t>
  </si>
  <si>
    <t>act3057.000</t>
  </si>
  <si>
    <t>Gen Exps Payable:Office</t>
  </si>
  <si>
    <t>act3058.000</t>
  </si>
  <si>
    <t>Commissions Payable</t>
  </si>
  <si>
    <t>act3059.000</t>
  </si>
  <si>
    <t>Taxes Licenses &amp; Fees Payable</t>
  </si>
  <si>
    <t>act3060.000</t>
  </si>
  <si>
    <t>Dividends Payable</t>
  </si>
  <si>
    <t>act3068.000</t>
  </si>
  <si>
    <t xml:space="preserve">Federal Income Taxes Payable </t>
  </si>
  <si>
    <t>act3070.000</t>
  </si>
  <si>
    <t>Deferred Tax Liability</t>
  </si>
  <si>
    <t>act3071.000</t>
  </si>
  <si>
    <t>Derivatives (out of the money)</t>
  </si>
  <si>
    <t>act3080.000</t>
  </si>
  <si>
    <t>Divd declared &amp; unpaid:Stck</t>
  </si>
  <si>
    <t>act3090.000</t>
  </si>
  <si>
    <t>Payable for securities</t>
  </si>
  <si>
    <t>act3091.000</t>
  </si>
  <si>
    <t>Divd declared &amp; unpaid:Policy</t>
  </si>
  <si>
    <t>act3095.000</t>
  </si>
  <si>
    <t xml:space="preserve">Accounts Payable </t>
  </si>
  <si>
    <t>act3100.000</t>
  </si>
  <si>
    <t>Accounts Payable:Affls</t>
  </si>
  <si>
    <t>act3101.000</t>
  </si>
  <si>
    <t>Borrowed Money</t>
  </si>
  <si>
    <t>act3105.000</t>
  </si>
  <si>
    <t>Unearned investment income</t>
  </si>
  <si>
    <t>act3107.000</t>
  </si>
  <si>
    <t>Amt withheld by co for others</t>
  </si>
  <si>
    <t>act3121.000</t>
  </si>
  <si>
    <t>Items not allocated</t>
  </si>
  <si>
    <t>act3122.000</t>
  </si>
  <si>
    <t>Net adj-foreign exchange rates</t>
  </si>
  <si>
    <t>act3123.000</t>
  </si>
  <si>
    <t xml:space="preserve">Drafts outstanding </t>
  </si>
  <si>
    <t>act3124.000</t>
  </si>
  <si>
    <t>Transfer to IMR Capital Gain</t>
  </si>
  <si>
    <t>act3135.000</t>
  </si>
  <si>
    <t>Premiums payable</t>
  </si>
  <si>
    <t>act3170.000</t>
  </si>
  <si>
    <t>IMR amortization</t>
  </si>
  <si>
    <t>act3235.000</t>
  </si>
  <si>
    <t>Provision for Reinsurance (Reinsur in Unauthorized cos)</t>
  </si>
  <si>
    <t>act3300.000</t>
  </si>
  <si>
    <t>Contingent commissions</t>
  </si>
  <si>
    <t>act3302.000</t>
  </si>
  <si>
    <t>Unpaid LAE:Fire, Net</t>
  </si>
  <si>
    <t>act4001.000</t>
  </si>
  <si>
    <t>Unpaid LAE:Allied Lines, Net</t>
  </si>
  <si>
    <t>act4002.000</t>
  </si>
  <si>
    <t>Unpaid LAE:Farmowners MP, Net</t>
  </si>
  <si>
    <t>act4003.000</t>
  </si>
  <si>
    <t>Unpaid LAE:Homeowners MP, Net</t>
  </si>
  <si>
    <t>act4004.000</t>
  </si>
  <si>
    <t>Unpaid LAE:Commerical MP, Net</t>
  </si>
  <si>
    <t>act4005.000</t>
  </si>
  <si>
    <t>Unpaid LAE:Mortgage Guaranty, Net</t>
  </si>
  <si>
    <t>act4006.000</t>
  </si>
  <si>
    <t>Unpaid LAE:Ocean Marine, Net</t>
  </si>
  <si>
    <t>act4008.000</t>
  </si>
  <si>
    <t>Unpaid LAE:Inland Marine, Net</t>
  </si>
  <si>
    <t>act4009.000</t>
  </si>
  <si>
    <t>Unpaid LAE:Financial Guaranty, Net</t>
  </si>
  <si>
    <t>act4010.000</t>
  </si>
  <si>
    <t>Unpaid LAE:MedMal Occur, Net</t>
  </si>
  <si>
    <t>act4011.100</t>
  </si>
  <si>
    <t>Unpaid LAE:MedMal Clms Made, Net</t>
  </si>
  <si>
    <t>act4011.200</t>
  </si>
  <si>
    <t>Unpaid LAE:Earthquake, Net</t>
  </si>
  <si>
    <t>act4012.000</t>
  </si>
  <si>
    <t>Unpaid LAE:Group A&amp;H, Net</t>
  </si>
  <si>
    <t>act4013.000</t>
  </si>
  <si>
    <t>Unpaid LAE:Credit A&amp;H, Net</t>
  </si>
  <si>
    <t>act4014.000</t>
  </si>
  <si>
    <t>Unpaid LAE:Other A&amp;H, Net</t>
  </si>
  <si>
    <t>act4015.000</t>
  </si>
  <si>
    <t>Unpaid LAE:Workers' Comp, Net</t>
  </si>
  <si>
    <t>act4016.000</t>
  </si>
  <si>
    <t>Unpaid LAE:Other Liab-Occur, Net</t>
  </si>
  <si>
    <t>act4017.100</t>
  </si>
  <si>
    <t>Unpaid LAE:Other Liab-Clms Made, Net</t>
  </si>
  <si>
    <t>act4017.200</t>
  </si>
  <si>
    <t>Unpaid LAE:Excess WC, Net</t>
  </si>
  <si>
    <t>act4017.300</t>
  </si>
  <si>
    <t>Unpaid LAE:Products Liab-occur, Net</t>
  </si>
  <si>
    <t>act4018.100</t>
  </si>
  <si>
    <t>Unpaid LAE:Products Liab-Clms Made, Net</t>
  </si>
  <si>
    <t>act4018.200</t>
  </si>
  <si>
    <t>Unpaid LAE:Private auto, Net</t>
  </si>
  <si>
    <t>act4019.100</t>
  </si>
  <si>
    <t>Unpaid LAE:Commerical auto, Net</t>
  </si>
  <si>
    <t>act4019.300</t>
  </si>
  <si>
    <t>Unpaid LAE:Auto PD, Net</t>
  </si>
  <si>
    <t>act4021.000</t>
  </si>
  <si>
    <t>Unpaid LAE:Aircraft, Net</t>
  </si>
  <si>
    <t>act4022.000</t>
  </si>
  <si>
    <t>Unpaid LAE:Fidelity, Net</t>
  </si>
  <si>
    <t>act4023.000</t>
  </si>
  <si>
    <t>Unpaid LAE:Surety, Net</t>
  </si>
  <si>
    <t>act4024.000</t>
  </si>
  <si>
    <t>Unpaid LAE:Theft, Net</t>
  </si>
  <si>
    <t>act4026.000</t>
  </si>
  <si>
    <t>Unpaid LAE:Boiler &amp; Machinery, Net</t>
  </si>
  <si>
    <t>act4027.000</t>
  </si>
  <si>
    <t>Unpaid LAE:Credit, Net</t>
  </si>
  <si>
    <t>act4028.000</t>
  </si>
  <si>
    <t>Unpaid LAE:International, Net</t>
  </si>
  <si>
    <t>act4029.000</t>
  </si>
  <si>
    <t>Unpaid LAE:Warranty, Net</t>
  </si>
  <si>
    <t>act4030.000</t>
  </si>
  <si>
    <t>Unpaid LAE:Credit Life, Net</t>
  </si>
  <si>
    <t>act4034.100</t>
  </si>
  <si>
    <t>Unpaid LAE:Etch, Net</t>
  </si>
  <si>
    <t>act4034.200</t>
  </si>
  <si>
    <t>Unpaid LAE:Tire &amp; Wheel, Net</t>
  </si>
  <si>
    <t>act4034.300</t>
  </si>
  <si>
    <t>Unpaid LAE:Other W/I, Net</t>
  </si>
  <si>
    <t>act4034.400</t>
  </si>
  <si>
    <t>Unreal G/(L) C/S Unaffl</t>
  </si>
  <si>
    <t>act4072.001</t>
  </si>
  <si>
    <t>Unreal G/(L) Other Bonds</t>
  </si>
  <si>
    <t>act4072.002</t>
  </si>
  <si>
    <t>Unreal G/(L) Govt Bonds</t>
  </si>
  <si>
    <t>act4072.003</t>
  </si>
  <si>
    <t>Unreal G/(L) Pfd Stock Unaffl</t>
  </si>
  <si>
    <t>act4072.004</t>
  </si>
  <si>
    <t>Unreal G/(L) Cash &amp; CD's</t>
  </si>
  <si>
    <t>act4072.006</t>
  </si>
  <si>
    <t>Unreal G/(L) STI</t>
  </si>
  <si>
    <t>act4072.007</t>
  </si>
  <si>
    <t>Unreal G/(L) Otr Invest Asset</t>
  </si>
  <si>
    <t>act4072.008</t>
  </si>
  <si>
    <t>Unreal G/(L) Muni Bonds</t>
  </si>
  <si>
    <t>act4072.010</t>
  </si>
  <si>
    <t>Unreal G/(L) C/S Affl</t>
  </si>
  <si>
    <t>act4072.100</t>
  </si>
  <si>
    <t>Non-admitted C/S Unaffl</t>
  </si>
  <si>
    <t>act4082.001</t>
  </si>
  <si>
    <t>Non-admitted Other Bonds</t>
  </si>
  <si>
    <t>act4082.002</t>
  </si>
  <si>
    <t>Non-admitted Govt Bonds</t>
  </si>
  <si>
    <t>act4082.003</t>
  </si>
  <si>
    <t>Non-admitted Pfd Stock Unaffl</t>
  </si>
  <si>
    <t>act4082.004</t>
  </si>
  <si>
    <t>Non-admitted Mortgage Loans</t>
  </si>
  <si>
    <t>act4082.015</t>
  </si>
  <si>
    <t>Non-admitted Cash &amp; CD's</t>
  </si>
  <si>
    <t>act4082.006</t>
  </si>
  <si>
    <t>Non-admitted STI</t>
  </si>
  <si>
    <t>act4082.007</t>
  </si>
  <si>
    <t>Non-admit Otr Invested Assets</t>
  </si>
  <si>
    <t>act4082.008</t>
  </si>
  <si>
    <t>Non-admitted Muni Bonds</t>
  </si>
  <si>
    <t>act4082.010</t>
  </si>
  <si>
    <t>Non-admitted C/S Affl</t>
  </si>
  <si>
    <t>act4082.100</t>
  </si>
  <si>
    <t>Fire UEP Rx &gt;1yr:DIRECT</t>
  </si>
  <si>
    <t>act4101.010</t>
  </si>
  <si>
    <t>Fire UEP Rx &lt;1yr:DIRECT</t>
  </si>
  <si>
    <t>act4101.000</t>
  </si>
  <si>
    <t>Allied Lines UEP Rx &gt;1yr:DIRECT</t>
  </si>
  <si>
    <t>act4102.010</t>
  </si>
  <si>
    <t>Allied Lines UEP Rx &lt;1yr:DIRECT</t>
  </si>
  <si>
    <t>act4102.000</t>
  </si>
  <si>
    <t>Farmowners MP UEP Rx &gt;1yr:DIRECT</t>
  </si>
  <si>
    <t>act4103.010</t>
  </si>
  <si>
    <t>Farmowners MP UEP Rx &lt;1yr:DIRECT</t>
  </si>
  <si>
    <t>act4103.000</t>
  </si>
  <si>
    <t>Homeowners MP UEP Rx &gt;1yr:DIRECT</t>
  </si>
  <si>
    <t>act4104.010</t>
  </si>
  <si>
    <t>Homeowners MP UEP Rx &lt;1yr:DIRECT</t>
  </si>
  <si>
    <t>act4104.000</t>
  </si>
  <si>
    <t>Commerical MP UEP Rx &gt;1yr:DIRECT</t>
  </si>
  <si>
    <t>act4105.010</t>
  </si>
  <si>
    <t>Commerical MP UEP Rx &lt;1yr:DIRECT</t>
  </si>
  <si>
    <t>act4105.000</t>
  </si>
  <si>
    <t>Mortgage Guaranty UEP Rx &gt;1yr:DIRECT</t>
  </si>
  <si>
    <t>act4106.010</t>
  </si>
  <si>
    <t>Mortgage Guaranty UEP Rx &lt;1yr:DIRECT</t>
  </si>
  <si>
    <t>act4106.000</t>
  </si>
  <si>
    <t>Ocean Marine UEP Rx &gt;1yr:DIRECT</t>
  </si>
  <si>
    <t>act4108.010</t>
  </si>
  <si>
    <t>Ocean Marine UEP Rx &lt;1yr:DIRECT</t>
  </si>
  <si>
    <t>act4108.000</t>
  </si>
  <si>
    <t>Inland Marine UEP Rx &gt;1yr:DIRECT</t>
  </si>
  <si>
    <t>act4109.010</t>
  </si>
  <si>
    <t>Inland Marine UEP Rx &lt;1yr:DIRECT</t>
  </si>
  <si>
    <t>act4109.000</t>
  </si>
  <si>
    <t>Financial Guaranty UEP Rx &gt;1yr:DIRECT</t>
  </si>
  <si>
    <t>act4110.010</t>
  </si>
  <si>
    <t>Financial Guaranty UEP Rx &lt;1yr:DIRECT</t>
  </si>
  <si>
    <t>act4110.000</t>
  </si>
  <si>
    <t>MedMal:Occur UEP Rx &gt; 1yr:Dir</t>
  </si>
  <si>
    <t>act4111.110</t>
  </si>
  <si>
    <t>MedMal:Occur UEP Rx &lt; 1yr:Dir</t>
  </si>
  <si>
    <t>act4111.100</t>
  </si>
  <si>
    <t>MedMal:Clms Made UEP Rx &gt; 1yr:Dir</t>
  </si>
  <si>
    <t>act4111.210</t>
  </si>
  <si>
    <t>MedMal:Clms Made UEP Rx &lt; 1yr:Dir</t>
  </si>
  <si>
    <t>act4111.200</t>
  </si>
  <si>
    <t>Earthquake UEP Rx &gt;1yr:DIRECT</t>
  </si>
  <si>
    <t>act4112.010</t>
  </si>
  <si>
    <t>Earthquake UEP Rx &lt;1yr:DIRECT</t>
  </si>
  <si>
    <t>act4112.000</t>
  </si>
  <si>
    <t>Group A&amp;H UEP Rx &gt;1yr:DIRECT</t>
  </si>
  <si>
    <t>act4113.010</t>
  </si>
  <si>
    <t>Group A&amp;H UEP Rx &lt;1yr:DIRECT</t>
  </si>
  <si>
    <t>act4113.000</t>
  </si>
  <si>
    <t>Credit A&amp;H UEP Rx &gt;1yr:DIRECT</t>
  </si>
  <si>
    <t>act4114.010</t>
  </si>
  <si>
    <t>Credit A&amp;H UEP Rx &lt;1yr:DIRECT</t>
  </si>
  <si>
    <t>act4114.000</t>
  </si>
  <si>
    <t>Other A&amp;H UEP Rx &gt;1yr:DIRECT</t>
  </si>
  <si>
    <t>act4115.010</t>
  </si>
  <si>
    <t>Other A&amp;H UEP Rx &lt;1yr:DIRECT</t>
  </si>
  <si>
    <t>act4115.000</t>
  </si>
  <si>
    <t>Workers' Comp UEP Rx &gt;1yr:DIRECT</t>
  </si>
  <si>
    <t>act4116.010</t>
  </si>
  <si>
    <t>Workers' Comp UEP Rx &lt;1yr:DIRECT</t>
  </si>
  <si>
    <t>act4116.000</t>
  </si>
  <si>
    <t>Other Liab-Occur UEP Rx &gt;1yr:DIRECT</t>
  </si>
  <si>
    <t>act4117.110</t>
  </si>
  <si>
    <t>Other Liab-Occur UEP Rx &lt;1yr:DIRECT</t>
  </si>
  <si>
    <t>act4117.100</t>
  </si>
  <si>
    <t>Other Liab-Clms Made UEP Rx &gt;1yr:DIRECT</t>
  </si>
  <si>
    <t>act4117.210</t>
  </si>
  <si>
    <t>Other Liab-Clms Made UEP Rx &lt;1yr:DIRECT</t>
  </si>
  <si>
    <t>act4117.200</t>
  </si>
  <si>
    <t>Excess WC UEP Rx &gt;1yr:DIRECT</t>
  </si>
  <si>
    <t>act4117.310</t>
  </si>
  <si>
    <t>Excess WC UEP Rx &lt;1yr:DIRECT</t>
  </si>
  <si>
    <t>act4117.300</t>
  </si>
  <si>
    <t>Products Liab-occur UEP Rx &gt;1yr:DIRECT</t>
  </si>
  <si>
    <t>act4118.110</t>
  </si>
  <si>
    <t>Products Liab-occur UEP Rx &lt;1yr:DIRECT</t>
  </si>
  <si>
    <t>act4118.100</t>
  </si>
  <si>
    <t>Products Liab-Clms Made UEP Rx &gt;1yr:DIRECT</t>
  </si>
  <si>
    <t>act4118.210</t>
  </si>
  <si>
    <t>Products Liab-Clms Made UEP Rx &lt;1yr:DIRECT</t>
  </si>
  <si>
    <t>act4118.200</t>
  </si>
  <si>
    <t>Private auto UEP Rx &gt;1yr:DIRECT</t>
  </si>
  <si>
    <t>act4119.110</t>
  </si>
  <si>
    <t>Private auto UEP Rx &lt;1yr:DIRECT</t>
  </si>
  <si>
    <t>act4119.100</t>
  </si>
  <si>
    <t>Commerical auto UEP Rx &gt;1yr:DIRECT</t>
  </si>
  <si>
    <t>act4119.310</t>
  </si>
  <si>
    <t>Commerical auto UEP Rx &lt;1yr:DIRECT</t>
  </si>
  <si>
    <t>act4119.300</t>
  </si>
  <si>
    <t>Auto PD UEP Rx &gt;1yr:DIRECT</t>
  </si>
  <si>
    <t>act4121.010</t>
  </si>
  <si>
    <t>Auto PD UEP Rx &lt;1yr:DIRECT</t>
  </si>
  <si>
    <t>act4121.000</t>
  </si>
  <si>
    <t>Aircraft UEP Rx &gt;1yr:DIRECT</t>
  </si>
  <si>
    <t>act4122.010</t>
  </si>
  <si>
    <t>Aircraft UEP Rx &lt;1yr:DIRECT</t>
  </si>
  <si>
    <t>act4122.000</t>
  </si>
  <si>
    <t>Fidelity UEP Rx &gt;1yr:DIRECT</t>
  </si>
  <si>
    <t>act4123.010</t>
  </si>
  <si>
    <t>Fidelity UEP Rx &lt;1yr:DIRECT</t>
  </si>
  <si>
    <t>act4123.000</t>
  </si>
  <si>
    <t>Surety UEP Rx &gt;1yr:DIRECT</t>
  </si>
  <si>
    <t>act4124.010</t>
  </si>
  <si>
    <t>Surety UEP Rx &lt;1yr:DIRECT</t>
  </si>
  <si>
    <t>act4124.000</t>
  </si>
  <si>
    <t>Theft UEP Rx &gt;1yr:DIRECT</t>
  </si>
  <si>
    <t>act4126.010</t>
  </si>
  <si>
    <t>Theft UEP Rx &lt;1yr:DIRECT</t>
  </si>
  <si>
    <t>act4126.000</t>
  </si>
  <si>
    <t>Boiler &amp; Machinery UEP Rx &gt;1yr:DIRECT</t>
  </si>
  <si>
    <t>act4127.010</t>
  </si>
  <si>
    <t>Boiler &amp; Machinery UEP Rx &lt;1yr:DIRECT</t>
  </si>
  <si>
    <t>act4127.000</t>
  </si>
  <si>
    <t>Credit UEP Rx &gt;1yr:DIRECT</t>
  </si>
  <si>
    <t>act4128.010</t>
  </si>
  <si>
    <t>Credit UEP Rx &lt;1yr:DIRECT</t>
  </si>
  <si>
    <t>act4128.000</t>
  </si>
  <si>
    <t>International UEP Rx &gt;1yr:DIRECT</t>
  </si>
  <si>
    <t>act4129.010</t>
  </si>
  <si>
    <t>International UEP Rx &lt;1yr:DIRECT</t>
  </si>
  <si>
    <t>act4129.000</t>
  </si>
  <si>
    <t>Warranty UEP Rx &gt;1yr:DIRECT</t>
  </si>
  <si>
    <t>act4130.010</t>
  </si>
  <si>
    <t>Warranty UEP Rx &lt;1yr:DIRECT</t>
  </si>
  <si>
    <t>act4130.000</t>
  </si>
  <si>
    <t>Credit Life Mortality Rxs:Dir &lt;1yr</t>
  </si>
  <si>
    <t>act4134.100</t>
  </si>
  <si>
    <t>Credit Life Mortality Rxs:Dir &gt;1yr</t>
  </si>
  <si>
    <t>act4134.110</t>
  </si>
  <si>
    <t>Etch UEP Rx &gt;1yr:DIRECT</t>
  </si>
  <si>
    <t>act4134.210</t>
  </si>
  <si>
    <t>Etch UEP Rx &lt;1yr:DIRECT</t>
  </si>
  <si>
    <t>act4134.200</t>
  </si>
  <si>
    <t>Tire &amp; Wheel UEP Rx &gt;1yr:DIRECT</t>
  </si>
  <si>
    <t>act4134.310</t>
  </si>
  <si>
    <t>Tire &amp; Wheel UEP Rx &lt;1yr:DIRECT</t>
  </si>
  <si>
    <t>act4134.300</t>
  </si>
  <si>
    <t>Other W/I UEP Rx &gt;1yr:DIRECT</t>
  </si>
  <si>
    <t>act4134.410</t>
  </si>
  <si>
    <t>Other W/I UEP Rx &lt;1yr:DIRECT</t>
  </si>
  <si>
    <t>act4134.400</t>
  </si>
  <si>
    <t>Industrial Life Mortality Reserves-Direct</t>
  </si>
  <si>
    <t>act4152.000</t>
  </si>
  <si>
    <t>Ordinary Life Mortality Reserves-Direct</t>
  </si>
  <si>
    <t>act4153.000</t>
  </si>
  <si>
    <t>individual Annuity Reserves-Direct</t>
  </si>
  <si>
    <t>act4154.000</t>
  </si>
  <si>
    <t>Group Life Mortality Reserves-Direct</t>
  </si>
  <si>
    <t>act4157.000</t>
  </si>
  <si>
    <t>Group Annuity Reserves-Direct</t>
  </si>
  <si>
    <t>act4158.000</t>
  </si>
  <si>
    <t>Group A&amp;H UEP Rx :DIRECT</t>
  </si>
  <si>
    <t>act4159.000</t>
  </si>
  <si>
    <t>Other A&amp;H UEP Rx :DIRECT</t>
  </si>
  <si>
    <t>act4161.000</t>
  </si>
  <si>
    <t>Fire UEP Rx &gt;1yr:Assmd</t>
  </si>
  <si>
    <t>act4201.010</t>
  </si>
  <si>
    <t>Fire UEP Rx &lt;1yr:Assmd</t>
  </si>
  <si>
    <t>act4201.000</t>
  </si>
  <si>
    <t>Allied Lines UEP Rx &gt;1yr:Assmd</t>
  </si>
  <si>
    <t>act4202.010</t>
  </si>
  <si>
    <t>Allied Lines UEP Rx &lt;1yr:Assmd</t>
  </si>
  <si>
    <t>act4202.000</t>
  </si>
  <si>
    <t>Farmowners MP UEP Rx &gt;1yr:Assmd</t>
  </si>
  <si>
    <t>act4203.010</t>
  </si>
  <si>
    <t>Farmowners MP UEP Rx &lt;1yr:Assmd</t>
  </si>
  <si>
    <t>act4203.000</t>
  </si>
  <si>
    <t>Homeowners MP UEP Rx &gt;1yr:Assmd</t>
  </si>
  <si>
    <t>act4204.010</t>
  </si>
  <si>
    <t>Homeowners MP UEP Rx &lt;1yr:Assmd</t>
  </si>
  <si>
    <t>act4204.000</t>
  </si>
  <si>
    <t>Commerical MP UEP Rx &gt;1yr:Assmd</t>
  </si>
  <si>
    <t>act4205.010</t>
  </si>
  <si>
    <t>Commerical MP UEP Rx &lt;1yr:Assmd</t>
  </si>
  <si>
    <t>act4205.000</t>
  </si>
  <si>
    <t>Mortgage Guaranty UEP Rx &gt;1yr:Assmd</t>
  </si>
  <si>
    <t>act4206.010</t>
  </si>
  <si>
    <t>Mortgage Guaranty UEP Rx &lt;1yr:Assmd</t>
  </si>
  <si>
    <t>act4206.000</t>
  </si>
  <si>
    <t>Ocean Marine UEP Rx &gt;1yr:Assmd</t>
  </si>
  <si>
    <t>act4208.010</t>
  </si>
  <si>
    <t>Ocean Marine UEP Rx &lt;1yr:Assmd</t>
  </si>
  <si>
    <t>act4208.000</t>
  </si>
  <si>
    <t>Inland Marine UEP Rx &gt;1yr:Assmd</t>
  </si>
  <si>
    <t>act4209.010</t>
  </si>
  <si>
    <t>Inland Marine UEP Rx &lt;1yr:Assmd</t>
  </si>
  <si>
    <t>act4209.000</t>
  </si>
  <si>
    <t>Financial Guaranty UEP Rx &gt;1yr:Assmd</t>
  </si>
  <si>
    <t>act4210.010</t>
  </si>
  <si>
    <t>Financial Guaranty UEP Rx &lt;1yr:Assmd</t>
  </si>
  <si>
    <t>act4210.000</t>
  </si>
  <si>
    <t>MedMal:Occur UEP Rx &gt;1yr:Assmd</t>
  </si>
  <si>
    <t>act4211.110</t>
  </si>
  <si>
    <t>MedMal:Occur UEP Rx &lt;1yr:Assmd</t>
  </si>
  <si>
    <t>act4211.100</t>
  </si>
  <si>
    <t>MedMal:Clms Made UEP Rx &gt;1yr:Assmd</t>
  </si>
  <si>
    <t>act4211.210</t>
  </si>
  <si>
    <t>MedMal:Clms Made UEP Rx &lt;1yr:Assmd</t>
  </si>
  <si>
    <t>act4211.200</t>
  </si>
  <si>
    <t>Earthquake UEP Rx &gt;1yr:Assmd</t>
  </si>
  <si>
    <t>act4212.010</t>
  </si>
  <si>
    <t>Earthquake UEP Rx &lt;1yr:Assmd</t>
  </si>
  <si>
    <t>act4212.000</t>
  </si>
  <si>
    <t>Group A&amp;H UEP Rx &gt;1yr:Assmd</t>
  </si>
  <si>
    <t>act4213.010</t>
  </si>
  <si>
    <t>Group A&amp;H UEP Rx &lt;1yr:Assmd</t>
  </si>
  <si>
    <t>act4213.000</t>
  </si>
  <si>
    <t>Credit A&amp;H UEP Rx &gt;1yr:Assmd</t>
  </si>
  <si>
    <t>act4214.000</t>
  </si>
  <si>
    <t>Credit A&amp;H UEP Rx &lt;1yr:Assmd</t>
  </si>
  <si>
    <t>act4214.010</t>
  </si>
  <si>
    <t>Other A&amp;H UEP Rx &gt;1yr:Assmd</t>
  </si>
  <si>
    <t>act4215.010</t>
  </si>
  <si>
    <t>Other A&amp;H UEP Rx &lt;1yr:Assmd</t>
  </si>
  <si>
    <t>act4215.000</t>
  </si>
  <si>
    <t>Workers' Comp UEP Rx &gt;1yr:Assmd</t>
  </si>
  <si>
    <t>act4216.010</t>
  </si>
  <si>
    <t>Workers' Comp UEP Rx &lt;1yr:Assmd</t>
  </si>
  <si>
    <t>act4216.000</t>
  </si>
  <si>
    <t>Other Liab-Occur UEP Rx &gt;1yr:Assmd</t>
  </si>
  <si>
    <t>act4217.110</t>
  </si>
  <si>
    <t>Other Liab-Occur UEP Rx &lt;1yr:Assmd</t>
  </si>
  <si>
    <t>act4217.100</t>
  </si>
  <si>
    <t>Other Liab-Clms Made UEP Rx &gt;1yr:Assmd</t>
  </si>
  <si>
    <t>act4217.210</t>
  </si>
  <si>
    <t>Other Liab-Clms Made UEP Rx &lt;1yr:Assmd</t>
  </si>
  <si>
    <t>act4217.200</t>
  </si>
  <si>
    <t>Excess WC UEP Rx &gt;1yr:Assmd</t>
  </si>
  <si>
    <t>act4217.310</t>
  </si>
  <si>
    <t>Excess WC UEP Rx &lt;1yr:Assmd</t>
  </si>
  <si>
    <t>act4217.300</t>
  </si>
  <si>
    <t>Products Liab-occur UEP Rx &gt;1yr:Assmd</t>
  </si>
  <si>
    <t>act4218.110</t>
  </si>
  <si>
    <t>Products Liab-occur UEP Rx &lt;1yr:Assmd</t>
  </si>
  <si>
    <t>act4218.100</t>
  </si>
  <si>
    <t>Products Liab-Clms Made UEP Rx &gt;1yr:Assmd</t>
  </si>
  <si>
    <t>act4218.210</t>
  </si>
  <si>
    <t>Products Liab-Clms Made UEP Rx &lt;1yr:Assmd</t>
  </si>
  <si>
    <t>act4218.200</t>
  </si>
  <si>
    <t>Private auto UEP Rx &gt;1yr:Assmd</t>
  </si>
  <si>
    <t>act4219.110</t>
  </si>
  <si>
    <t>Private auto UEP Rx &lt;1yr:Assmd</t>
  </si>
  <si>
    <t>act4219.100</t>
  </si>
  <si>
    <t>Commerical auto UEP Rx &gt;1yr:Assmd</t>
  </si>
  <si>
    <t>act4219.310</t>
  </si>
  <si>
    <t>Commerical auto UEP Rx &lt;1yr:Assmd</t>
  </si>
  <si>
    <t>act4219.300</t>
  </si>
  <si>
    <t>Auto PD UEP Rx &gt;1yr:Assmd</t>
  </si>
  <si>
    <t>act4221.010</t>
  </si>
  <si>
    <t>Auto PD UEP Rx &lt;1yr:Assmd</t>
  </si>
  <si>
    <t>act4221.000</t>
  </si>
  <si>
    <t>Aircraft UEP Rx &gt;1yr:Assmd</t>
  </si>
  <si>
    <t>act4222.010</t>
  </si>
  <si>
    <t>Aircraft UEP Rx &lt;1yr:Assmd</t>
  </si>
  <si>
    <t>act4222.000</t>
  </si>
  <si>
    <t>Fidelity UEP Rx &gt;1yr:Assmd</t>
  </si>
  <si>
    <t>act4223.010</t>
  </si>
  <si>
    <t>Fidelity UEP Rx &lt;1yr:Assmd</t>
  </si>
  <si>
    <t>act4223.000</t>
  </si>
  <si>
    <t>Surety UEP Rx &gt;1yr:Assmd</t>
  </si>
  <si>
    <t>act4224.010</t>
  </si>
  <si>
    <t>Surety UEP Rx &lt;1yr:Assmd</t>
  </si>
  <si>
    <t>act4224.000</t>
  </si>
  <si>
    <t>Theft UEP Rx &gt;1yr:Assmd</t>
  </si>
  <si>
    <t>act4226.010</t>
  </si>
  <si>
    <t>Theft UEP Rx &lt;1yr:Assmd</t>
  </si>
  <si>
    <t>act4226.000</t>
  </si>
  <si>
    <t>Boiler &amp; Machinery UEP Rx &gt;1yr:Assmd</t>
  </si>
  <si>
    <t>act4227.010</t>
  </si>
  <si>
    <t>Boiler &amp; Machinery UEP Rx &lt;1yr:Assmd</t>
  </si>
  <si>
    <t>act4227.000</t>
  </si>
  <si>
    <t>Credit UEP Rx &gt;1yr:Assmd</t>
  </si>
  <si>
    <t>act4228.010</t>
  </si>
  <si>
    <t>Credit UEP Rx &lt;1yr:Assmd</t>
  </si>
  <si>
    <t>act4228.000</t>
  </si>
  <si>
    <t>International UEP Rx &gt;1yr:Assmd</t>
  </si>
  <si>
    <t>act4229.010</t>
  </si>
  <si>
    <t>International UEP Rx &lt;1yr:Assmd</t>
  </si>
  <si>
    <t>act4229.000</t>
  </si>
  <si>
    <t>Warranty UEP Rx &gt;1yr:Assmd</t>
  </si>
  <si>
    <t>act4230.010</t>
  </si>
  <si>
    <t>Warranty UEP Rx &lt;1yr:Assmd</t>
  </si>
  <si>
    <t>act4230.000</t>
  </si>
  <si>
    <t>Credit Life Mortality Rxs:Assmd &lt;1yr</t>
  </si>
  <si>
    <t>act4234.100</t>
  </si>
  <si>
    <t>1958 CET 2.5% NL</t>
  </si>
  <si>
    <t>act4234.101</t>
  </si>
  <si>
    <t xml:space="preserve">1958 CET 3.5% </t>
  </si>
  <si>
    <t>act4234.102</t>
  </si>
  <si>
    <t>1980 CSO 5 1/2%</t>
  </si>
  <si>
    <t>act4234.103</t>
  </si>
  <si>
    <t>Additional CET/CSO tables</t>
  </si>
  <si>
    <t>act4234.104</t>
  </si>
  <si>
    <t>act4234.105</t>
  </si>
  <si>
    <t>Credit Life Mortality Rxs:Assmd &gt;1yr</t>
  </si>
  <si>
    <t>act4234.110</t>
  </si>
  <si>
    <t>Etch UEP Rx &gt;1yr:Assmd</t>
  </si>
  <si>
    <t>act4234.210</t>
  </si>
  <si>
    <t>Etch UEP Rx &lt;1yr:Assmd</t>
  </si>
  <si>
    <t>act4234.200</t>
  </si>
  <si>
    <t>Tire &amp; Wheel UEP Rx &gt;1yr:Assmd</t>
  </si>
  <si>
    <t>act4234.310</t>
  </si>
  <si>
    <t>Tire &amp; Wheel UEP Rx &lt;1yr:Assmd</t>
  </si>
  <si>
    <t>act4234.300</t>
  </si>
  <si>
    <t>Other W/I UEP Rx &gt;1yr:Assmd</t>
  </si>
  <si>
    <t>act4234.410</t>
  </si>
  <si>
    <t>Other W/I UEP Rx &lt;1yr:Assmd</t>
  </si>
  <si>
    <t>act4234.400</t>
  </si>
  <si>
    <t>Industrial Life Mortality Reserves-Assumed</t>
  </si>
  <si>
    <t>act4252.000</t>
  </si>
  <si>
    <t>Ordinary Life Mortality Reserves-Assumed</t>
  </si>
  <si>
    <t>act4253.000</t>
  </si>
  <si>
    <t>individual Annuity Reserves-Assumed</t>
  </si>
  <si>
    <t>act4254.000</t>
  </si>
  <si>
    <t>Group Life Mortality Reserves-Assumed</t>
  </si>
  <si>
    <t>act4257.000</t>
  </si>
  <si>
    <t>Group Annuity Reserves-Assumed</t>
  </si>
  <si>
    <t>act4258.000</t>
  </si>
  <si>
    <t>Group A&amp;H UEP Rx :Assmd</t>
  </si>
  <si>
    <t>act4259.000</t>
  </si>
  <si>
    <t>Other A&amp;H UEP Rx :Assmd</t>
  </si>
  <si>
    <t>act4261.000</t>
  </si>
  <si>
    <t>Fire UEP Rx &gt;1yr:Ceded</t>
  </si>
  <si>
    <t>act4301.010</t>
  </si>
  <si>
    <t>Fire UEP Rx &lt;1yr:Ceded</t>
  </si>
  <si>
    <t>act4301.000</t>
  </si>
  <si>
    <t>Allied Lines UEP Rx &gt;1yr:Ceded</t>
  </si>
  <si>
    <t>act4302.010</t>
  </si>
  <si>
    <t>Allied Lines UEP Rx &lt;1yr:Ceded</t>
  </si>
  <si>
    <t>act4302.000</t>
  </si>
  <si>
    <t>Farmowners MP UEP Rx &gt;1yr:Ceded</t>
  </si>
  <si>
    <t>act4303.010</t>
  </si>
  <si>
    <t>Farmowners MP UEP Rx &lt;1yr:Ceded</t>
  </si>
  <si>
    <t>act4303.000</t>
  </si>
  <si>
    <t>Homeowners MP UEP Rx &gt;1yr:Ceded</t>
  </si>
  <si>
    <t>act4304.010</t>
  </si>
  <si>
    <t>Homeowners MP UEP Rx &lt;1yr:Ceded</t>
  </si>
  <si>
    <t>act4304.000</t>
  </si>
  <si>
    <t>Commerical MP UEP Rx &gt;1yr:Ceded</t>
  </si>
  <si>
    <t>act4305.010</t>
  </si>
  <si>
    <t>Commerical MP UEP Rx &lt;1yr:Ceded</t>
  </si>
  <si>
    <t>act4305.000</t>
  </si>
  <si>
    <t>Mortgage Guaranty UEP Rx &gt;1yr:Ceded</t>
  </si>
  <si>
    <t>act4306.010</t>
  </si>
  <si>
    <t>Mortgage Guaranty UEP Rx &lt;1yr:Ceded</t>
  </si>
  <si>
    <t>act4306.000</t>
  </si>
  <si>
    <t>Ocean Marine UEP Rx &gt;1yr:Ceded</t>
  </si>
  <si>
    <t>act4308.010</t>
  </si>
  <si>
    <t>Ocean Marine UEP Rx &lt;1yr:Ceded</t>
  </si>
  <si>
    <t>act4308.000</t>
  </si>
  <si>
    <t>Inland Marine UEP Rx &gt;1yr:Ceded</t>
  </si>
  <si>
    <t>act4309.010</t>
  </si>
  <si>
    <t>Inland Marine UEP Rx &lt;1yr:Ceded</t>
  </si>
  <si>
    <t>act4309.000</t>
  </si>
  <si>
    <t>Financial Guaranty UEP Rx &gt;1yr:Ceded</t>
  </si>
  <si>
    <t>act4310.010</t>
  </si>
  <si>
    <t>Financial Guaranty UEP Rx &lt;1yr:Ceded</t>
  </si>
  <si>
    <t>act4310.000</t>
  </si>
  <si>
    <t>MedMal:Occur UEP Rx &gt;1yr:Ceded</t>
  </si>
  <si>
    <t>act4311.110</t>
  </si>
  <si>
    <t>MedMal:Occur UEP Rx &lt;1yr:Ceded</t>
  </si>
  <si>
    <t>act4311.100</t>
  </si>
  <si>
    <t>MedMal:Clms Made UEP Rx &gt;1yr:Ceded</t>
  </si>
  <si>
    <t>act4311.210</t>
  </si>
  <si>
    <t>MedMal:Clms Made UEP Rx &lt;1yr:Ceded</t>
  </si>
  <si>
    <t>act4311.200</t>
  </si>
  <si>
    <t>Earthquake UEP Rx &gt;1yr:Ceded</t>
  </si>
  <si>
    <t>act4312.010</t>
  </si>
  <si>
    <t>Earthquake UEP Rx &lt;1yr:Ceded</t>
  </si>
  <si>
    <t>act4312.000</t>
  </si>
  <si>
    <t>Group A&amp;H UEP Rx &gt;1yr:Ceded</t>
  </si>
  <si>
    <t>act4313.010</t>
  </si>
  <si>
    <t>Group A&amp;H UEP Rx &lt;1yr:Ceded</t>
  </si>
  <si>
    <t>act4313.000</t>
  </si>
  <si>
    <t>Credit A&amp;H UEP Rx &gt;1yr:Ceded</t>
  </si>
  <si>
    <t>act4314.010</t>
  </si>
  <si>
    <t>Credit A&amp;H UEP Rx &lt;1yr:Ceded</t>
  </si>
  <si>
    <t>act4314.000</t>
  </si>
  <si>
    <t>Other A&amp;H UEP Rx &gt;1yr:Ceded</t>
  </si>
  <si>
    <t>act4315.010</t>
  </si>
  <si>
    <t>Other A&amp;H UEP Rx &lt;1yr:Ceded</t>
  </si>
  <si>
    <t>act4315.000</t>
  </si>
  <si>
    <t>Workers' Comp UEP Rx &gt;1yr:Ceded</t>
  </si>
  <si>
    <t>act4316.010</t>
  </si>
  <si>
    <t>Workers' Comp UEP Rx &lt;1yr:Ceded</t>
  </si>
  <si>
    <t>act4316.000</t>
  </si>
  <si>
    <t>Other Liab-Occur UEP Rx &gt;1yr:Ceded</t>
  </si>
  <si>
    <t>act4317.110</t>
  </si>
  <si>
    <t>Other Liab-Occur UEP Rx &lt;1yr:Ceded</t>
  </si>
  <si>
    <t>act4317.100</t>
  </si>
  <si>
    <t>Aggregate Other UEP Rx :Ceded</t>
  </si>
  <si>
    <t>act4317.100b</t>
  </si>
  <si>
    <t>Other Liab-Clms Made UEP Rx &gt;1yr:Ceded</t>
  </si>
  <si>
    <t>act4317.210</t>
  </si>
  <si>
    <t>Other Liab-Clms Made UEP Rx &lt;1yr:Ceded</t>
  </si>
  <si>
    <t>act4317.200</t>
  </si>
  <si>
    <t>Excess WC UEP Rx &gt;1yr:Ceded</t>
  </si>
  <si>
    <t>act4317.310</t>
  </si>
  <si>
    <t>Excess WC UEP Rx &lt;1yr:Ceded</t>
  </si>
  <si>
    <t>act4317.300</t>
  </si>
  <si>
    <t>Products Liab-occur UEP Rx &gt;1yr:Ceded</t>
  </si>
  <si>
    <t>act4318.110</t>
  </si>
  <si>
    <t>Products Liab-occur UEP Rx &lt;1yr:Ceded</t>
  </si>
  <si>
    <t>act4318.100</t>
  </si>
  <si>
    <t>Products Liab-Clms Made UEP Rx &gt;1yr:Ceded</t>
  </si>
  <si>
    <t>act4318.210</t>
  </si>
  <si>
    <t>Products Liab-Clms Made UEP Rx &lt;1yr:Ceded</t>
  </si>
  <si>
    <t>act4318.200</t>
  </si>
  <si>
    <t>Private auto UEP Rx &gt;1yr:Ceded</t>
  </si>
  <si>
    <t>act4319.110</t>
  </si>
  <si>
    <t>Private auto UEP Rx &lt;1yr:Ceded</t>
  </si>
  <si>
    <t>act4319.100</t>
  </si>
  <si>
    <t>Commerical auto UEP Rx &gt;1yr:Ceded</t>
  </si>
  <si>
    <t>act4319.310</t>
  </si>
  <si>
    <t>Commerical auto UEP Rx &lt;1yr:Ceded</t>
  </si>
  <si>
    <t>act4319.300</t>
  </si>
  <si>
    <t>Auto PD UEP Rx &gt;1yr:Ceded</t>
  </si>
  <si>
    <t>act4321.010</t>
  </si>
  <si>
    <t>Auto PD UEP Rx &lt;1yr:Ceded</t>
  </si>
  <si>
    <t>act4321.000</t>
  </si>
  <si>
    <t>Aircraft UEP Rx &gt;1yr:Ceded</t>
  </si>
  <si>
    <t>act4322.010</t>
  </si>
  <si>
    <t>Aircraft UEP Rx &lt;1yr:Ceded</t>
  </si>
  <si>
    <t>act4322.000</t>
  </si>
  <si>
    <t>Fidelity UEP Rx &gt;1yr:Ceded</t>
  </si>
  <si>
    <t>act4323.010</t>
  </si>
  <si>
    <t>Fidelity UEP Rx &lt;1yr:Ceded</t>
  </si>
  <si>
    <t>act4323.000</t>
  </si>
  <si>
    <t>Surety UEP Rx &gt;1yr:Ceded</t>
  </si>
  <si>
    <t>act4324.010</t>
  </si>
  <si>
    <t>Surety UEP Rx &lt;1yr:Ceded</t>
  </si>
  <si>
    <t>act4324.000</t>
  </si>
  <si>
    <t>Theft UEP Rx &gt;1yr:Ceded</t>
  </si>
  <si>
    <t>act4326.010</t>
  </si>
  <si>
    <t>Theft UEP Rx &lt;1yr:Ceded</t>
  </si>
  <si>
    <t>act4326.000</t>
  </si>
  <si>
    <t>Boiler &amp; Machinery UEP Rx &gt;1yr:Ceded</t>
  </si>
  <si>
    <t>act4327.010</t>
  </si>
  <si>
    <t>Boiler &amp; Machinery UEP Rx &lt;1yr:Ceded</t>
  </si>
  <si>
    <t>act4327.000</t>
  </si>
  <si>
    <t>Credit UEP Rx &gt;1yr:Ceded</t>
  </si>
  <si>
    <t>act4328.010</t>
  </si>
  <si>
    <t>Credit UEP Rx &lt;1yr:Ceded</t>
  </si>
  <si>
    <t>act4328.000</t>
  </si>
  <si>
    <t>International UEP Rx &gt;1yr:Ceded</t>
  </si>
  <si>
    <t>act4329.010</t>
  </si>
  <si>
    <t>International UEP Rx &lt;1yr:Ceded</t>
  </si>
  <si>
    <t>act4329.000</t>
  </si>
  <si>
    <t>Warranty UEP Rx &gt;1yr:Ceded</t>
  </si>
  <si>
    <t>act4330.010</t>
  </si>
  <si>
    <t>Warranty UEP Rx &lt;1yr:Ceded</t>
  </si>
  <si>
    <t>act4330.000</t>
  </si>
  <si>
    <t>Credit Life Mortality Rxs:Ceded &lt;1yr</t>
  </si>
  <si>
    <t>act4334.100</t>
  </si>
  <si>
    <t>Credit Life Mortality Rxs:Ceded &gt;1yr</t>
  </si>
  <si>
    <t>act4334.110</t>
  </si>
  <si>
    <t>Etch UEP Rx &gt;1yr:Ceded</t>
  </si>
  <si>
    <t>act4334.210</t>
  </si>
  <si>
    <t>Etch UEP Rx &lt;1yr:Ceded</t>
  </si>
  <si>
    <t>act4334.200</t>
  </si>
  <si>
    <t>Tire &amp; Wheel UEP Rx &gt;1yr:Ceded</t>
  </si>
  <si>
    <t>act4334.310</t>
  </si>
  <si>
    <t>Tire &amp; Wheel UEP Rx &lt;1yr:Ceded</t>
  </si>
  <si>
    <t>act4334.300</t>
  </si>
  <si>
    <t>Other W/I UEP Rx &gt;1yr:Ceded</t>
  </si>
  <si>
    <t>act4334.410</t>
  </si>
  <si>
    <t>Other W/I UEP Rx &lt;1yr:Ceded</t>
  </si>
  <si>
    <t>act4334.400</t>
  </si>
  <si>
    <t>Industrial Life Mortality Reserves-Ceded</t>
  </si>
  <si>
    <t>act4352.000</t>
  </si>
  <si>
    <t>Ordinary Life Mortality Reserves-Ceded</t>
  </si>
  <si>
    <t>act4353.000</t>
  </si>
  <si>
    <t>individual Annuity Reserves-Ceded</t>
  </si>
  <si>
    <t>act4354.000</t>
  </si>
  <si>
    <t>Group Life Mortality Reserves-Ceded</t>
  </si>
  <si>
    <t>act4357.000</t>
  </si>
  <si>
    <t>Group Annuity Reserves-Ceded</t>
  </si>
  <si>
    <t>act4358.000</t>
  </si>
  <si>
    <t>Group A&amp;H UEP Rx :Ceded</t>
  </si>
  <si>
    <t>act4359.000</t>
  </si>
  <si>
    <t>Other A&amp;H UEP Rx :Ceded</t>
  </si>
  <si>
    <t>act4361.000</t>
  </si>
  <si>
    <t>Fire Clm Rx:IBNR Dir</t>
  </si>
  <si>
    <t>act4401.000</t>
  </si>
  <si>
    <t>Allied Lines Clm Rx:IBNR Dir</t>
  </si>
  <si>
    <t>act4402.000</t>
  </si>
  <si>
    <t>Farmowners MP Clm Rx:IBNR Dir</t>
  </si>
  <si>
    <t>act4403.000</t>
  </si>
  <si>
    <t>Homeowners MP Clm Rx:IBNR Dir</t>
  </si>
  <si>
    <t>act4404.000</t>
  </si>
  <si>
    <t>Commerical MP Clm Rx:IBNR Dir</t>
  </si>
  <si>
    <t>act4405.000</t>
  </si>
  <si>
    <t>Mortgage Guaranty Clm Rx:IBNR Dir</t>
  </si>
  <si>
    <t>act4406.000</t>
  </si>
  <si>
    <t>Ocean Marine Clm Rx:IBNR Dir</t>
  </si>
  <si>
    <t>act4408.000</t>
  </si>
  <si>
    <t>Inland Marine Clm Rx:IBNR Dir</t>
  </si>
  <si>
    <t>act4409.000</t>
  </si>
  <si>
    <t>Financial Guaranty Clm Rx:IBNR Dir</t>
  </si>
  <si>
    <t>act4410.000</t>
  </si>
  <si>
    <t>MedMal:Occur Clm Rx:IBNR Dir</t>
  </si>
  <si>
    <t>act4411.100</t>
  </si>
  <si>
    <t>MedMal:Clms Made Clm Rx:IBNR Dir</t>
  </si>
  <si>
    <t>act4411.200</t>
  </si>
  <si>
    <t>Earthquake Clm Rx:IBNR Dir</t>
  </si>
  <si>
    <t>act4412.000</t>
  </si>
  <si>
    <t>Group A&amp;H Clm Rx:IBNR Dir</t>
  </si>
  <si>
    <t>act4413.000</t>
  </si>
  <si>
    <t>Credit A&amp;H Clm Rx:IBNR Dir</t>
  </si>
  <si>
    <t>act4414.000</t>
  </si>
  <si>
    <t>Credit A&amp;H Claim Rx:PVANYD Direct</t>
  </si>
  <si>
    <t>act4414.100</t>
  </si>
  <si>
    <t>Other A&amp;H Clm Rx:IBNR Dir</t>
  </si>
  <si>
    <t>act4415.000</t>
  </si>
  <si>
    <t>Workers' Comp Clm Rx:IBNR Dir</t>
  </si>
  <si>
    <t>act4416.000</t>
  </si>
  <si>
    <t>Other Liab-Occur Clm Rx:IBNR Dir</t>
  </si>
  <si>
    <t>act4417.100</t>
  </si>
  <si>
    <t>Aggreg Other Claim Rx:IBNR:Direct</t>
  </si>
  <si>
    <t>act4417.100b</t>
  </si>
  <si>
    <t>Aggregate Other Claim Rx:PVANYD Direct</t>
  </si>
  <si>
    <t>act4417.110</t>
  </si>
  <si>
    <t>Other Liab-Clms Made Clm Rx:IBNR Dir</t>
  </si>
  <si>
    <t>act4417.200</t>
  </si>
  <si>
    <t>Excess WC Clm Rx:IBNR Dir</t>
  </si>
  <si>
    <t>act4417.300</t>
  </si>
  <si>
    <t>Products Liab-occur Clm Rx:IBNR Dir</t>
  </si>
  <si>
    <t>act4418.100</t>
  </si>
  <si>
    <t>Products Liab-Clms Made Clm Rx:IBNR Dir</t>
  </si>
  <si>
    <t>act4418.200</t>
  </si>
  <si>
    <t>Private auto Clm Rx:IBNR Dir</t>
  </si>
  <si>
    <t>act4419.100</t>
  </si>
  <si>
    <t>Commerical auto Clm Rx:IBNR Dir</t>
  </si>
  <si>
    <t>act4419.300</t>
  </si>
  <si>
    <t>Auto PD Clm Rx:IBNR Dir</t>
  </si>
  <si>
    <t>act4421.000</t>
  </si>
  <si>
    <t>Aircraft Clm Rx:IBNR Dir</t>
  </si>
  <si>
    <t>act4422.000</t>
  </si>
  <si>
    <t>Fidelity Clm Rx:IBNR Dir</t>
  </si>
  <si>
    <t>act4423.000</t>
  </si>
  <si>
    <t>Surety Clm Rx:IBNR Dir</t>
  </si>
  <si>
    <t>act4424.000</t>
  </si>
  <si>
    <t>Theft Clm Rx:IBNR Dir</t>
  </si>
  <si>
    <t>act4426.000</t>
  </si>
  <si>
    <t>Boiler &amp; Machinery Clm Rx:IBNR Dir</t>
  </si>
  <si>
    <t>act4427.000</t>
  </si>
  <si>
    <t>Credit Clm Rx:IBNR Dir</t>
  </si>
  <si>
    <t>act4428.000</t>
  </si>
  <si>
    <t>International Clm Rx:IBNR Dir</t>
  </si>
  <si>
    <t>act4429.000</t>
  </si>
  <si>
    <t>Warranty Clm Rx:IBNR Dir</t>
  </si>
  <si>
    <t>act4430.000</t>
  </si>
  <si>
    <t>Credit Life Claim Res:IBNR Dir</t>
  </si>
  <si>
    <t>act4434.100</t>
  </si>
  <si>
    <t>Etch Clm Rx:IBNR Dir</t>
  </si>
  <si>
    <t>act4434.200</t>
  </si>
  <si>
    <t>Tire &amp; Wheel Clm Rx:IBNR Dir</t>
  </si>
  <si>
    <t>act4434.300</t>
  </si>
  <si>
    <t>Other W/I Clm Rx:IBNR Dir</t>
  </si>
  <si>
    <t>act4434.400</t>
  </si>
  <si>
    <t>Indus Life Claim Rx:IBNR:Direct</t>
  </si>
  <si>
    <t>act4452.000</t>
  </si>
  <si>
    <t>Ordinary Life Claim Rx:IBNR:Direct</t>
  </si>
  <si>
    <t>act4453.000</t>
  </si>
  <si>
    <t>Indiv Annuity Claim Rx:IBNR:Direct</t>
  </si>
  <si>
    <t>act4454.000</t>
  </si>
  <si>
    <t>Suppl Contracts Claim Rx:IBNR:Direct</t>
  </si>
  <si>
    <t>act4455.000</t>
  </si>
  <si>
    <t>Group Life Claim Rx:IBNR:Direct</t>
  </si>
  <si>
    <t>act4457.000</t>
  </si>
  <si>
    <t>Group Annuity Claim Rx:IBNR:Direct</t>
  </si>
  <si>
    <t>act4458.000</t>
  </si>
  <si>
    <t>Group A&amp;H Claim Rx:IBNR:Direct</t>
  </si>
  <si>
    <t>act4459.000</t>
  </si>
  <si>
    <t>Group A&amp;H Claim Rx:PVANYD Direct</t>
  </si>
  <si>
    <t>act4459.100</t>
  </si>
  <si>
    <t>Other A&amp;H Claim Rx:IBNR:Direct</t>
  </si>
  <si>
    <t>act4461.000</t>
  </si>
  <si>
    <t>Other A&amp;H Claim Rx:PVANYD Direct</t>
  </si>
  <si>
    <t>act4461.100</t>
  </si>
  <si>
    <t>Fire Clm Rx:IBNR Assmd</t>
  </si>
  <si>
    <t>act4501.000</t>
  </si>
  <si>
    <t>Allied Lines Clm Rx:IBNR Assmd</t>
  </si>
  <si>
    <t>act4502.000</t>
  </si>
  <si>
    <t>Farmowners MP Clm Rx:IBNR Assmd</t>
  </si>
  <si>
    <t>act4503.000</t>
  </si>
  <si>
    <t>Homeowners MP Clm Rx:IBNR Assmd</t>
  </si>
  <si>
    <t>act4504.000</t>
  </si>
  <si>
    <t>Commerical MP Clm Rx:IBNR Assmd</t>
  </si>
  <si>
    <t>act4505.000</t>
  </si>
  <si>
    <t>Mortgage Guaranty Clm Rx:IBNR Assmd</t>
  </si>
  <si>
    <t>act4506.000</t>
  </si>
  <si>
    <t>Ocean Marine Clm Rx:IBNR Assmd</t>
  </si>
  <si>
    <t>act4508.000</t>
  </si>
  <si>
    <t>Inland Marine Clm Rx:IBNR Assmd</t>
  </si>
  <si>
    <t>act4509.000</t>
  </si>
  <si>
    <t>Financial Guaranty Clm Rx:IBNR Assmd</t>
  </si>
  <si>
    <t>act4510.000</t>
  </si>
  <si>
    <t>MedMal:Occur Clm Rx:IBNR Assmd</t>
  </si>
  <si>
    <t>act4511.100</t>
  </si>
  <si>
    <t>MedMal:Clms Made Clm Rx:IBNR Assmd</t>
  </si>
  <si>
    <t>act4511.200</t>
  </si>
  <si>
    <t>Earthquake Clm Rx:IBNR Assmd</t>
  </si>
  <si>
    <t>act4512.000</t>
  </si>
  <si>
    <t>Group A&amp;H Clm Rx:IBNR Assmd</t>
  </si>
  <si>
    <t>act4513.000</t>
  </si>
  <si>
    <t>Credit A&amp;H Clm Rx:IBNR Assmd</t>
  </si>
  <si>
    <t>act4514.000</t>
  </si>
  <si>
    <t>Credit A&amp;H Claim Rx:PVANYD Assumed</t>
  </si>
  <si>
    <t>act4514.100</t>
  </si>
  <si>
    <t>Other A&amp;H Clm Rx:IBNR Assmd</t>
  </si>
  <si>
    <t>act4515.000</t>
  </si>
  <si>
    <t>Workers' Comp Clm Rx:IBNR Assmd</t>
  </si>
  <si>
    <t>act4516.000</t>
  </si>
  <si>
    <t>Other Liab-Occur Clm Rx:IBNR Assmd</t>
  </si>
  <si>
    <t>act4517.100</t>
  </si>
  <si>
    <t>Aggreg Other Claim Reserve:IBNR-Assumed</t>
  </si>
  <si>
    <t>act4517.100b</t>
  </si>
  <si>
    <t>Other Liab-Clms Made Clm Rx:IBNR Assmd</t>
  </si>
  <si>
    <t>act4517.200</t>
  </si>
  <si>
    <t>Excess WC Clm Rx:IBNR Assmd</t>
  </si>
  <si>
    <t>act4517.300</t>
  </si>
  <si>
    <t>Products Liab-occur Clm Rx:IBNR Assmd</t>
  </si>
  <si>
    <t>act4518.100</t>
  </si>
  <si>
    <t>Products Liab-Clms Made Clm Rx:IBNR Assmd</t>
  </si>
  <si>
    <t>act4518.200</t>
  </si>
  <si>
    <t>Private auto Clm Rx:IBNR Assmd</t>
  </si>
  <si>
    <t>act4519.100</t>
  </si>
  <si>
    <t>Commerical auto Clm Rx:IBNR Assmd</t>
  </si>
  <si>
    <t>act4519.300</t>
  </si>
  <si>
    <t>Auto PD Clm Rx:IBNR Assmd</t>
  </si>
  <si>
    <t>act4521.000</t>
  </si>
  <si>
    <t>Aircraft Clm Rx:IBNR Assmd</t>
  </si>
  <si>
    <t>act4522.000</t>
  </si>
  <si>
    <t>Fidelity Clm Rx:IBNR Assmd</t>
  </si>
  <si>
    <t>act4523.000</t>
  </si>
  <si>
    <t>Surety Clm Rx:IBNR Assmd</t>
  </si>
  <si>
    <t>act4524.000</t>
  </si>
  <si>
    <t>Theft Clm Rx:IBNR Assmd</t>
  </si>
  <si>
    <t>act4526.000</t>
  </si>
  <si>
    <t>Boiler &amp; Machinery Clm Rx:IBNR Assmd</t>
  </si>
  <si>
    <t>act4527.000</t>
  </si>
  <si>
    <t>Credit Clm Rx:IBNR Assmd</t>
  </si>
  <si>
    <t>act4528.000</t>
  </si>
  <si>
    <t>International Clm Rx:IBNR Assmd</t>
  </si>
  <si>
    <t>act4529.000</t>
  </si>
  <si>
    <t>Warranty Clm Rx:IBNR Assmd</t>
  </si>
  <si>
    <t>act4530.000</t>
  </si>
  <si>
    <t>Credit Life Claim Res:IBNR Assmd</t>
  </si>
  <si>
    <t>act4534.100</t>
  </si>
  <si>
    <t>Etch Clm Rx:IBNR Assmd</t>
  </si>
  <si>
    <t>act4534.200</t>
  </si>
  <si>
    <t>Tire &amp; Wheel Clm Rx:IBNR Assmd</t>
  </si>
  <si>
    <t>act4534.300</t>
  </si>
  <si>
    <t>Other W/I Clm Rx:IBNR Assmd</t>
  </si>
  <si>
    <t>act4534.400</t>
  </si>
  <si>
    <t>Indus Life Claim Reserve:IBNR-Assumed</t>
  </si>
  <si>
    <t>act4552.000</t>
  </si>
  <si>
    <t>Ordinary Life Claim Reserve:IBNR-Assumed</t>
  </si>
  <si>
    <t>act4553.000</t>
  </si>
  <si>
    <t>Indiv Annuity Claim Reserve:IBNR-Assumed</t>
  </si>
  <si>
    <t>act4554.000</t>
  </si>
  <si>
    <t>Suppl Contracts Claim Reserve:IBNR-Assumed</t>
  </si>
  <si>
    <t>act4555.000</t>
  </si>
  <si>
    <t>Group Life Claim Reserve:IBNR-Assumed</t>
  </si>
  <si>
    <t>act4557.000</t>
  </si>
  <si>
    <t>Group Annuity Claim Reserve:IBNR-Assumed</t>
  </si>
  <si>
    <t>act4558.000</t>
  </si>
  <si>
    <t>Group A&amp;H Claim Reserve:IBNR-Assumed</t>
  </si>
  <si>
    <t>act4559.000</t>
  </si>
  <si>
    <t>Group A&amp;H Claim Rx:PVANYD Assumed</t>
  </si>
  <si>
    <t>act4559.100</t>
  </si>
  <si>
    <t>Other A&amp;H Claim Reserve:IBNR-Assumed</t>
  </si>
  <si>
    <t>act4561.000</t>
  </si>
  <si>
    <t>Other A&amp;H Claim Rx:PVANYD Assumed</t>
  </si>
  <si>
    <t>act4561.100</t>
  </si>
  <si>
    <t>Fire Clm Rx:IBNR Ceded</t>
  </si>
  <si>
    <t>act4601.000</t>
  </si>
  <si>
    <t>Allied Lines Clm Rx:IBNR Ceded</t>
  </si>
  <si>
    <t>act4602.000</t>
  </si>
  <si>
    <t>Farmowners MP Clm Rx:IBNR Ceded</t>
  </si>
  <si>
    <t>act4603.000</t>
  </si>
  <si>
    <t>Homeowners MP Clm Rx:IBNR Ceded</t>
  </si>
  <si>
    <t>act4604.000</t>
  </si>
  <si>
    <t>Commerical MP Clm Rx:IBNR Ceded</t>
  </si>
  <si>
    <t>act4605.000</t>
  </si>
  <si>
    <t>Mortgage Guaranty Clm Rx:IBNR Ceded</t>
  </si>
  <si>
    <t>act4606.000</t>
  </si>
  <si>
    <t>Ocean Marine Clm Rx:IBNR Ceded</t>
  </si>
  <si>
    <t>act4608.000</t>
  </si>
  <si>
    <t>Inland Marine Clm Rx:IBNR Ceded</t>
  </si>
  <si>
    <t>act4609.000</t>
  </si>
  <si>
    <t>Financial Guaranty Clm Rx:IBNR Ceded</t>
  </si>
  <si>
    <t>act4610.000</t>
  </si>
  <si>
    <t>MedMal:Occur Clm Rx:IBNR Ceded</t>
  </si>
  <si>
    <t>act4611.100</t>
  </si>
  <si>
    <t>MedMal:Clms Made Clm Rx:IBNR Ceded</t>
  </si>
  <si>
    <t>act4611.200</t>
  </si>
  <si>
    <t>Earthquake Clm Rx:IBNR Ceded</t>
  </si>
  <si>
    <t>act4612.000</t>
  </si>
  <si>
    <t>Group A&amp;H Clm Rx:IBNR Ceded</t>
  </si>
  <si>
    <t>act4613.000</t>
  </si>
  <si>
    <t>Credit A&amp;H Clm Rx:IBNR Ceded</t>
  </si>
  <si>
    <t>act4614.000</t>
  </si>
  <si>
    <t>Credit A&amp;H Claim Rx:PVANYD Ceded</t>
  </si>
  <si>
    <t>act4614.100</t>
  </si>
  <si>
    <t>Other A&amp;H Clm Rx:IBNR Ceded</t>
  </si>
  <si>
    <t>act4615.000</t>
  </si>
  <si>
    <t>Workers' Comp Clm Rx:IBNR Ceded</t>
  </si>
  <si>
    <t>act4616.000</t>
  </si>
  <si>
    <t>Other Liab-Occur Clm Rx:IBNR Ceded</t>
  </si>
  <si>
    <t>act4617.100</t>
  </si>
  <si>
    <t>Aggreg Other Claim Rx:IBNR: Ceded</t>
  </si>
  <si>
    <t>act4617.100b</t>
  </si>
  <si>
    <t>Aggregate Other Claim Rx:PVANYD Assumed</t>
  </si>
  <si>
    <t>act4617.110</t>
  </si>
  <si>
    <t>Other Liab-Clms Made Clm Rx:IBNR Ceded</t>
  </si>
  <si>
    <t>act4617.200</t>
  </si>
  <si>
    <t>Excess WC Clm Rx:IBNR Ceded</t>
  </si>
  <si>
    <t>act4617.300</t>
  </si>
  <si>
    <t>Products Liab-occur Clm Rx:IBNR Ceded</t>
  </si>
  <si>
    <t>act4618.100</t>
  </si>
  <si>
    <t>Products Liab-Clms Made Clm Rx:IBNR Ceded</t>
  </si>
  <si>
    <t>act4618.200</t>
  </si>
  <si>
    <t>Private auto Clm Rx:IBNR Ceded</t>
  </si>
  <si>
    <t>act4619.100</t>
  </si>
  <si>
    <t>Commerical auto Clm Rx:IBNR Ceded</t>
  </si>
  <si>
    <t>act4619.300</t>
  </si>
  <si>
    <t>Auto PD Clm Rx:IBNR Ceded</t>
  </si>
  <si>
    <t>act4621.000</t>
  </si>
  <si>
    <t>Aircraft Clm Rx:IBNR Ceded</t>
  </si>
  <si>
    <t>act4622.000</t>
  </si>
  <si>
    <t>Fidelity Clm Rx:IBNR Ceded</t>
  </si>
  <si>
    <t>act4623.000</t>
  </si>
  <si>
    <t>Surety Clm Rx:IBNR Ceded</t>
  </si>
  <si>
    <t>act4624.000</t>
  </si>
  <si>
    <t>Theft Clm Rx:IBNR Ceded</t>
  </si>
  <si>
    <t>act4626.000</t>
  </si>
  <si>
    <t>Boiler &amp; Machinery Clm Rx:IBNR Ceded</t>
  </si>
  <si>
    <t>act4627.000</t>
  </si>
  <si>
    <t>Credit Clm Rx:IBNR Ceded</t>
  </si>
  <si>
    <t>act4628.000</t>
  </si>
  <si>
    <t>International Clm Rx:IBNR Ceded</t>
  </si>
  <si>
    <t>act4629.000</t>
  </si>
  <si>
    <t>Warranty Clm Rx:IBNR Ceded</t>
  </si>
  <si>
    <t>act4630.000</t>
  </si>
  <si>
    <t>Credit Commissions Payable</t>
  </si>
  <si>
    <t>act4634.000</t>
  </si>
  <si>
    <t>Credit Life Claim Res:IBNR Ceded</t>
  </si>
  <si>
    <t>act4634.100</t>
  </si>
  <si>
    <t>Etch Clm Rx:IBNR Ceded</t>
  </si>
  <si>
    <t>act4634.200</t>
  </si>
  <si>
    <t>Tire &amp; Wheel Clm Rx:IBNR Ceded</t>
  </si>
  <si>
    <t>act4634.300</t>
  </si>
  <si>
    <t>Other W/I Clm Rx:IBNR Ceded</t>
  </si>
  <si>
    <t>act4634.400</t>
  </si>
  <si>
    <t>Indus Life Claim Rx:IBNR: Ceded</t>
  </si>
  <si>
    <t>act4652.000</t>
  </si>
  <si>
    <t>Ordinary Life Claim Rx:IBNR: Ceded</t>
  </si>
  <si>
    <t>act4653.000</t>
  </si>
  <si>
    <t>Indiv Annuity Claim Rx:IBNR: Ceded</t>
  </si>
  <si>
    <t>act4654.000</t>
  </si>
  <si>
    <t>Suppl Contracts Claim Rx:IBNR: Ceded</t>
  </si>
  <si>
    <t>act4655.000</t>
  </si>
  <si>
    <t>Group Life Claim Rx:IBNR: Ceded</t>
  </si>
  <si>
    <t>act4657.000</t>
  </si>
  <si>
    <t>Group Annuity Claim Rx:IBNR: Ceded</t>
  </si>
  <si>
    <t>act4658.000</t>
  </si>
  <si>
    <t>Group A&amp;H Claim Rx:IBNR: Ceded</t>
  </si>
  <si>
    <t>act4659.000</t>
  </si>
  <si>
    <t>Group A&amp;H Claim Rx:PVANYD Ceded</t>
  </si>
  <si>
    <t>act4659.100</t>
  </si>
  <si>
    <t>Other A&amp;H Claim Rx:IBNR: Ceded</t>
  </si>
  <si>
    <t>act4661.000</t>
  </si>
  <si>
    <t>Other A&amp;H Claim Rx:PVANYD Ceded</t>
  </si>
  <si>
    <t>act4661.100</t>
  </si>
  <si>
    <t>Fire Clm Rx:ICOS Dir</t>
  </si>
  <si>
    <t>act4701.000</t>
  </si>
  <si>
    <t>Allied Lines Clm Rx:ICOS Dir</t>
  </si>
  <si>
    <t>act4702.000</t>
  </si>
  <si>
    <t>Farmowners MP Clm Rx:ICOS Dir</t>
  </si>
  <si>
    <t>act4703.000</t>
  </si>
  <si>
    <t>Homeowners MP Clm Rx:ICOS Dir</t>
  </si>
  <si>
    <t>act4704.000</t>
  </si>
  <si>
    <t>Commerical MP Clm Rx:ICOS Dir</t>
  </si>
  <si>
    <t>act4705.000</t>
  </si>
  <si>
    <t>Mortgage Guaranty Clm Rx:ICOS Dir</t>
  </si>
  <si>
    <t>act4706.000</t>
  </si>
  <si>
    <t>Ocean Marine Clm Rx:ICOS Dir</t>
  </si>
  <si>
    <t>act4708.000</t>
  </si>
  <si>
    <t>Inland Marine Clm Rx:ICOS Dir</t>
  </si>
  <si>
    <t>act4709.000</t>
  </si>
  <si>
    <t>Financial Guaranty Clm Rx:ICOS Dir</t>
  </si>
  <si>
    <t>act4710.000</t>
  </si>
  <si>
    <t>MedMal:Occur Clm Rx:ICOS Dir</t>
  </si>
  <si>
    <t>act4711.100</t>
  </si>
  <si>
    <t>MedMal:Clms Made Clm Rx:ICOS Dir</t>
  </si>
  <si>
    <t>act4711.200</t>
  </si>
  <si>
    <t>Earthquake Clm Rx:ICOS Dir</t>
  </si>
  <si>
    <t>act4712.000</t>
  </si>
  <si>
    <t>Group A&amp;H Clm Rx:ICOS Dir</t>
  </si>
  <si>
    <t>act4713.000</t>
  </si>
  <si>
    <t>Credit A&amp;H Clm Rx:ICOS Dir</t>
  </si>
  <si>
    <t>act4714.000</t>
  </si>
  <si>
    <t>Other A&amp;H Clm Rx:ICOS Dir</t>
  </si>
  <si>
    <t>act4715.000</t>
  </si>
  <si>
    <t>Workers' Comp Clm Rx:ICOS Dir</t>
  </si>
  <si>
    <t>act4716.000</t>
  </si>
  <si>
    <t>Other Liab-Occur Clm Rx:ICOS Dir</t>
  </si>
  <si>
    <t>act4717.100</t>
  </si>
  <si>
    <t>Aggreg Other Claim Rx:ICOS:Direct</t>
  </si>
  <si>
    <t>act4717.100b</t>
  </si>
  <si>
    <t>Other Liab-Clms Made Clm Rx:ICOS Dir</t>
  </si>
  <si>
    <t>act4717.200</t>
  </si>
  <si>
    <t>Excess WC Clm Rx:ICOS Dir</t>
  </si>
  <si>
    <t>act4717.300</t>
  </si>
  <si>
    <t>Products Liab-occur Clm Rx:ICOS Dir</t>
  </si>
  <si>
    <t>act4718.100</t>
  </si>
  <si>
    <t>Products Liab-Clms Made Clm Rx:ICOS Dir</t>
  </si>
  <si>
    <t>act4718.200</t>
  </si>
  <si>
    <t>Private auto Clm Rx:ICOS Dir</t>
  </si>
  <si>
    <t>act4719.100</t>
  </si>
  <si>
    <t>Commerical auto Clm Rx:ICOS Dir</t>
  </si>
  <si>
    <t>act4719.300</t>
  </si>
  <si>
    <t>Auto PD Clm Rx:ICOS Dir</t>
  </si>
  <si>
    <t>act4721.000</t>
  </si>
  <si>
    <t>Aircraft Clm Rx:ICOS Dir</t>
  </si>
  <si>
    <t>act4722.000</t>
  </si>
  <si>
    <t>Fidelity Clm Rx:ICOS Dir</t>
  </si>
  <si>
    <t>act4723.000</t>
  </si>
  <si>
    <t>Surety Clm Rx:ICOS Dir</t>
  </si>
  <si>
    <t>act4724.000</t>
  </si>
  <si>
    <t>Theft Clm Rx:ICOS Dir</t>
  </si>
  <si>
    <t>act4726.000</t>
  </si>
  <si>
    <t>Boiler &amp; Machinery Clm Rx:ICOS Dir</t>
  </si>
  <si>
    <t>act4727.000</t>
  </si>
  <si>
    <t>Credit Clm Rx:ICOS Dir</t>
  </si>
  <si>
    <t>act4728.000</t>
  </si>
  <si>
    <t>International Clm Rx:ICOS Dir</t>
  </si>
  <si>
    <t>act4729.000</t>
  </si>
  <si>
    <t>Warranty Clm Rx:ICOS Dir</t>
  </si>
  <si>
    <t>act4730.000</t>
  </si>
  <si>
    <t>Credit Life Claim Res:ICOS Dir</t>
  </si>
  <si>
    <t>act4734.100</t>
  </si>
  <si>
    <t>Etch Clm Rx:ICOS Dir</t>
  </si>
  <si>
    <t>act4734.200</t>
  </si>
  <si>
    <t>Tire &amp; Wheel Clm Rx:ICOS Dir</t>
  </si>
  <si>
    <t>act4734.300</t>
  </si>
  <si>
    <t>Other W/I Clm Rx:ICOS Dir</t>
  </si>
  <si>
    <t>act4734.400</t>
  </si>
  <si>
    <t>Indus Life Claim Rx:ICOS:Direct</t>
  </si>
  <si>
    <t>act4752.000</t>
  </si>
  <si>
    <t>Ordinary Life Claim Rx:ICOS:Direct</t>
  </si>
  <si>
    <t>act4753.000</t>
  </si>
  <si>
    <t>Indiv Annuity Claim Rx:ICOS:Direct</t>
  </si>
  <si>
    <t>act4754.000</t>
  </si>
  <si>
    <t>Suppl Contracts Claim Rx:ICOS:Direct</t>
  </si>
  <si>
    <t>act4755.000</t>
  </si>
  <si>
    <t>Group Life Claim Rx:ICOS:Direct</t>
  </si>
  <si>
    <t>act4757.000</t>
  </si>
  <si>
    <t>Group Annuity Claim Rx:ICOS:Direct</t>
  </si>
  <si>
    <t>act4758.000</t>
  </si>
  <si>
    <t>Group A&amp;H Claim Rx:ICOS:Direct</t>
  </si>
  <si>
    <t>act4759.000</t>
  </si>
  <si>
    <t>Other A&amp;H Claim Rx:ICOS:Direct</t>
  </si>
  <si>
    <t>act4761.000</t>
  </si>
  <si>
    <t>Fire Clm Rx:ICOS Assmd</t>
  </si>
  <si>
    <t>act4801.000</t>
  </si>
  <si>
    <t>Allied Lines Clm Rx:ICOS Assmd</t>
  </si>
  <si>
    <t>act4802.000</t>
  </si>
  <si>
    <t>Farmowners MP Clm Rx:ICOS Assmd</t>
  </si>
  <si>
    <t>act4803.000</t>
  </si>
  <si>
    <t>Homeowners MP Clm Rx:ICOS Assmd</t>
  </si>
  <si>
    <t>act4804.000</t>
  </si>
  <si>
    <t>Commerical MP Clm Rx:ICOS Assmd</t>
  </si>
  <si>
    <t>act4805.000</t>
  </si>
  <si>
    <t>Mortgage Guaranty Clm Rx:ICOS Assmd</t>
  </si>
  <si>
    <t>act4806.000</t>
  </si>
  <si>
    <t>Ocean Marine Clm Rx:ICOS Assmd</t>
  </si>
  <si>
    <t>act4808.000</t>
  </si>
  <si>
    <t>Inland Marine Clm Rx:ICOS Assmd</t>
  </si>
  <si>
    <t>act4809.000</t>
  </si>
  <si>
    <t>Financial Guaranty Clm Rx:ICOS Assmd</t>
  </si>
  <si>
    <t>act4810.000</t>
  </si>
  <si>
    <t>MedMal:Occur Clm Rx:ICOS Assmd</t>
  </si>
  <si>
    <t>act4811.100</t>
  </si>
  <si>
    <t>MedMal:Clms Made Clm Rx:ICOS Assmd</t>
  </si>
  <si>
    <t>act4811.200</t>
  </si>
  <si>
    <t>Earthquake Clm Rx:ICOS Assmd</t>
  </si>
  <si>
    <t>act4812.000</t>
  </si>
  <si>
    <t>Group A&amp;H Clm Rx:ICOS Assmd</t>
  </si>
  <si>
    <t>act4813.000</t>
  </si>
  <si>
    <t>Credit A&amp;H Clm Rx:ICOS Assmd</t>
  </si>
  <si>
    <t>act4814.000</t>
  </si>
  <si>
    <t>Other A&amp;H Clm Rx:ICOS Assmd</t>
  </si>
  <si>
    <t>act4815.000</t>
  </si>
  <si>
    <t>Workers' Comp Clm Rx:ICOS Assmd</t>
  </si>
  <si>
    <t>act4816.000</t>
  </si>
  <si>
    <t>Other Liab-Occur Clm Rx:ICOS Assmd</t>
  </si>
  <si>
    <t>act4817.100</t>
  </si>
  <si>
    <t>Aggreg Other Claim Reserve:ICOS-Assumed</t>
  </si>
  <si>
    <t>act4817.100b</t>
  </si>
  <si>
    <t>Aggregate Other Claim Rx:PVANYD Ceded</t>
  </si>
  <si>
    <t>act4817.110</t>
  </si>
  <si>
    <t>Other Liab-Clms Made Clm Rx:ICOS Assmd</t>
  </si>
  <si>
    <t>act4817.200</t>
  </si>
  <si>
    <t>Excess WC Clm Rx:ICOS Assmd</t>
  </si>
  <si>
    <t>act4817.300</t>
  </si>
  <si>
    <t>Products Liab-occur Clm Rx:ICOS Assmd</t>
  </si>
  <si>
    <t>act4818.100</t>
  </si>
  <si>
    <t>Products Liab-Clms Made Clm Rx:ICOS Assmd</t>
  </si>
  <si>
    <t>act4818.200</t>
  </si>
  <si>
    <t>Private auto Clm Rx:ICOS Assmd</t>
  </si>
  <si>
    <t>act4819.100</t>
  </si>
  <si>
    <t>Commerical auto Clm Rx:ICOS Assmd</t>
  </si>
  <si>
    <t>act4819.300</t>
  </si>
  <si>
    <t>Auto PD Clm Rx:ICOS Assmd</t>
  </si>
  <si>
    <t>act4821.000</t>
  </si>
  <si>
    <t>Aircraft Clm Rx:ICOS Assmd</t>
  </si>
  <si>
    <t>act4822.000</t>
  </si>
  <si>
    <t>Fidelity Clm Rx:ICOS Assmd</t>
  </si>
  <si>
    <t>act4823.000</t>
  </si>
  <si>
    <t>Surety Clm Rx:ICOS Assmd</t>
  </si>
  <si>
    <t>act4824.000</t>
  </si>
  <si>
    <t>Theft Clm Rx:ICOS Assmd</t>
  </si>
  <si>
    <t>act4826.000</t>
  </si>
  <si>
    <t>Boiler &amp; Machinery Clm Rx:ICOS Assmd</t>
  </si>
  <si>
    <t>act4827.000</t>
  </si>
  <si>
    <t>Credit Clm Rx:ICOS Assmd</t>
  </si>
  <si>
    <t>act4828.000</t>
  </si>
  <si>
    <t>International Clm Rx:ICOS Assmd</t>
  </si>
  <si>
    <t>act4829.000</t>
  </si>
  <si>
    <t>Warranty Clm Rx:ICOS Assmd</t>
  </si>
  <si>
    <t>act4830.000</t>
  </si>
  <si>
    <t>Credit Life Claim Res:ICOS Assmd</t>
  </si>
  <si>
    <t>act4834.100</t>
  </si>
  <si>
    <t>Etch Clm Rx:ICOS Assmd</t>
  </si>
  <si>
    <t>act4834.200</t>
  </si>
  <si>
    <t>Tire &amp; Wheel Clm Rx:ICOS Assmd</t>
  </si>
  <si>
    <t>act4834.300</t>
  </si>
  <si>
    <t>Other W/I Clm Rx:ICOS Assmd</t>
  </si>
  <si>
    <t>act4834.400</t>
  </si>
  <si>
    <t>Indus Life Claim Reserve:ICOS-Assumed</t>
  </si>
  <si>
    <t>act4852.000</t>
  </si>
  <si>
    <t>Ordinary Life Claim Reserve:ICOS-Assumed</t>
  </si>
  <si>
    <t>act4853.000</t>
  </si>
  <si>
    <t>Indiv Annuity Claim Reserve:ICOS-Assumed</t>
  </si>
  <si>
    <t>act4854.000</t>
  </si>
  <si>
    <t>Suppl Contracts Claim Reserve:ICOS-Assumed</t>
  </si>
  <si>
    <t>act4855.000</t>
  </si>
  <si>
    <t>Group Life Claim Reserve:ICOS-Assumed</t>
  </si>
  <si>
    <t>act4857.000</t>
  </si>
  <si>
    <t>Group Annuity Claim Reserve:ICOS-Assumed</t>
  </si>
  <si>
    <t>act4858.000</t>
  </si>
  <si>
    <t>Group A&amp;H Claim Reserve:ICOS-Assumed</t>
  </si>
  <si>
    <t>act4859.000</t>
  </si>
  <si>
    <t>Other A&amp;H Claim Reserve:ICOS-Assumed</t>
  </si>
  <si>
    <t>act4861.000</t>
  </si>
  <si>
    <t>Fire Clm Rx:ICOS Ceded</t>
  </si>
  <si>
    <t>act4901.000</t>
  </si>
  <si>
    <t>Allied Lines Clm Rx:ICOS Ceded</t>
  </si>
  <si>
    <t>act4902.000</t>
  </si>
  <si>
    <t>Farmowners MP Clm Rx:ICOS Ceded</t>
  </si>
  <si>
    <t>act4903.000</t>
  </si>
  <si>
    <t>Homeowners MP Clm Rx:ICOS Ceded</t>
  </si>
  <si>
    <t>act4904.000</t>
  </si>
  <si>
    <t>Commerical MP Clm Rx:ICOS Ceded</t>
  </si>
  <si>
    <t>act4905.000</t>
  </si>
  <si>
    <t>Mortgage Guaranty Clm Rx:ICOS Ceded</t>
  </si>
  <si>
    <t>act4906.000</t>
  </si>
  <si>
    <t>Ocean Marine Clm Rx:ICOS Ceded</t>
  </si>
  <si>
    <t>act4908.000</t>
  </si>
  <si>
    <t>Inland Marine Clm Rx:ICOS Ceded</t>
  </si>
  <si>
    <t>act4909.000</t>
  </si>
  <si>
    <t>Financial Guaranty Clm Rx:ICOS Ceded</t>
  </si>
  <si>
    <t>act4910.000</t>
  </si>
  <si>
    <t>MedMal:Occur Clm Rx:ICOS Ceded</t>
  </si>
  <si>
    <t>act4911.100</t>
  </si>
  <si>
    <t>MedMal:Clms Made Clm Rx:ICOS Ceded</t>
  </si>
  <si>
    <t>act4911.200</t>
  </si>
  <si>
    <t>Earthquake Clm Rx:ICOS Ceded</t>
  </si>
  <si>
    <t>act4912.000</t>
  </si>
  <si>
    <t>Group A&amp;H Clm Rx:ICOS Ceded</t>
  </si>
  <si>
    <t>act4913.000</t>
  </si>
  <si>
    <t>Credit A&amp;H Clm Rx:ICOS Ceded</t>
  </si>
  <si>
    <t>act4914.000</t>
  </si>
  <si>
    <t>Other A&amp;H Clm Rx:ICOS Ceded</t>
  </si>
  <si>
    <t>act4915.000</t>
  </si>
  <si>
    <t>Workers' Comp Clm Rx:ICOS Ceded</t>
  </si>
  <si>
    <t>act4916.000</t>
  </si>
  <si>
    <t>Other Liab-Occur Clm Rx:ICOS Ceded</t>
  </si>
  <si>
    <t>act4917.100</t>
  </si>
  <si>
    <t>Aggreg Other Claim Rx:ICOS: Ceded</t>
  </si>
  <si>
    <t>act4917.100b</t>
  </si>
  <si>
    <t>Other Liab-Clms Made Clm Rx:ICOS Ceded</t>
  </si>
  <si>
    <t>act4917.200</t>
  </si>
  <si>
    <t>Excess WC Clm Rx:ICOS Ceded</t>
  </si>
  <si>
    <t>act4917.300</t>
  </si>
  <si>
    <t>Products Liab-occur Clm Rx:ICOS Ceded</t>
  </si>
  <si>
    <t>act4918.100</t>
  </si>
  <si>
    <t>Products Liab-Clms Made Clm Rx:ICOS Ceded</t>
  </si>
  <si>
    <t>act4918.200</t>
  </si>
  <si>
    <t>Private auto Clm Rx:ICOS Ceded</t>
  </si>
  <si>
    <t>act4919.100</t>
  </si>
  <si>
    <t>Commerical auto Clm Rx:ICOS Ceded</t>
  </si>
  <si>
    <t>act4919.300</t>
  </si>
  <si>
    <t>Auto PD Clm Rx:ICOS Ceded</t>
  </si>
  <si>
    <t>act4921.000</t>
  </si>
  <si>
    <t>Aircraft Clm Rx:ICOS Ceded</t>
  </si>
  <si>
    <t>act4922.000</t>
  </si>
  <si>
    <t>Fidelity Clm Rx:ICOS Ceded</t>
  </si>
  <si>
    <t>act4923.000</t>
  </si>
  <si>
    <t>Surety Clm Rx:ICOS Ceded</t>
  </si>
  <si>
    <t>act4924.000</t>
  </si>
  <si>
    <t>Theft Clm Rx:ICOS Ceded</t>
  </si>
  <si>
    <t>act4926.000</t>
  </si>
  <si>
    <t>Boiler &amp; Machinery Clm Rx:ICOS Ceded</t>
  </si>
  <si>
    <t>act4927.000</t>
  </si>
  <si>
    <t>Credit Clm Rx:ICOS Ceded</t>
  </si>
  <si>
    <t>act4928.000</t>
  </si>
  <si>
    <t>International Clm Rx:ICOS Ceded</t>
  </si>
  <si>
    <t>act4929.000</t>
  </si>
  <si>
    <t>Warranty Clm Rx:ICOS Ceded</t>
  </si>
  <si>
    <t>act4930.000</t>
  </si>
  <si>
    <t>Credit Life Claim Res:ICOS Ceded</t>
  </si>
  <si>
    <t>act4934.100</t>
  </si>
  <si>
    <t>Etch Clm Rx:ICOS Ceded</t>
  </si>
  <si>
    <t>act4934.200</t>
  </si>
  <si>
    <t>Tire &amp; Wheel Clm Rx:ICOS Ceded</t>
  </si>
  <si>
    <t>act4934.300</t>
  </si>
  <si>
    <t>Other W/I Clm Rx:ICOS Ceded</t>
  </si>
  <si>
    <t>act4934.400</t>
  </si>
  <si>
    <t>Indus Life Claim Rx:ICOS: Ceded</t>
  </si>
  <si>
    <t>act4952.000</t>
  </si>
  <si>
    <t>Ordinary Life Claim Rx:ICOS: Ceded</t>
  </si>
  <si>
    <t>act4953.000</t>
  </si>
  <si>
    <t>Indiv Annuity Claim Rx:ICOS: Ceded</t>
  </si>
  <si>
    <t>act4954.000</t>
  </si>
  <si>
    <t>Suppl Contracts Claim Rx:ICOS: Ceded</t>
  </si>
  <si>
    <t>act4955.000</t>
  </si>
  <si>
    <t>Group Life Claim Rx:ICOS: Ceded</t>
  </si>
  <si>
    <t>act4957.000</t>
  </si>
  <si>
    <t>Group Annuity Claim Rx:ICOS: Ceded</t>
  </si>
  <si>
    <t>act4958.000</t>
  </si>
  <si>
    <t>Group A&amp;H Claim Rx:ICOS: Ceded</t>
  </si>
  <si>
    <t>act4959.000</t>
  </si>
  <si>
    <t>Other A&amp;H Claim Rx:ICOS: Ceded</t>
  </si>
  <si>
    <t>act4961.000</t>
  </si>
  <si>
    <t>Decr in Common Cap-Paid In</t>
  </si>
  <si>
    <t>act5010.000</t>
  </si>
  <si>
    <t>Incr in Common Cap-Paid In</t>
  </si>
  <si>
    <t>act5011.000</t>
  </si>
  <si>
    <t>Common Cap-BOY</t>
  </si>
  <si>
    <t>act5012.000</t>
  </si>
  <si>
    <t>Common Part -BOY</t>
  </si>
  <si>
    <t>act5013.000</t>
  </si>
  <si>
    <t>Incr in Part Cap-Paid In</t>
  </si>
  <si>
    <t>act5014.000</t>
  </si>
  <si>
    <t>Decr in Part Cap-Paid In</t>
  </si>
  <si>
    <t>act5015.000</t>
  </si>
  <si>
    <t>Pfd Cap Stock-BOY</t>
  </si>
  <si>
    <t>act5031.000</t>
  </si>
  <si>
    <t>Incr in Pfd Cap Stock-Paid In</t>
  </si>
  <si>
    <t>act5032.000</t>
  </si>
  <si>
    <t>Decr in Pfd Cap Stock-Paid In</t>
  </si>
  <si>
    <t>act5033.000</t>
  </si>
  <si>
    <t>Surp-BOY</t>
  </si>
  <si>
    <t>act5041.000</t>
  </si>
  <si>
    <t>Incr in Paid in Surp</t>
  </si>
  <si>
    <t>act5045.000</t>
  </si>
  <si>
    <t>Decr in Paid in Surp</t>
  </si>
  <si>
    <t>act5046.000</t>
  </si>
  <si>
    <t>Surp Note</t>
  </si>
  <si>
    <t>act5059.000</t>
  </si>
  <si>
    <t>Retained Earnings</t>
  </si>
  <si>
    <t>act5060.000</t>
  </si>
  <si>
    <t>Cap Note BOY</t>
  </si>
  <si>
    <t>act5061.000</t>
  </si>
  <si>
    <t>Change in Net Deferred Taxes</t>
  </si>
  <si>
    <t>act5065.000</t>
  </si>
  <si>
    <t>Cash Dividends</t>
  </si>
  <si>
    <t>act5068.000</t>
  </si>
  <si>
    <t>Retained Earnings from merger</t>
  </si>
  <si>
    <t>act5070.000</t>
  </si>
  <si>
    <t>Change in Non-Admitted Assets</t>
  </si>
  <si>
    <t>act5071.000</t>
  </si>
  <si>
    <t>act5078.000</t>
  </si>
  <si>
    <t>Dividend to Policyholders</t>
  </si>
  <si>
    <t>act5080.000</t>
  </si>
  <si>
    <t>Incr in Common Cap-Stk Divd</t>
  </si>
  <si>
    <t>act5111.000</t>
  </si>
  <si>
    <t>Decr in Common Cap-to Surp</t>
  </si>
  <si>
    <t>act5120.000</t>
  </si>
  <si>
    <t>Treasury Stock-common</t>
  </si>
  <si>
    <t>act5121.000</t>
  </si>
  <si>
    <t>Treasury Stock-preferred</t>
  </si>
  <si>
    <t>act5121.100</t>
  </si>
  <si>
    <t>Incr/Decr in Paid in Surplus (Cash)</t>
  </si>
  <si>
    <t>act5124.000</t>
  </si>
  <si>
    <t>Incr/Decr in Paid in Surp-Stk Divd</t>
  </si>
  <si>
    <t>act5125.000</t>
  </si>
  <si>
    <t>Incr in Paid in Surp-from Cap</t>
  </si>
  <si>
    <t>act5126.000</t>
  </si>
  <si>
    <t>Interest on Surp-Cap Notes</t>
  </si>
  <si>
    <t>act5150.000</t>
  </si>
  <si>
    <t xml:space="preserve">Interest on Surp Note </t>
  </si>
  <si>
    <t>act5151.000</t>
  </si>
  <si>
    <t>Interest Expense on Borrowed Money</t>
  </si>
  <si>
    <t>act5152.000</t>
  </si>
  <si>
    <t>Incr in Surp Note</t>
  </si>
  <si>
    <t>act5159.000</t>
  </si>
  <si>
    <t>Decr in Surp Note</t>
  </si>
  <si>
    <t>act5160.000</t>
  </si>
  <si>
    <t>Incr/(Decr) in Cap Note</t>
  </si>
  <si>
    <t>act5161.000</t>
  </si>
  <si>
    <t xml:space="preserve">Write-in for spc surp funds </t>
  </si>
  <si>
    <t>act5165.000</t>
  </si>
  <si>
    <t>Write-in:Otr than spc surp fds</t>
  </si>
  <si>
    <t>act5175.000</t>
  </si>
  <si>
    <t>Net g/(l) from px bal chgd off</t>
  </si>
  <si>
    <t>act5500.000</t>
  </si>
  <si>
    <t>Service chgs not incl in pxs</t>
  </si>
  <si>
    <t>act5501.000</t>
  </si>
  <si>
    <t>Chg in net unreal exchg g/(l)-domestic</t>
  </si>
  <si>
    <t>act5502.000</t>
  </si>
  <si>
    <t>Cumulative effect-chg in acctg</t>
  </si>
  <si>
    <t>act5503.000</t>
  </si>
  <si>
    <t>Net remittances-Home Office</t>
  </si>
  <si>
    <t>act5504.000</t>
  </si>
  <si>
    <t>Fire Assumed Pxs Affl</t>
  </si>
  <si>
    <t>act7001.000</t>
  </si>
  <si>
    <t>Allied Lines Assumed Pxs Affl</t>
  </si>
  <si>
    <t>act7002.000</t>
  </si>
  <si>
    <t>Farmowners MP Assumed Pxs Affl</t>
  </si>
  <si>
    <t>act7003.000</t>
  </si>
  <si>
    <t>Homeowners MP Assumed Pxs Affl</t>
  </si>
  <si>
    <t>act7004.000</t>
  </si>
  <si>
    <t>Commerical MP Assumed Pxs Affl</t>
  </si>
  <si>
    <t>act7005.000</t>
  </si>
  <si>
    <t>Mortgage Guaranty Assumed Pxs Affl</t>
  </si>
  <si>
    <t>act7006.000</t>
  </si>
  <si>
    <t>Ocean Marine Assumed Pxs Affl</t>
  </si>
  <si>
    <t>act7008.000</t>
  </si>
  <si>
    <t>Inland Marine Assumed Pxs Affl</t>
  </si>
  <si>
    <t>act7009.000</t>
  </si>
  <si>
    <t>Financial Guaranty Assumed Pxs Affl</t>
  </si>
  <si>
    <t>act7010.000</t>
  </si>
  <si>
    <t>MedMal Occur Assumed Px Affl</t>
  </si>
  <si>
    <t>act7011.100</t>
  </si>
  <si>
    <t>Aff-MedMal-Clm Made Assmd Px</t>
  </si>
  <si>
    <t>act7011.200</t>
  </si>
  <si>
    <t>Earthquake Assumed Pxs Affl</t>
  </si>
  <si>
    <t>act7012.000</t>
  </si>
  <si>
    <t>Group A&amp;H Assumed Pxs Affl</t>
  </si>
  <si>
    <t>act7013.000</t>
  </si>
  <si>
    <t>Credit A&amp;H Assumed Pxs:Affl.</t>
  </si>
  <si>
    <t>act7014.000</t>
  </si>
  <si>
    <t>Other A&amp;H Assumed Pxs Affl</t>
  </si>
  <si>
    <t>act7015.000</t>
  </si>
  <si>
    <t>Aff-Workers' Comp Assmd Px</t>
  </si>
  <si>
    <t>act7016.000</t>
  </si>
  <si>
    <t>Other Liab: Occur Assumed Pxs Affl</t>
  </si>
  <si>
    <t>act7017.100</t>
  </si>
  <si>
    <t>Other Liab: Clms Made Assumed Pxs Affl</t>
  </si>
  <si>
    <t>act7017.200</t>
  </si>
  <si>
    <t>Excess WC Assumed Pxs Affl</t>
  </si>
  <si>
    <t>act7017.300</t>
  </si>
  <si>
    <t>Product Liab-Occur Assumed Pxs Affl</t>
  </si>
  <si>
    <t>act7018.100</t>
  </si>
  <si>
    <t>Product Liab-Clms Made Assumed Pxs Affl</t>
  </si>
  <si>
    <t>act7018.200</t>
  </si>
  <si>
    <t>Private auto Assumed Pxs Affl</t>
  </si>
  <si>
    <t>act7019.100</t>
  </si>
  <si>
    <t>Commerical auto Assumed Pxs Affl</t>
  </si>
  <si>
    <t>act7019.300</t>
  </si>
  <si>
    <t>Auto PD Assumed Pxs Affl</t>
  </si>
  <si>
    <t>act7021.000</t>
  </si>
  <si>
    <t>Aircraft Assumed Pxs Affl</t>
  </si>
  <si>
    <t>act7022.000</t>
  </si>
  <si>
    <t>Fidelity Assumed Pxs Affl</t>
  </si>
  <si>
    <t>act7023.000</t>
  </si>
  <si>
    <t>Surety Assumed Pxs Affl</t>
  </si>
  <si>
    <t>act7024.000</t>
  </si>
  <si>
    <t>Theft Assumed Pxs Affl</t>
  </si>
  <si>
    <t>act7026.000</t>
  </si>
  <si>
    <t>Boiler &amp; Machinery Assumed Pxs Affl</t>
  </si>
  <si>
    <t>act7027.000</t>
  </si>
  <si>
    <t>Credit Assumed Pxs Affl</t>
  </si>
  <si>
    <t>act7028.000</t>
  </si>
  <si>
    <t>International Assumed Pxs Affl</t>
  </si>
  <si>
    <t>act7029.000</t>
  </si>
  <si>
    <t>Warranty Assumed Pxs Affl</t>
  </si>
  <si>
    <t>act7030.000</t>
  </si>
  <si>
    <t>Credit Life Assumed Pxs:Affl.</t>
  </si>
  <si>
    <t>act7034.100</t>
  </si>
  <si>
    <t>Assumed Etch Premium:Affl.</t>
  </si>
  <si>
    <t>act7034.200</t>
  </si>
  <si>
    <t>Assumed Tire &amp; Wheel Premium:Affl.</t>
  </si>
  <si>
    <t>act7034.300</t>
  </si>
  <si>
    <t>Assumed Other W/I Premium:Affl.</t>
  </si>
  <si>
    <t>act7034.400</t>
  </si>
  <si>
    <t>Supplementary Contracts</t>
  </si>
  <si>
    <t>act7100.000</t>
  </si>
  <si>
    <t>Fire Direct Pxs</t>
  </si>
  <si>
    <t>act7101.000</t>
  </si>
  <si>
    <t>Allied Lines Direct Pxs</t>
  </si>
  <si>
    <t>act7102.000</t>
  </si>
  <si>
    <t>Farmowners MP Direct Pxs</t>
  </si>
  <si>
    <t>act7103.000</t>
  </si>
  <si>
    <t>Homeowners MP Direct Pxs</t>
  </si>
  <si>
    <t>act7104.000</t>
  </si>
  <si>
    <t>Commerical MP Direct Pxs</t>
  </si>
  <si>
    <t>act7105.000</t>
  </si>
  <si>
    <t>Mortgage Guaranty Direct Pxs</t>
  </si>
  <si>
    <t>act7106.000</t>
  </si>
  <si>
    <t>Ocean Marine Direct Pxs</t>
  </si>
  <si>
    <t>act7108.000</t>
  </si>
  <si>
    <t>Inland Marine Direct Pxs</t>
  </si>
  <si>
    <t>act7109.000</t>
  </si>
  <si>
    <t>Financial Guaranty Direct Pxs</t>
  </si>
  <si>
    <t>act7110.000</t>
  </si>
  <si>
    <t>MedMal Occur Direct Pxs</t>
  </si>
  <si>
    <t>act7111.100</t>
  </si>
  <si>
    <t>MedMal CM Direct Pxs</t>
  </si>
  <si>
    <t>act7111.200</t>
  </si>
  <si>
    <t>Earthquake Direct Pxs</t>
  </si>
  <si>
    <t>act7112.000</t>
  </si>
  <si>
    <t>Group A&amp;H Direct Pxs</t>
  </si>
  <si>
    <t>act7113.000</t>
  </si>
  <si>
    <t>Credit A&amp;H Direct Pxs</t>
  </si>
  <si>
    <t>act7114.000</t>
  </si>
  <si>
    <t>Other A&amp;H Direct Pxs</t>
  </si>
  <si>
    <t>act7115.000</t>
  </si>
  <si>
    <t>Workers' Comp Direct Pxs</t>
  </si>
  <si>
    <t>act7116.000</t>
  </si>
  <si>
    <t>Other Liab:Occur Direct Px</t>
  </si>
  <si>
    <t>act7117.100</t>
  </si>
  <si>
    <t>Other Liab:Clms Made Direct Px</t>
  </si>
  <si>
    <t>act7117.200</t>
  </si>
  <si>
    <t>Excess WC Direct Pxs</t>
  </si>
  <si>
    <t>act7117.300</t>
  </si>
  <si>
    <t>Product Liab-Occur Direct Pxs</t>
  </si>
  <si>
    <t>act7118.100</t>
  </si>
  <si>
    <t>Product Liab-Clms Made Direct Pxs</t>
  </si>
  <si>
    <t>act7118.200</t>
  </si>
  <si>
    <t>Private auto Direct Pxs</t>
  </si>
  <si>
    <t>act7119.100</t>
  </si>
  <si>
    <t>Commerical auto Direct Pxs</t>
  </si>
  <si>
    <t>act7119.300</t>
  </si>
  <si>
    <t>Auto PD Direct Pxs</t>
  </si>
  <si>
    <t>act7121.000</t>
  </si>
  <si>
    <t>Aircraft Direct Pxs</t>
  </si>
  <si>
    <t>act7122.000</t>
  </si>
  <si>
    <t>Fidelity Direct Pxs</t>
  </si>
  <si>
    <t>act7123.000</t>
  </si>
  <si>
    <t>Surety Direct Pxs</t>
  </si>
  <si>
    <t>act7124.000</t>
  </si>
  <si>
    <t>Theft Direct Pxs</t>
  </si>
  <si>
    <t>act7126.000</t>
  </si>
  <si>
    <t>Boiler &amp; Machinery Direct Pxs</t>
  </si>
  <si>
    <t>act7127.000</t>
  </si>
  <si>
    <t>Credit Direct Pxs</t>
  </si>
  <si>
    <t>act7128.000</t>
  </si>
  <si>
    <t>International Direct Pxs</t>
  </si>
  <si>
    <t>act7129.000</t>
  </si>
  <si>
    <t>Warranty Direct Pxs</t>
  </si>
  <si>
    <t>act7130.000</t>
  </si>
  <si>
    <t>Credit Life Direct Pxs</t>
  </si>
  <si>
    <t>act7134.100</t>
  </si>
  <si>
    <t>Direct Etch Premium</t>
  </si>
  <si>
    <t>act7134.200</t>
  </si>
  <si>
    <t>Direct T&amp;W Premium</t>
  </si>
  <si>
    <t>act7134.300</t>
  </si>
  <si>
    <t>Direct Other W/I Premium</t>
  </si>
  <si>
    <t>act7134.400</t>
  </si>
  <si>
    <t>Fire Assumed Pxs</t>
  </si>
  <si>
    <t>act7151.000</t>
  </si>
  <si>
    <t>Allied Lines Assumed Pxs</t>
  </si>
  <si>
    <t>act7152.000</t>
  </si>
  <si>
    <t xml:space="preserve">Industrial Life Direct Premiums </t>
  </si>
  <si>
    <t>act7152.100</t>
  </si>
  <si>
    <t xml:space="preserve">Ordinary Life Direct Premiums </t>
  </si>
  <si>
    <t>act7153.000</t>
  </si>
  <si>
    <t>Annuity Premiums (individual-direct)</t>
  </si>
  <si>
    <t>act7154.000</t>
  </si>
  <si>
    <t>Group Life Premiums (Direct)</t>
  </si>
  <si>
    <t>act7156.000</t>
  </si>
  <si>
    <t>Annuity Premiums (group-direct)</t>
  </si>
  <si>
    <t>act7157.000</t>
  </si>
  <si>
    <t>Group A&amp;H Premiums (Direct)</t>
  </si>
  <si>
    <t>act7158.000</t>
  </si>
  <si>
    <t>Other A&amp;H Direct Premiums</t>
  </si>
  <si>
    <t>act7160.000</t>
  </si>
  <si>
    <t>Experience Rating Credit (income)</t>
  </si>
  <si>
    <t>act7200.000</t>
  </si>
  <si>
    <t xml:space="preserve">Credit Life Assumed Pxs </t>
  </si>
  <si>
    <t>act7201.000</t>
  </si>
  <si>
    <t xml:space="preserve">Credit A&amp;H Assumed Pxs </t>
  </si>
  <si>
    <t>act7202.000</t>
  </si>
  <si>
    <t>Farmowners MP Assumed Pxs</t>
  </si>
  <si>
    <t>act7203.000</t>
  </si>
  <si>
    <t>Homeowners MP Assumed Pxs</t>
  </si>
  <si>
    <t>act7204.000</t>
  </si>
  <si>
    <t>Commerical MP Assumed Pxs</t>
  </si>
  <si>
    <t>act7205.000</t>
  </si>
  <si>
    <t>Mortgage Guaranty Assumed Pxs</t>
  </si>
  <si>
    <t>act7206.000</t>
  </si>
  <si>
    <t>Ocean Marine Assumed Pxs</t>
  </si>
  <si>
    <t>act7208.000</t>
  </si>
  <si>
    <t>Inland Marine Assumed Pxs</t>
  </si>
  <si>
    <t>act7209.000</t>
  </si>
  <si>
    <t>Financial Guaranty Assumed Pxs</t>
  </si>
  <si>
    <t>act7210.000</t>
  </si>
  <si>
    <t xml:space="preserve">MedMal Occur Assumed Pxs </t>
  </si>
  <si>
    <t>act7211.100</t>
  </si>
  <si>
    <t xml:space="preserve">MedMal CM Assumed Pxs </t>
  </si>
  <si>
    <t>act7211.200</t>
  </si>
  <si>
    <t>Earthquake Assumed Pxs</t>
  </si>
  <si>
    <t>act7212.000</t>
  </si>
  <si>
    <t>Group A&amp;H Assumed Pxs</t>
  </si>
  <si>
    <t>act7213.000</t>
  </si>
  <si>
    <t>Other A&amp;H Assumed Pxs</t>
  </si>
  <si>
    <t>act7215.000</t>
  </si>
  <si>
    <t xml:space="preserve">Workers' Comp Assumed Pxs </t>
  </si>
  <si>
    <t>act7216.000</t>
  </si>
  <si>
    <t>Other Liab:Occur Assmd Px</t>
  </si>
  <si>
    <t>act7217.100</t>
  </si>
  <si>
    <t>Other Liab:Clms Made Assmd Px</t>
  </si>
  <si>
    <t>act7217.200</t>
  </si>
  <si>
    <t>Excess WC Assumed Pxs</t>
  </si>
  <si>
    <t>act7217.300</t>
  </si>
  <si>
    <t>Product Liab-Occur Assumed Pxs</t>
  </si>
  <si>
    <t>act7218.100</t>
  </si>
  <si>
    <t>Product Liab-Clms Made Assumed Pxs</t>
  </si>
  <si>
    <t>act7218.200</t>
  </si>
  <si>
    <t>Private auto Assumed Pxs</t>
  </si>
  <si>
    <t>act7219.100</t>
  </si>
  <si>
    <t>Commerical auto Assumed Pxs</t>
  </si>
  <si>
    <t>act7219.300</t>
  </si>
  <si>
    <t>Auto PD Assumed Pxs</t>
  </si>
  <si>
    <t>act7221.000</t>
  </si>
  <si>
    <t>Aircraft Assumed Pxs</t>
  </si>
  <si>
    <t>act7222.000</t>
  </si>
  <si>
    <t>Fidelity Assumed Pxs</t>
  </si>
  <si>
    <t>act7223.000</t>
  </si>
  <si>
    <t>Surety Assumed Pxs</t>
  </si>
  <si>
    <t>act7224.000</t>
  </si>
  <si>
    <t>Theft Assumed Pxs</t>
  </si>
  <si>
    <t>act7226.000</t>
  </si>
  <si>
    <t>Boiler &amp; Machinery Assumed Pxs</t>
  </si>
  <si>
    <t>act7227.000</t>
  </si>
  <si>
    <t>Credit Assumed Pxs</t>
  </si>
  <si>
    <t>act7228.000</t>
  </si>
  <si>
    <t>International Assumed Pxs</t>
  </si>
  <si>
    <t>act7229.000</t>
  </si>
  <si>
    <t>Warranty Assumed Pxs</t>
  </si>
  <si>
    <t>act7230.000</t>
  </si>
  <si>
    <t>Etch Premium</t>
  </si>
  <si>
    <t>act7234.200</t>
  </si>
  <si>
    <t>Tire &amp; Wheel Premium</t>
  </si>
  <si>
    <t>act7234.300</t>
  </si>
  <si>
    <t>Other W/I Premium</t>
  </si>
  <si>
    <t>act7234.400</t>
  </si>
  <si>
    <t>Experience Rating Credit (expense)</t>
  </si>
  <si>
    <t>act7250.000</t>
  </si>
  <si>
    <t>Industrial Life Premiums Assumed</t>
  </si>
  <si>
    <t>act7252.000</t>
  </si>
  <si>
    <t>Ordinary Life Premiums Assumed</t>
  </si>
  <si>
    <t>act7253.000</t>
  </si>
  <si>
    <t>Annuity Premiums (individual-assumed)</t>
  </si>
  <si>
    <t>act7254.000</t>
  </si>
  <si>
    <t>Group Life Premiums (Assumed)</t>
  </si>
  <si>
    <t>act7256.000</t>
  </si>
  <si>
    <t>Annuity Premiums (group-assumed)</t>
  </si>
  <si>
    <t>act7257.000</t>
  </si>
  <si>
    <t>Group A&amp;H Premiums (Assumed)</t>
  </si>
  <si>
    <t>act7258.000</t>
  </si>
  <si>
    <t xml:space="preserve">Other A&amp;H Assumed Premiums </t>
  </si>
  <si>
    <t>act7260.000</t>
  </si>
  <si>
    <t>Fire Ceded Pxs</t>
  </si>
  <si>
    <t>act7301.000</t>
  </si>
  <si>
    <t>Fire Ceded Pxs Affl</t>
  </si>
  <si>
    <t>act7301.001</t>
  </si>
  <si>
    <t>Allied Lines Ceded Pxs</t>
  </si>
  <si>
    <t>act7302.000</t>
  </si>
  <si>
    <t>Allied Lines Ceded Pxs Affl</t>
  </si>
  <si>
    <t>act7302.001</t>
  </si>
  <si>
    <t>Farmowners MP Ceded Pxs</t>
  </si>
  <si>
    <t>act7303.000</t>
  </si>
  <si>
    <t>Farmowners MP Ceded Pxs Affl</t>
  </si>
  <si>
    <t>act7303.001</t>
  </si>
  <si>
    <t>Homeowners MP Ceded Pxs</t>
  </si>
  <si>
    <t>act7304.000</t>
  </si>
  <si>
    <t>Homeowners MP Ceded Pxs Affl</t>
  </si>
  <si>
    <t>act7304.001</t>
  </si>
  <si>
    <t>Commerical MP Ceded Pxs</t>
  </si>
  <si>
    <t>act7305.000</t>
  </si>
  <si>
    <t>Commerical MP Ceded Pxs Affl</t>
  </si>
  <si>
    <t>act7305.001</t>
  </si>
  <si>
    <t>Mortgage Guaranty Ceded Pxs</t>
  </si>
  <si>
    <t>act7306.000</t>
  </si>
  <si>
    <t>Mortgage Guaranty Ceded Pxs Affl</t>
  </si>
  <si>
    <t>act7306.001</t>
  </si>
  <si>
    <t>Ocean Marine Ceded Pxs</t>
  </si>
  <si>
    <t>act7308.000</t>
  </si>
  <si>
    <t>Ocean Marine Ceded Pxs Affl</t>
  </si>
  <si>
    <t>act7308.001</t>
  </si>
  <si>
    <t>Inland Marine Ceded Pxs</t>
  </si>
  <si>
    <t>act7309.000</t>
  </si>
  <si>
    <t>Inland Marine Ceded Pxs Affl</t>
  </si>
  <si>
    <t>act7309.001</t>
  </si>
  <si>
    <t>Financial Guaranty Ceded Pxs</t>
  </si>
  <si>
    <t>act7310.000</t>
  </si>
  <si>
    <t>Financial Guaranty Ceded Pxs Affl</t>
  </si>
  <si>
    <t>act7310.001</t>
  </si>
  <si>
    <t xml:space="preserve">MedMal Occur Ceded Pxs </t>
  </si>
  <si>
    <t>act7311.100</t>
  </si>
  <si>
    <t>MedMal Occur Ceded Px Affl</t>
  </si>
  <si>
    <t>act7311.101</t>
  </si>
  <si>
    <t xml:space="preserve">MedMal CM Ceded Pxs </t>
  </si>
  <si>
    <t>act7311.200</t>
  </si>
  <si>
    <t>Aff-MedMal CM Ceded</t>
  </si>
  <si>
    <t>act7311.201</t>
  </si>
  <si>
    <t>Earthquake Ceded Pxs</t>
  </si>
  <si>
    <t>act7312.000</t>
  </si>
  <si>
    <t>Earthquake Ceded Pxs Affl</t>
  </si>
  <si>
    <t>act7312.001</t>
  </si>
  <si>
    <t>Group A&amp;H Ceded Pxs</t>
  </si>
  <si>
    <t>act7313.000</t>
  </si>
  <si>
    <t>Group A&amp;H Ceded Pxs Affl</t>
  </si>
  <si>
    <t>act7313.001</t>
  </si>
  <si>
    <t xml:space="preserve">Credit A&amp;H Ceded Pxs </t>
  </si>
  <si>
    <t>act7314.000</t>
  </si>
  <si>
    <t>Credit A&amp;H Ceded Pxs:Affl.</t>
  </si>
  <si>
    <t>act7314.001</t>
  </si>
  <si>
    <t>Other A&amp;H Ceded Pxs</t>
  </si>
  <si>
    <t>act7315.000</t>
  </si>
  <si>
    <t>Other A&amp;H Ceded Pxs Affl</t>
  </si>
  <si>
    <t>act7315.001</t>
  </si>
  <si>
    <t xml:space="preserve">Workers' Comp Ceded Pxs </t>
  </si>
  <si>
    <t>act7316.000</t>
  </si>
  <si>
    <t>Workers' Comp Ceded Pxs:Affl.</t>
  </si>
  <si>
    <t>act7316.001</t>
  </si>
  <si>
    <t>Other Liab:Occur Ceded Px</t>
  </si>
  <si>
    <t>act7317.100</t>
  </si>
  <si>
    <t>Other Liab: Occur Ceded Pxs Affl</t>
  </si>
  <si>
    <t>act7317.101</t>
  </si>
  <si>
    <t>Other Liab:Clms Made Ceded Px</t>
  </si>
  <si>
    <t>act7317.200</t>
  </si>
  <si>
    <t>Other Liab: Claims  Made Ceded Pxs Affl</t>
  </si>
  <si>
    <t>act7317.201</t>
  </si>
  <si>
    <t>Excess WC Ceded Pxs</t>
  </si>
  <si>
    <t>act7317.300</t>
  </si>
  <si>
    <t>Excess WC Ceded Pxs Affl</t>
  </si>
  <si>
    <t>act7317.301</t>
  </si>
  <si>
    <t>Product Liab-Occur Ceded Pxs</t>
  </si>
  <si>
    <t>act7318.100</t>
  </si>
  <si>
    <t>Product Liab-Occur Ceded Pxs Affl</t>
  </si>
  <si>
    <t>act7318.101</t>
  </si>
  <si>
    <t>Product Liab-Clms Made Ceded Pxs</t>
  </si>
  <si>
    <t>act7318.200</t>
  </si>
  <si>
    <t>Product Liab-Clms Made Ceded Pxs Affl</t>
  </si>
  <si>
    <t>act7318.201</t>
  </si>
  <si>
    <t>Private auto Ceded Pxs</t>
  </si>
  <si>
    <t>act7319.100</t>
  </si>
  <si>
    <t>Private auto Ceded Pxs Affl</t>
  </si>
  <si>
    <t>act7319.101</t>
  </si>
  <si>
    <t>Commerical auto Ceded Pxs</t>
  </si>
  <si>
    <t>act7319.300</t>
  </si>
  <si>
    <t>Commerical auto Ceded Pxs Affl</t>
  </si>
  <si>
    <t>act7319.301</t>
  </si>
  <si>
    <t>Auto PD Ceded Pxs</t>
  </si>
  <si>
    <t>act7321.000</t>
  </si>
  <si>
    <t>Auto PD Ceded Pxs Affl</t>
  </si>
  <si>
    <t>act7321.001</t>
  </si>
  <si>
    <t>Aircraft Ceded Pxs</t>
  </si>
  <si>
    <t>act7322.000</t>
  </si>
  <si>
    <t>Aircraft Ceded Pxs Affl</t>
  </si>
  <si>
    <t>act7322.001</t>
  </si>
  <si>
    <t>Fidelity Ceded Pxs</t>
  </si>
  <si>
    <t>act7323.000</t>
  </si>
  <si>
    <t>Fidelity Ceded Pxs Affl</t>
  </si>
  <si>
    <t>act7323.001</t>
  </si>
  <si>
    <t>Surety Ceded Pxs</t>
  </si>
  <si>
    <t>act7324.000</t>
  </si>
  <si>
    <t>Surety Ceded Pxs Affl</t>
  </si>
  <si>
    <t>act7324.001</t>
  </si>
  <si>
    <t>Theft Ceded Pxs</t>
  </si>
  <si>
    <t>act7326.000</t>
  </si>
  <si>
    <t>Theft Ceded Pxs Affl</t>
  </si>
  <si>
    <t>act7326.001</t>
  </si>
  <si>
    <t>Boiler &amp; Machinery Ceded Pxs</t>
  </si>
  <si>
    <t>act7327.000</t>
  </si>
  <si>
    <t>Boiler &amp; Machinery Ceded Pxs Affl</t>
  </si>
  <si>
    <t>act7327.001</t>
  </si>
  <si>
    <t>Credit Ceded Pxs</t>
  </si>
  <si>
    <t>act7328.000</t>
  </si>
  <si>
    <t>Credit Ceded Pxs Affl</t>
  </si>
  <si>
    <t>act7328.001</t>
  </si>
  <si>
    <t>International Ceded Pxs</t>
  </si>
  <si>
    <t>act7329.000</t>
  </si>
  <si>
    <t>International Ceded Pxs Affl</t>
  </si>
  <si>
    <t>act7329.001</t>
  </si>
  <si>
    <t>Warranty Ceded Pxs</t>
  </si>
  <si>
    <t>act7330.000</t>
  </si>
  <si>
    <t>Warranty Ceded Pxs Affl</t>
  </si>
  <si>
    <t>act7330.001</t>
  </si>
  <si>
    <t xml:space="preserve">Credit Life Ceded Pxs </t>
  </si>
  <si>
    <t>act7334.100</t>
  </si>
  <si>
    <t>Credit Life Ceded Pxs:Affl.</t>
  </si>
  <si>
    <t>act7334.101</t>
  </si>
  <si>
    <t>Ceded Etch Premium</t>
  </si>
  <si>
    <t>act7334.200</t>
  </si>
  <si>
    <t>Ceded Etch Premium:Affl.</t>
  </si>
  <si>
    <t>act7334.201</t>
  </si>
  <si>
    <t>Ceded Tire &amp; Wheel Premium</t>
  </si>
  <si>
    <t>act7334.300</t>
  </si>
  <si>
    <t>Ceded Tire &amp; Wheel Premium:Affl.</t>
  </si>
  <si>
    <t>act7334.301</t>
  </si>
  <si>
    <t>Ceded Other W/I Premium</t>
  </si>
  <si>
    <t>act7334.400</t>
  </si>
  <si>
    <t>Ceded Other W/I Premium:Affl.</t>
  </si>
  <si>
    <t>act7334.401</t>
  </si>
  <si>
    <t>Commission Income (write-in)</t>
  </si>
  <si>
    <t>act7350.000</t>
  </si>
  <si>
    <t xml:space="preserve">Industrial Life Ceded Premiums </t>
  </si>
  <si>
    <t>act7352.000</t>
  </si>
  <si>
    <t xml:space="preserve">Ordinary Life Ceded Premiums </t>
  </si>
  <si>
    <t>act7353.000</t>
  </si>
  <si>
    <t>Annuity Premiums (individual-ceded)</t>
  </si>
  <si>
    <t>act7354.000</t>
  </si>
  <si>
    <t>Group Life Premiums (Ceded)</t>
  </si>
  <si>
    <t>act7356.000</t>
  </si>
  <si>
    <t>Annuity Premiums (group-ceded)</t>
  </si>
  <si>
    <t>act7357.000</t>
  </si>
  <si>
    <t xml:space="preserve">Credit A&amp;H Ceded Premiums </t>
  </si>
  <si>
    <t>act7358.000</t>
  </si>
  <si>
    <t xml:space="preserve">Other A&amp;H Ceded Premiums </t>
  </si>
  <si>
    <t>act7360.000</t>
  </si>
  <si>
    <t>Industrial Life comm-Ceded (single)</t>
  </si>
  <si>
    <t>act7652.000</t>
  </si>
  <si>
    <t>Industrial Life comm-Ceded (1st year)</t>
  </si>
  <si>
    <t>act7652.100</t>
  </si>
  <si>
    <t>Industrial Life comm-Ceded (renewal)</t>
  </si>
  <si>
    <t>act7652.200</t>
  </si>
  <si>
    <t>Ordinary Life comm-Ceded (single)</t>
  </si>
  <si>
    <t>act7653.000</t>
  </si>
  <si>
    <t>Ordinary Life comm-Ceded (1st year)</t>
  </si>
  <si>
    <t>act7653.100</t>
  </si>
  <si>
    <t>Ordinary Life comm-Ceded (renewal)</t>
  </si>
  <si>
    <t>act7653.200</t>
  </si>
  <si>
    <t>Indiv Annuity comm-Ceded (single)</t>
  </si>
  <si>
    <t>act7654.000</t>
  </si>
  <si>
    <t>Indiv Annuity comm-Ceded (1st year)</t>
  </si>
  <si>
    <t>act7654.100</t>
  </si>
  <si>
    <t>Indiv Annuity comm-Ceded (renewal)</t>
  </si>
  <si>
    <t>act7654.200</t>
  </si>
  <si>
    <t>Life credit comm-Ceded (single)</t>
  </si>
  <si>
    <t>act7655.000</t>
  </si>
  <si>
    <t>Life credit comm-Ceded (1st year)</t>
  </si>
  <si>
    <t>act7655.100</t>
  </si>
  <si>
    <t>Life credit comm-Ceded (renewal)</t>
  </si>
  <si>
    <t>act7655.200</t>
  </si>
  <si>
    <t>Group Life comm-Ceded (single)</t>
  </si>
  <si>
    <t>act7656.000</t>
  </si>
  <si>
    <t>Group Life comm-Ceded (1st year)</t>
  </si>
  <si>
    <t>act7656.100</t>
  </si>
  <si>
    <t>Group Life comm-Ceded (renewal)</t>
  </si>
  <si>
    <t>act7656.200</t>
  </si>
  <si>
    <t>Group Annuity comm-Ceded (single)</t>
  </si>
  <si>
    <t>act7657.000</t>
  </si>
  <si>
    <t>Group Annuity comm-Ceded (1st year)</t>
  </si>
  <si>
    <t>act7657.100</t>
  </si>
  <si>
    <t>Group Annuity comm-Ceded (renewal)</t>
  </si>
  <si>
    <t>act7657.200</t>
  </si>
  <si>
    <t>A&amp;H group comm-Ceded (single)</t>
  </si>
  <si>
    <t>act7658.000</t>
  </si>
  <si>
    <t>A&amp;H group comm-Ceded (1st year)</t>
  </si>
  <si>
    <t>act7658.100</t>
  </si>
  <si>
    <t>A&amp;H group comm-Ceded (renewal)</t>
  </si>
  <si>
    <t>act7658.200</t>
  </si>
  <si>
    <t>A&amp;H credit comm-Ceded (single)</t>
  </si>
  <si>
    <t>act7659.000</t>
  </si>
  <si>
    <t>A&amp;H credit comm-Ceded (1st year)</t>
  </si>
  <si>
    <t>act7659.100</t>
  </si>
  <si>
    <t>A&amp;H credit comm-Ceded (renewal)</t>
  </si>
  <si>
    <t>act7659.200</t>
  </si>
  <si>
    <t>Other A&amp;H comm-Ceded (single)</t>
  </si>
  <si>
    <t>act7660.000</t>
  </si>
  <si>
    <t>Other A&amp;H comm-Ceded (1st year)</t>
  </si>
  <si>
    <t>act7660.100</t>
  </si>
  <si>
    <t>Other A&amp;H comm-Ceded (renewal)</t>
  </si>
  <si>
    <t>act7660.200</t>
  </si>
  <si>
    <t>All other comm-Ceded (single)</t>
  </si>
  <si>
    <t>act7661.000</t>
  </si>
  <si>
    <t>All other comm-Ceded (1st year)</t>
  </si>
  <si>
    <t>act7661.100</t>
  </si>
  <si>
    <t>All other comm-Ceded (renewal)</t>
  </si>
  <si>
    <t>act7661.200</t>
  </si>
  <si>
    <t>Int On Affiliated Bonds</t>
  </si>
  <si>
    <t>act8001.000</t>
  </si>
  <si>
    <t>Int on Corporate Bonds</t>
  </si>
  <si>
    <t>act801?.000</t>
  </si>
  <si>
    <t>Int On Govt Bonds</t>
  </si>
  <si>
    <t>act8011.000</t>
  </si>
  <si>
    <t>Int On Tax Exempt Bonds</t>
  </si>
  <si>
    <t>act8013.000</t>
  </si>
  <si>
    <t>Int on Special Revenue Bonds</t>
  </si>
  <si>
    <t>act8014.000</t>
  </si>
  <si>
    <t>Int on Public Utility Bonds</t>
  </si>
  <si>
    <t>act8016.000</t>
  </si>
  <si>
    <t>act8017.000</t>
  </si>
  <si>
    <t>Int on CMO's</t>
  </si>
  <si>
    <t>act8018.000</t>
  </si>
  <si>
    <t>Int on Political Sub Bds</t>
  </si>
  <si>
    <t>act8019.000</t>
  </si>
  <si>
    <t xml:space="preserve">Divds on PS </t>
  </si>
  <si>
    <t>act8020.000</t>
  </si>
  <si>
    <t>Divds on PS:Public Utilies</t>
  </si>
  <si>
    <t>act8022.000</t>
  </si>
  <si>
    <t>Divds on PS:BTI</t>
  </si>
  <si>
    <t>act8023.000</t>
  </si>
  <si>
    <t>Divds on PS:Ind &amp; Misc</t>
  </si>
  <si>
    <t>act8024.000</t>
  </si>
  <si>
    <t>Divds on CS Unaffl</t>
  </si>
  <si>
    <t>act8030.000</t>
  </si>
  <si>
    <t>Divds on CS Unaffl:PU</t>
  </si>
  <si>
    <t>act8032.000</t>
  </si>
  <si>
    <t>Divds on CS Unaffl:BTI</t>
  </si>
  <si>
    <t>act8033.000</t>
  </si>
  <si>
    <t>Divds on CS Unaffl:Ind &amp; Misc</t>
  </si>
  <si>
    <t>act8034.000</t>
  </si>
  <si>
    <t>Divds Common Stks-Affls</t>
  </si>
  <si>
    <t>act8035.000</t>
  </si>
  <si>
    <t>Income Mtg Loans</t>
  </si>
  <si>
    <t>act8040.000</t>
  </si>
  <si>
    <t>act8074.000</t>
  </si>
  <si>
    <t>Int on Contract Loans</t>
  </si>
  <si>
    <t>act8075.000</t>
  </si>
  <si>
    <t>Int on Derivative Instruments</t>
  </si>
  <si>
    <t>act8076.000</t>
  </si>
  <si>
    <t>Int On Cash &amp; CD's</t>
  </si>
  <si>
    <t>act8111.000</t>
  </si>
  <si>
    <t>act8112.000</t>
  </si>
  <si>
    <t>act8113.000</t>
  </si>
  <si>
    <t>act8114.000</t>
  </si>
  <si>
    <t>Int on STI</t>
  </si>
  <si>
    <t>act8115.000</t>
  </si>
  <si>
    <t>Int On Money Markets</t>
  </si>
  <si>
    <t>act8121.000</t>
  </si>
  <si>
    <t>Int on Commerical Paper</t>
  </si>
  <si>
    <t>act8122.000</t>
  </si>
  <si>
    <t>Int On UST Bills</t>
  </si>
  <si>
    <t>act8123.000</t>
  </si>
  <si>
    <t>Int on Custodial Accts</t>
  </si>
  <si>
    <t>act8124.000</t>
  </si>
  <si>
    <t>Int on Accounts Recievable</t>
  </si>
  <si>
    <t>act8152.000</t>
  </si>
  <si>
    <t>Int-Funds Held</t>
  </si>
  <si>
    <t>act8154.000</t>
  </si>
  <si>
    <t>Int on Notes Recievable</t>
  </si>
  <si>
    <t>act8157.000</t>
  </si>
  <si>
    <t>act8159.000</t>
  </si>
  <si>
    <t>Inc-Investment Real Estate (incl. Rental income)</t>
  </si>
  <si>
    <t>act8162.000</t>
  </si>
  <si>
    <t>AD  Govt Bonds</t>
  </si>
  <si>
    <t>act8200.000</t>
  </si>
  <si>
    <t>AD Corp Bonds unaffl</t>
  </si>
  <si>
    <t>act8201.000</t>
  </si>
  <si>
    <t>AD Short Term Bonds unaffl</t>
  </si>
  <si>
    <t>act8202.000</t>
  </si>
  <si>
    <t>AD Tax Exempt Bonds-Life Cos</t>
  </si>
  <si>
    <t>act8203.000</t>
  </si>
  <si>
    <t>AD Tax Exempt Bonds-PC Cos</t>
  </si>
  <si>
    <t>act8204.000</t>
  </si>
  <si>
    <t>AD Mortgage Loans</t>
  </si>
  <si>
    <t>act8205.000</t>
  </si>
  <si>
    <t>AP Govt Bonds</t>
  </si>
  <si>
    <t>act8210.000</t>
  </si>
  <si>
    <t>AP Corp Bonds Unaffl</t>
  </si>
  <si>
    <t>act8211.000</t>
  </si>
  <si>
    <t>AP Short Term Bonds</t>
  </si>
  <si>
    <t>act8212.000</t>
  </si>
  <si>
    <t>AP Tax Exempt Bonds-Life Cos</t>
  </si>
  <si>
    <t>act8213.000</t>
  </si>
  <si>
    <t>AP Tax Exempt Bonds-PC Cos</t>
  </si>
  <si>
    <t>act8214.000</t>
  </si>
  <si>
    <t>AP Mortgage Loans</t>
  </si>
  <si>
    <t>act8215.000</t>
  </si>
  <si>
    <t>Paid For Accd Int Govt Bonds</t>
  </si>
  <si>
    <t>act8220.000</t>
  </si>
  <si>
    <t>Paid For Accd Int Corp Bonds</t>
  </si>
  <si>
    <t>act8221.000</t>
  </si>
  <si>
    <t>Paid For Accd Int ST Bonds</t>
  </si>
  <si>
    <t>act8222.000</t>
  </si>
  <si>
    <t>Paid For Accd Int Pfd Stock</t>
  </si>
  <si>
    <t>act8223.000</t>
  </si>
  <si>
    <t>Paid For Accd Int TE Bonds</t>
  </si>
  <si>
    <t>act8224.000</t>
  </si>
  <si>
    <t>Paid For Accd Int Mortgage Loans</t>
  </si>
  <si>
    <t>act8225.000</t>
  </si>
  <si>
    <t>Capital Gain US Govt Bonds</t>
  </si>
  <si>
    <t>act8230.000</t>
  </si>
  <si>
    <t>Capital Gain Other Bonds</t>
  </si>
  <si>
    <t>act8231.000</t>
  </si>
  <si>
    <t>Capital Gain Pfd Stock Unaffl</t>
  </si>
  <si>
    <t>act8232.000</t>
  </si>
  <si>
    <t>Capital Gain CS Unaffl</t>
  </si>
  <si>
    <t>act8233.000</t>
  </si>
  <si>
    <t>Capital Gain Common Stock Affl</t>
  </si>
  <si>
    <t>act8233.100</t>
  </si>
  <si>
    <t>Capital Gain Real Estate</t>
  </si>
  <si>
    <t>act8234.000</t>
  </si>
  <si>
    <t>Capital Gain Cash &amp; CD's</t>
  </si>
  <si>
    <t>act8235.000</t>
  </si>
  <si>
    <t>Capital Gain STI</t>
  </si>
  <si>
    <t>act8236.000</t>
  </si>
  <si>
    <t>Capital Gain:Otr Invest Asset</t>
  </si>
  <si>
    <t>act8237.000</t>
  </si>
  <si>
    <t>Capital Gain Write-In</t>
  </si>
  <si>
    <t>act8238.000</t>
  </si>
  <si>
    <t>Capital Gain Govt Bonds-TE</t>
  </si>
  <si>
    <t>act8239.000</t>
  </si>
  <si>
    <t>Capital US Govt Bonds Loss</t>
  </si>
  <si>
    <t>act8240.000</t>
  </si>
  <si>
    <t>Capital Loss Other Bonds</t>
  </si>
  <si>
    <t>act8241.000</t>
  </si>
  <si>
    <t>Capital Loss Pfd Stock Unaffl</t>
  </si>
  <si>
    <t>act8242.000</t>
  </si>
  <si>
    <t>Capital Loss CS Unaffl</t>
  </si>
  <si>
    <t>act8243.000</t>
  </si>
  <si>
    <t>Capital Loss Real Estate</t>
  </si>
  <si>
    <t>act8244.000</t>
  </si>
  <si>
    <t>Capital Loss Cash &amp; CD's</t>
  </si>
  <si>
    <t>act8245.000</t>
  </si>
  <si>
    <t>Capital Loss STI</t>
  </si>
  <si>
    <t>act8246.000</t>
  </si>
  <si>
    <t>Cap Loss:Other Invest Assets</t>
  </si>
  <si>
    <t>act8247.000</t>
  </si>
  <si>
    <t>Capital Loss Write-In</t>
  </si>
  <si>
    <t>act8248.000</t>
  </si>
  <si>
    <t>Capital Loss:Automobiles</t>
  </si>
  <si>
    <t>act8249.000</t>
  </si>
  <si>
    <t>Capital Gain:Mortgage Loans</t>
  </si>
  <si>
    <t>act8250.000</t>
  </si>
  <si>
    <t>Capital Loss:Mortgage Loans</t>
  </si>
  <si>
    <t>act8251.000</t>
  </si>
  <si>
    <t>Int Expense-Surplus Notes</t>
  </si>
  <si>
    <t>act8300.000</t>
  </si>
  <si>
    <t>Int Expense-Capital Notes</t>
  </si>
  <si>
    <t>act8301.000</t>
  </si>
  <si>
    <t>Int Expense Write-In</t>
  </si>
  <si>
    <t>act8310.000</t>
  </si>
  <si>
    <t>Miscellaneous Income</t>
  </si>
  <si>
    <t>act8400.000</t>
  </si>
  <si>
    <t>Administrative Services Income</t>
  </si>
  <si>
    <t>act8401.000</t>
  </si>
  <si>
    <t>Income Write-In</t>
  </si>
  <si>
    <t>act8500.000</t>
  </si>
  <si>
    <t>act8510.000</t>
  </si>
  <si>
    <t>All Agnt Comm-Direct</t>
  </si>
  <si>
    <t>act9100.000</t>
  </si>
  <si>
    <t>Direct Fire Claims</t>
  </si>
  <si>
    <t>act9101.000</t>
  </si>
  <si>
    <t>Direct Allied Lines Claims</t>
  </si>
  <si>
    <t>act9102.000</t>
  </si>
  <si>
    <t>Direct Farmowners MP Claims</t>
  </si>
  <si>
    <t>act9103.000</t>
  </si>
  <si>
    <t>Direct Homeowners MP Claims</t>
  </si>
  <si>
    <t>act9104.000</t>
  </si>
  <si>
    <t>Direct Commerical MP Claims</t>
  </si>
  <si>
    <t>act9105.000</t>
  </si>
  <si>
    <t>Direct Mortgage Guaranty Claims</t>
  </si>
  <si>
    <t>act9106.000</t>
  </si>
  <si>
    <t>Direct Ocean Marine Claims</t>
  </si>
  <si>
    <t>act9108.000</t>
  </si>
  <si>
    <t>Direct Inland Marine Claims</t>
  </si>
  <si>
    <t>act9109.000</t>
  </si>
  <si>
    <t>Direct Financial Guaranty Claims</t>
  </si>
  <si>
    <t>act9110.000</t>
  </si>
  <si>
    <t>Direct MedMal Occur Claims</t>
  </si>
  <si>
    <t>act9111.100</t>
  </si>
  <si>
    <t>Direct MedMal CM Claims</t>
  </si>
  <si>
    <t>act9111.200</t>
  </si>
  <si>
    <t>Direct Earthquake Claims</t>
  </si>
  <si>
    <t>act9112.000</t>
  </si>
  <si>
    <t>Direct Group A&amp;H Claims</t>
  </si>
  <si>
    <t>act9113.000</t>
  </si>
  <si>
    <t>Credit A&amp;H Clms-Direct Claims</t>
  </si>
  <si>
    <t>act9114.000</t>
  </si>
  <si>
    <t>Direct Other A&amp;H Claims</t>
  </si>
  <si>
    <t>act9115.000</t>
  </si>
  <si>
    <t>Workers' Comp Clms-Direct Claims</t>
  </si>
  <si>
    <t>act9116.000</t>
  </si>
  <si>
    <t>Other Liab Occur-Direct Claims</t>
  </si>
  <si>
    <t>act9117.100</t>
  </si>
  <si>
    <t>Other Liab Clms Made-Direct Claims</t>
  </si>
  <si>
    <t>act9117.200</t>
  </si>
  <si>
    <t>Direct Excess WC Claims</t>
  </si>
  <si>
    <t>act9117.300</t>
  </si>
  <si>
    <t>Direct Product Liab-Occur Claims</t>
  </si>
  <si>
    <t>act9118.100</t>
  </si>
  <si>
    <t>Direct Product Liab-Clms Made Claims</t>
  </si>
  <si>
    <t>act9118.200</t>
  </si>
  <si>
    <t>Direct Private auto Claims</t>
  </si>
  <si>
    <t>act9119.100</t>
  </si>
  <si>
    <t>Direct Commerical auto Claims</t>
  </si>
  <si>
    <t>act9119.300</t>
  </si>
  <si>
    <t>Direct Auto PD Claims</t>
  </si>
  <si>
    <t>act9121.000</t>
  </si>
  <si>
    <t>Direct Aircraft Claims</t>
  </si>
  <si>
    <t>act9122.000</t>
  </si>
  <si>
    <t>Direct Fidelity Claims</t>
  </si>
  <si>
    <t>act9123.000</t>
  </si>
  <si>
    <t>Direct Surety Claims</t>
  </si>
  <si>
    <t>act9124.000</t>
  </si>
  <si>
    <t>Direct Theft Claims</t>
  </si>
  <si>
    <t>act9126.000</t>
  </si>
  <si>
    <t>Direct Boiler &amp; Machinery Claims</t>
  </si>
  <si>
    <t>act9127.000</t>
  </si>
  <si>
    <t>Direct Credit Claims</t>
  </si>
  <si>
    <t>act9128.000</t>
  </si>
  <si>
    <t>Direct International Claims</t>
  </si>
  <si>
    <t>act9129.000</t>
  </si>
  <si>
    <t>Direct Warranty Claims</t>
  </si>
  <si>
    <t>act9130.000</t>
  </si>
  <si>
    <t>Credit Life Clms-Direct</t>
  </si>
  <si>
    <t>act9134.100</t>
  </si>
  <si>
    <t>Direct Etch Claims</t>
  </si>
  <si>
    <t>act9134.200</t>
  </si>
  <si>
    <t>Direct Tire &amp; Wheel Claims</t>
  </si>
  <si>
    <t>act9134.300</t>
  </si>
  <si>
    <t>Direct Other W/I Claims</t>
  </si>
  <si>
    <t>act9134.400</t>
  </si>
  <si>
    <t xml:space="preserve">Industrial Life Claims-Direct </t>
  </si>
  <si>
    <t>act9152.000</t>
  </si>
  <si>
    <t xml:space="preserve">Ordinary Life Claims-Direct </t>
  </si>
  <si>
    <t>act9153.000</t>
  </si>
  <si>
    <t>Direct Annuity benefits, Ordinary</t>
  </si>
  <si>
    <t>act9154.000</t>
  </si>
  <si>
    <t>Surrender benefits, Ordinary (net)</t>
  </si>
  <si>
    <t>act9154.100</t>
  </si>
  <si>
    <t xml:space="preserve">Supp Claims-Direct </t>
  </si>
  <si>
    <t>act9155.000</t>
  </si>
  <si>
    <t xml:space="preserve">Group Life Claims-Direct </t>
  </si>
  <si>
    <t>act9157.000</t>
  </si>
  <si>
    <t>Direct Annuity Benefits, Group</t>
  </si>
  <si>
    <t>act9158.000</t>
  </si>
  <si>
    <t>Surrender benefits, Group (net)</t>
  </si>
  <si>
    <t>act9158.100</t>
  </si>
  <si>
    <t>Group A&amp;H Claims-Direct</t>
  </si>
  <si>
    <t>act9159.000</t>
  </si>
  <si>
    <t>Other A&amp;H Claims-Direct</t>
  </si>
  <si>
    <t>act9161.000</t>
  </si>
  <si>
    <t>Assumed Theft Claims</t>
  </si>
  <si>
    <t>act9176.000</t>
  </si>
  <si>
    <t>Loss Adj Expenses: Assumed</t>
  </si>
  <si>
    <t>act9200.000</t>
  </si>
  <si>
    <t>Assumed Fire Claims</t>
  </si>
  <si>
    <t>act9201.000</t>
  </si>
  <si>
    <t>Assumed Allied Lines Claims</t>
  </si>
  <si>
    <t>act9202.000</t>
  </si>
  <si>
    <t>Assumed Farmowners MP Claims</t>
  </si>
  <si>
    <t>act9203.000</t>
  </si>
  <si>
    <t>Assumed Homeowners MP Claims</t>
  </si>
  <si>
    <t>act9204.000</t>
  </si>
  <si>
    <t>Assumed Commerical MP Claims</t>
  </si>
  <si>
    <t>act9205.000</t>
  </si>
  <si>
    <t>Assumed Mortgage Guaranty Claims</t>
  </si>
  <si>
    <t>act9206.000</t>
  </si>
  <si>
    <t>Assumed Ocean Marine Claims</t>
  </si>
  <si>
    <t>act9208.000</t>
  </si>
  <si>
    <t>Assumed Inland Marine Claims</t>
  </si>
  <si>
    <t>act9209.000</t>
  </si>
  <si>
    <t>Assumed Financial Guaranty Claims</t>
  </si>
  <si>
    <t>act9210.000</t>
  </si>
  <si>
    <t>Assumed MedMal Occur Claims</t>
  </si>
  <si>
    <t>act9211.100</t>
  </si>
  <si>
    <t>Assumed MedMal CM Claims</t>
  </si>
  <si>
    <t>act9211.200</t>
  </si>
  <si>
    <t>Assumed Earthquake Claims</t>
  </si>
  <si>
    <t>act9212.000</t>
  </si>
  <si>
    <t>Assumed Group A&amp;H Claims</t>
  </si>
  <si>
    <t>act9213.000</t>
  </si>
  <si>
    <t>Assumed Other A&amp;H Claims</t>
  </si>
  <si>
    <t>act9215.000</t>
  </si>
  <si>
    <t>Workers' Comp Clms-Assumed Claims</t>
  </si>
  <si>
    <t>act9216.000</t>
  </si>
  <si>
    <t>Other Liab Occur-Assumed Claims</t>
  </si>
  <si>
    <t>act9217.100</t>
  </si>
  <si>
    <t>Other Liab Clms Made-Assumed Claims</t>
  </si>
  <si>
    <t>act9217.200</t>
  </si>
  <si>
    <t>Assumed Excess WC Claims</t>
  </si>
  <si>
    <t>act9217.300</t>
  </si>
  <si>
    <t>Assumed Product Liab-Occur Claims</t>
  </si>
  <si>
    <t>act9218.100</t>
  </si>
  <si>
    <t>Assumed Product Liab-Clms Made Claims</t>
  </si>
  <si>
    <t>act9218.200</t>
  </si>
  <si>
    <t>Assumed Private auto Claims</t>
  </si>
  <si>
    <t>act9219.100</t>
  </si>
  <si>
    <t>Assumed Commerical auto Claims</t>
  </si>
  <si>
    <t>act9219.300</t>
  </si>
  <si>
    <t>All Premium Taxes:Assumed</t>
  </si>
  <si>
    <t>act9220.000</t>
  </si>
  <si>
    <t>Assumed Auto PD Claims</t>
  </si>
  <si>
    <t>act9221.000</t>
  </si>
  <si>
    <t>Assumed Aircraft Claims</t>
  </si>
  <si>
    <t>act9222.000</t>
  </si>
  <si>
    <t>Assumed Fidelity Claims</t>
  </si>
  <si>
    <t>act9223.000</t>
  </si>
  <si>
    <t>Assumed Surety Claims</t>
  </si>
  <si>
    <t>act9224.000</t>
  </si>
  <si>
    <t>Credit Life Clms-Assumed</t>
  </si>
  <si>
    <t>act9225.000</t>
  </si>
  <si>
    <t>Credit A&amp;H Clms-Assumed</t>
  </si>
  <si>
    <t>act9226.000</t>
  </si>
  <si>
    <t>Assumed Boiler &amp; Machinery Claims</t>
  </si>
  <si>
    <t>act9227.000</t>
  </si>
  <si>
    <t>Assumed Credit Claims</t>
  </si>
  <si>
    <t>act9228.000</t>
  </si>
  <si>
    <t>Assumed International Claims</t>
  </si>
  <si>
    <t>act9229.000</t>
  </si>
  <si>
    <t xml:space="preserve">Life Claim Expense </t>
  </si>
  <si>
    <t>act9229.100</t>
  </si>
  <si>
    <t>A&amp;H Claim Expense</t>
  </si>
  <si>
    <t>act9229.200</t>
  </si>
  <si>
    <t>Assumed Warranty Claims</t>
  </si>
  <si>
    <t>act9230.000</t>
  </si>
  <si>
    <t>Assumed Etch Claims</t>
  </si>
  <si>
    <t>act9234.200</t>
  </si>
  <si>
    <t>Assumed T&amp;W Claims</t>
  </si>
  <si>
    <t>act9234.300</t>
  </si>
  <si>
    <t>Assumed Other W/I Claims</t>
  </si>
  <si>
    <t>act9234.400</t>
  </si>
  <si>
    <t>Industrial Life Claims-Assumed</t>
  </si>
  <si>
    <t>act9252.000</t>
  </si>
  <si>
    <t>Ordinary Life Claims-Assumed</t>
  </si>
  <si>
    <t>act9253.000</t>
  </si>
  <si>
    <t>Assumed Annuity benefits, Ordinary</t>
  </si>
  <si>
    <t>act9254.000</t>
  </si>
  <si>
    <t>Supp Claims-Assumed</t>
  </si>
  <si>
    <t>act9255.000</t>
  </si>
  <si>
    <t>Group Life Claims-Assumed</t>
  </si>
  <si>
    <t>act9257.000</t>
  </si>
  <si>
    <t>Assumed Annuity Benefits, Group</t>
  </si>
  <si>
    <t>act9258.000</t>
  </si>
  <si>
    <t>Group A&amp;H Claims - Assumed</t>
  </si>
  <si>
    <t>act9259.000</t>
  </si>
  <si>
    <t>Other A&amp;H Claims - Assumed</t>
  </si>
  <si>
    <t>act9261.000</t>
  </si>
  <si>
    <t>Loss Adj Expenses: Ceded</t>
  </si>
  <si>
    <t>act9300.000</t>
  </si>
  <si>
    <t>Ceded Fire Claims</t>
  </si>
  <si>
    <t>act9301.000</t>
  </si>
  <si>
    <t>Ceded Allied Lines Claims</t>
  </si>
  <si>
    <t>act9302.000</t>
  </si>
  <si>
    <t>Ceded Farmowners MP Claims</t>
  </si>
  <si>
    <t>act9303.000</t>
  </si>
  <si>
    <t>Ceded Homeowners MP Claims</t>
  </si>
  <si>
    <t>act9304.000</t>
  </si>
  <si>
    <t>Ceded Commerical MP Claims</t>
  </si>
  <si>
    <t>act9305.000</t>
  </si>
  <si>
    <t>Ceded Mortgage Guaranty Claims</t>
  </si>
  <si>
    <t>act9306.000</t>
  </si>
  <si>
    <t>Ceded Ocean Marine Claims</t>
  </si>
  <si>
    <t>act9308.000</t>
  </si>
  <si>
    <t>Ceded Inland Marine Claims</t>
  </si>
  <si>
    <t>act9309.000</t>
  </si>
  <si>
    <t>Ceded Financial Guaranty Claims</t>
  </si>
  <si>
    <t>act9310.000</t>
  </si>
  <si>
    <t>Ceded MedMal Occur Claims</t>
  </si>
  <si>
    <t>act9311.100</t>
  </si>
  <si>
    <t>Ceded MedMal CM Claims</t>
  </si>
  <si>
    <t>act9311.200</t>
  </si>
  <si>
    <t>Ceded Earthquake Claims</t>
  </si>
  <si>
    <t>act9312.000</t>
  </si>
  <si>
    <t>Ceded Group A&amp;H Claims</t>
  </si>
  <si>
    <t>act9313.000</t>
  </si>
  <si>
    <t>Credit A&amp;H Clms-Ceded</t>
  </si>
  <si>
    <t>act9314.000</t>
  </si>
  <si>
    <t>Ceded Other A&amp;H Claims</t>
  </si>
  <si>
    <t>act9315.000</t>
  </si>
  <si>
    <t>Workers' Comp Clms-Ceded Claims</t>
  </si>
  <si>
    <t>act9316.000</t>
  </si>
  <si>
    <t>Other Liab Occur-Ceded Claims</t>
  </si>
  <si>
    <t>act9317.100</t>
  </si>
  <si>
    <t>Other Liab Clms Made-Ceded Claims</t>
  </si>
  <si>
    <t>act9317.200</t>
  </si>
  <si>
    <t>Ceded Excess WC Claims</t>
  </si>
  <si>
    <t>act9317.300</t>
  </si>
  <si>
    <t>Ceded Product Liab-Occur Claims</t>
  </si>
  <si>
    <t>act9318.100</t>
  </si>
  <si>
    <t>Ceded Product Liab-Clms Made Claims</t>
  </si>
  <si>
    <t>act9318.200</t>
  </si>
  <si>
    <t>Ceded Private auto Claims</t>
  </si>
  <si>
    <t>act9319.100</t>
  </si>
  <si>
    <t>Ceded Commerical auto Claims</t>
  </si>
  <si>
    <t>act9319.300</t>
  </si>
  <si>
    <t>All Premium Taxes:Ceded</t>
  </si>
  <si>
    <t>act9320.000</t>
  </si>
  <si>
    <t>Ceded Auto PD Claims</t>
  </si>
  <si>
    <t>act9321.000</t>
  </si>
  <si>
    <t>Ceded Aircraft Claims</t>
  </si>
  <si>
    <t>act9322.000</t>
  </si>
  <si>
    <t>Ceded Fidelity Claims</t>
  </si>
  <si>
    <t>act9323.000</t>
  </si>
  <si>
    <t>Ceded Surety Claims</t>
  </si>
  <si>
    <t>act9324.000</t>
  </si>
  <si>
    <t>Ceded Theft Claims</t>
  </si>
  <si>
    <t>act9326.000</t>
  </si>
  <si>
    <t>Ceded Boiler &amp; Machinery Claims</t>
  </si>
  <si>
    <t>act9327.000</t>
  </si>
  <si>
    <t>Ceded Credit Claims</t>
  </si>
  <si>
    <t>act9328.000</t>
  </si>
  <si>
    <t>Ceded International Claims</t>
  </si>
  <si>
    <t>act9329.000</t>
  </si>
  <si>
    <t>Ceded Warranty Claims</t>
  </si>
  <si>
    <t>act9330.000</t>
  </si>
  <si>
    <t>Credit Life Clms-Ceded</t>
  </si>
  <si>
    <t>act9334.100</t>
  </si>
  <si>
    <t>Ceded Etch Claims</t>
  </si>
  <si>
    <t>act9334.200</t>
  </si>
  <si>
    <t>Ceded T&amp;W Claims</t>
  </si>
  <si>
    <t>act9334.300</t>
  </si>
  <si>
    <t>Ceded Other W/I Claims</t>
  </si>
  <si>
    <t>act9334.400</t>
  </si>
  <si>
    <t xml:space="preserve">Industrial Life Claims - Ceded </t>
  </si>
  <si>
    <t>act9352.000</t>
  </si>
  <si>
    <t xml:space="preserve">Ordinary Life Claims - Ceded </t>
  </si>
  <si>
    <t>act9353.000</t>
  </si>
  <si>
    <t>Ceded Annuity benefits, Ordinary</t>
  </si>
  <si>
    <t>act9354.000</t>
  </si>
  <si>
    <t xml:space="preserve">Supp Claims - Ceded </t>
  </si>
  <si>
    <t>act9355.000</t>
  </si>
  <si>
    <t xml:space="preserve">Group Life Claims - Ceded </t>
  </si>
  <si>
    <t>act9357.000</t>
  </si>
  <si>
    <t>Ceded Annuity Benefits, Group</t>
  </si>
  <si>
    <t>act9358.000</t>
  </si>
  <si>
    <t>Group A&amp;H Claims - Ceded</t>
  </si>
  <si>
    <t>act9359.000</t>
  </si>
  <si>
    <t>Other A&amp;H Claims - Ceded</t>
  </si>
  <si>
    <t>act9361.000</t>
  </si>
  <si>
    <t>Loss Adj Expenses:Direct (Fire)</t>
  </si>
  <si>
    <t>act9401.000</t>
  </si>
  <si>
    <t>Loss Adj Expenses:Direct (Allied Lines)</t>
  </si>
  <si>
    <t>act9402.000</t>
  </si>
  <si>
    <t>Loss Adj Expenses:Direct (Farmowners MP)</t>
  </si>
  <si>
    <t>act9403.000</t>
  </si>
  <si>
    <t>Loss Adj Expenses:Direct (Homeowners MP)</t>
  </si>
  <si>
    <t>act9404.000</t>
  </si>
  <si>
    <t>Loss Adj Expenses:Direct (Commerical MP)</t>
  </si>
  <si>
    <t>act9405.000</t>
  </si>
  <si>
    <t>Loss Adj Expenses:Direct (Mortgage Guaranty)</t>
  </si>
  <si>
    <t>act9406.000</t>
  </si>
  <si>
    <t>Loss Adj Expenses:Direct (Ocean Marine)</t>
  </si>
  <si>
    <t>act9408.000</t>
  </si>
  <si>
    <t>Loss Adj Expenses:Direct (Inland Marine)</t>
  </si>
  <si>
    <t>act9409.000</t>
  </si>
  <si>
    <t>Loss Adj Expenses:Direct (Financial Guaranty)</t>
  </si>
  <si>
    <t>act9410.000</t>
  </si>
  <si>
    <t>Loss Adj Expenses:Direct (MedMal Occur)</t>
  </si>
  <si>
    <t>act9411.100</t>
  </si>
  <si>
    <t>Loss Adj Expenses:Direct (MedMal CM)</t>
  </si>
  <si>
    <t>act9411.200</t>
  </si>
  <si>
    <t>Loss Adj Expenses:Direct (Earthquake)</t>
  </si>
  <si>
    <t>act9412.000</t>
  </si>
  <si>
    <t>Loss Adj Expenses:Direct (Group A&amp;H)</t>
  </si>
  <si>
    <t>act9413.000</t>
  </si>
  <si>
    <t>Loss Adj Expenses:Direct Claims (Credit A&amp;H)</t>
  </si>
  <si>
    <t>act9414.000</t>
  </si>
  <si>
    <t>Loss Adj Expenses:Direct (Other A&amp;H)</t>
  </si>
  <si>
    <t>act9415.000</t>
  </si>
  <si>
    <t>Loss Adj Expenses:Direct Claims (WC)</t>
  </si>
  <si>
    <t>act9416.000</t>
  </si>
  <si>
    <t>Loss Adj Expenses:Direct Claims (Other Liab:)</t>
  </si>
  <si>
    <t>act9417.100</t>
  </si>
  <si>
    <t>act9417.200</t>
  </si>
  <si>
    <t>Loss Adj Expenses:Direct (Excess WC)</t>
  </si>
  <si>
    <t>act9417.300</t>
  </si>
  <si>
    <t>Loss Adj Expenses:Direct (Product Liab-Occur)</t>
  </si>
  <si>
    <t>act9418.100</t>
  </si>
  <si>
    <t>Loss Adj Expenses:Direct (Product Liab-Clms Made)</t>
  </si>
  <si>
    <t>act9418.200</t>
  </si>
  <si>
    <t>Loss Adj Expenses:Direct (Private auto)</t>
  </si>
  <si>
    <t>act9419.100</t>
  </si>
  <si>
    <t>Loss Adj Expenses:Direct (Commerical auto)</t>
  </si>
  <si>
    <t>act9419.300</t>
  </si>
  <si>
    <t>All Premium Taxes:Direct</t>
  </si>
  <si>
    <t>act9420.000</t>
  </si>
  <si>
    <t>Loss Adj Expenses:Direct (Auto PD)</t>
  </si>
  <si>
    <t>act9421.000</t>
  </si>
  <si>
    <t>Loss Adj Expenses:Direct (Aircraft)</t>
  </si>
  <si>
    <t>act9422.000</t>
  </si>
  <si>
    <t>Loss Adj Expenses:Direct (Fidelity)</t>
  </si>
  <si>
    <t>act9423.000</t>
  </si>
  <si>
    <t>Loss Adj Expenses:Direct (Surety)</t>
  </si>
  <si>
    <t>act9424.000</t>
  </si>
  <si>
    <t>Loss Adj Expenses:Direct (Theft)</t>
  </si>
  <si>
    <t>act9426.000</t>
  </si>
  <si>
    <t>Loss Adj Expenses:Direct (Boiler &amp; Machinery)</t>
  </si>
  <si>
    <t>act9427.000</t>
  </si>
  <si>
    <t>Loss Adj Expenses:Direct (Credit)</t>
  </si>
  <si>
    <t>act9428.000</t>
  </si>
  <si>
    <t>Loss Adj Expenses:Direct (International)</t>
  </si>
  <si>
    <t>act9429.000</t>
  </si>
  <si>
    <t>Loss Adj Expenses:Direct (Warranty)</t>
  </si>
  <si>
    <t>act9430.000</t>
  </si>
  <si>
    <t>Loss Adj Expenses:Direct (Credit Life)</t>
  </si>
  <si>
    <t>act9434.100</t>
  </si>
  <si>
    <t>Loss Adj Expenses:Direct (Etch)</t>
  </si>
  <si>
    <t>act9434.200</t>
  </si>
  <si>
    <t>Loss Adj Expenses:Direct (T&amp;W)</t>
  </si>
  <si>
    <t>act9434.300</t>
  </si>
  <si>
    <t>Loss Adj Expenses:Direct (Other W/I)</t>
  </si>
  <si>
    <t>act9434.400</t>
  </si>
  <si>
    <t>Consulting</t>
  </si>
  <si>
    <t>act9500.000</t>
  </si>
  <si>
    <t>Real Estate Expenses</t>
  </si>
  <si>
    <t>act9501.000</t>
  </si>
  <si>
    <t>Inspection Report fees</t>
  </si>
  <si>
    <t>act9505.000</t>
  </si>
  <si>
    <t>Legal Fees</t>
  </si>
  <si>
    <t>act9509.000</t>
  </si>
  <si>
    <t>Bonus'</t>
  </si>
  <si>
    <t>act9510.000</t>
  </si>
  <si>
    <t>Donations</t>
  </si>
  <si>
    <t>act9511.000</t>
  </si>
  <si>
    <t>Accounting &amp; Actuarial Fees</t>
  </si>
  <si>
    <t>act9512.000</t>
  </si>
  <si>
    <t>Misc Life/A&amp;H Expenses</t>
  </si>
  <si>
    <t>act9513.000</t>
  </si>
  <si>
    <t>Travel &amp; Entertainment Exp</t>
  </si>
  <si>
    <t>act9514.000</t>
  </si>
  <si>
    <t>Equipment Expense</t>
  </si>
  <si>
    <t>act9515.000</t>
  </si>
  <si>
    <t>Postage &amp; phone</t>
  </si>
  <si>
    <t>act9516.000</t>
  </si>
  <si>
    <t>Data Processing</t>
  </si>
  <si>
    <t>act9517.000</t>
  </si>
  <si>
    <t>Cost/Depr. Furniture &amp; Equip</t>
  </si>
  <si>
    <t>act9518.000</t>
  </si>
  <si>
    <t>Books &amp; Periodicals</t>
  </si>
  <si>
    <t>act9520.000</t>
  </si>
  <si>
    <t>Bureau &amp; Association Dues</t>
  </si>
  <si>
    <t>act9521.000</t>
  </si>
  <si>
    <t>Agency Expense Allowance</t>
  </si>
  <si>
    <t>act9522.000</t>
  </si>
  <si>
    <t>Bank Service Charge</t>
  </si>
  <si>
    <t>act9524.000</t>
  </si>
  <si>
    <t>Sundry (Office Supplies &amp; Exp)</t>
  </si>
  <si>
    <t>act9525.000</t>
  </si>
  <si>
    <t>Letter of Credit Expense</t>
  </si>
  <si>
    <t>act9526.000</t>
  </si>
  <si>
    <t>Printing &amp; Stationary</t>
  </si>
  <si>
    <t>act9527.000</t>
  </si>
  <si>
    <t>Annual Meeting Expenses</t>
  </si>
  <si>
    <t>act9530.000</t>
  </si>
  <si>
    <t>Rent</t>
  </si>
  <si>
    <t>act9531.000</t>
  </si>
  <si>
    <t>Investment Expense</t>
  </si>
  <si>
    <t>act9532.000</t>
  </si>
  <si>
    <t>Paid in Excess of Par Value</t>
  </si>
  <si>
    <t>act9533.000</t>
  </si>
  <si>
    <t>Management Fees</t>
  </si>
  <si>
    <t>act9534.000</t>
  </si>
  <si>
    <t>Organizational Fees</t>
  </si>
  <si>
    <t>act9535.000</t>
  </si>
  <si>
    <t>Intercompany Fees</t>
  </si>
  <si>
    <t>act9536.000</t>
  </si>
  <si>
    <t>Directors fee</t>
  </si>
  <si>
    <t>act9537.000</t>
  </si>
  <si>
    <t>Advertising</t>
  </si>
  <si>
    <t>act9538.000</t>
  </si>
  <si>
    <t>Chg in Reinsurance Provision (reinsur in unauthorized cos)</t>
  </si>
  <si>
    <t>act9539.000</t>
  </si>
  <si>
    <t>Rounding</t>
  </si>
  <si>
    <t>act9540.000</t>
  </si>
  <si>
    <t>Administration Fees</t>
  </si>
  <si>
    <t>act9541.000</t>
  </si>
  <si>
    <t>Salaries</t>
  </si>
  <si>
    <t>act9542.000</t>
  </si>
  <si>
    <t>Payroll Taxes</t>
  </si>
  <si>
    <t>act9543.000</t>
  </si>
  <si>
    <t>Bad Debt Expense</t>
  </si>
  <si>
    <t>act9544.000</t>
  </si>
  <si>
    <t>Group Insur:Otr Welfare</t>
  </si>
  <si>
    <t>act9545.000</t>
  </si>
  <si>
    <t>Insurance: except on RE</t>
  </si>
  <si>
    <t>act9550.000</t>
  </si>
  <si>
    <t>Depr on Real Estate</t>
  </si>
  <si>
    <t>act9561.000</t>
  </si>
  <si>
    <t>Depr on Other Invested Assets</t>
  </si>
  <si>
    <t>act9562.000</t>
  </si>
  <si>
    <t>Wages</t>
  </si>
  <si>
    <t>act9570.000</t>
  </si>
  <si>
    <t>Benefit plans for employees</t>
  </si>
  <si>
    <t>act9571.000</t>
  </si>
  <si>
    <t>Miscellaneous Expenses</t>
  </si>
  <si>
    <t>act9600.000</t>
  </si>
  <si>
    <t>State Taxes Lic &amp; Fees</t>
  </si>
  <si>
    <t>act9602.000</t>
  </si>
  <si>
    <t>Other State Taxes</t>
  </si>
  <si>
    <t>act9603.000</t>
  </si>
  <si>
    <t>Real Estate Taxes</t>
  </si>
  <si>
    <t>act9604.000</t>
  </si>
  <si>
    <t>Social Security Taxes</t>
  </si>
  <si>
    <t>act9605.000</t>
  </si>
  <si>
    <t>All Other State and Local Taxes</t>
  </si>
  <si>
    <t>act9606.000</t>
  </si>
  <si>
    <t>Federal unemployement tax</t>
  </si>
  <si>
    <t>act9607.000</t>
  </si>
  <si>
    <t>Expenses Reimbursed by others</t>
  </si>
  <si>
    <t>act9610.000</t>
  </si>
  <si>
    <t xml:space="preserve">Net change in res-Industrial Life </t>
  </si>
  <si>
    <t>act9652.000</t>
  </si>
  <si>
    <t>Net change in res-Ordinary Life</t>
  </si>
  <si>
    <t>act9653.000</t>
  </si>
  <si>
    <t xml:space="preserve">Net change in res-Indiv Annuity </t>
  </si>
  <si>
    <t>act9654.000</t>
  </si>
  <si>
    <t xml:space="preserve">Net change in res-Life credit </t>
  </si>
  <si>
    <t>act9655.000</t>
  </si>
  <si>
    <t xml:space="preserve">Net change in res-Group Life </t>
  </si>
  <si>
    <t>act9656.000</t>
  </si>
  <si>
    <t xml:space="preserve">Net change in res-Group Annuity </t>
  </si>
  <si>
    <t>act9657.000</t>
  </si>
  <si>
    <t xml:space="preserve">Net change in res-A&amp;H group </t>
  </si>
  <si>
    <t>act9658.000</t>
  </si>
  <si>
    <t xml:space="preserve">Net change in res-A&amp;H credit </t>
  </si>
  <si>
    <t>act9659.000</t>
  </si>
  <si>
    <t>Net change in res-Other A&amp;H</t>
  </si>
  <si>
    <t>act9660.000</t>
  </si>
  <si>
    <t>Net change in res-All other</t>
  </si>
  <si>
    <t>act9661.000</t>
  </si>
  <si>
    <t>Federal Taxes Paid</t>
  </si>
  <si>
    <t>act9701.000</t>
  </si>
  <si>
    <t>Federal Capital Gains tax paid</t>
  </si>
  <si>
    <t>act9705.000</t>
  </si>
  <si>
    <t>Captial Gains Tax trans to IMR</t>
  </si>
  <si>
    <t>act9710.000</t>
  </si>
  <si>
    <t>All (PC) Agent Commissions-Assumed</t>
  </si>
  <si>
    <t>act9722.000</t>
  </si>
  <si>
    <t>All (PC) Ceding Fees-Assumed</t>
  </si>
  <si>
    <t>act9724.000</t>
  </si>
  <si>
    <t>Industrial Life comm-Assumed (single)</t>
  </si>
  <si>
    <t>act9752.000</t>
  </si>
  <si>
    <t>Industrial Life comm-Assumed (1st year)</t>
  </si>
  <si>
    <t>act9752.100</t>
  </si>
  <si>
    <t>Industrial Life comm-Assumed (renewal)</t>
  </si>
  <si>
    <t>act9752.200</t>
  </si>
  <si>
    <t>Ordinary Life comm-Assumed (single)</t>
  </si>
  <si>
    <t>act9753.000</t>
  </si>
  <si>
    <t>Ordinary Life comm-Assumed (1st year)</t>
  </si>
  <si>
    <t>act9753.100</t>
  </si>
  <si>
    <t>Ordinary Life comm-Assumed (renewal)</t>
  </si>
  <si>
    <t>act9753.200</t>
  </si>
  <si>
    <t>Indiv Annuity comm-Assumed (single)</t>
  </si>
  <si>
    <t>act9754.000</t>
  </si>
  <si>
    <t>Indiv Annuity comm-Assumed (1st year)</t>
  </si>
  <si>
    <t>act9754.100</t>
  </si>
  <si>
    <t>Indiv Annuity comm-Assumed (renewal)</t>
  </si>
  <si>
    <t>act9754.200</t>
  </si>
  <si>
    <t>Life credit comm-Assumed (single)</t>
  </si>
  <si>
    <t>act9755.000</t>
  </si>
  <si>
    <t>Life credit comm-Assumed (1st year)</t>
  </si>
  <si>
    <t>act9755.100</t>
  </si>
  <si>
    <t>Life credit comm-Assumed (renewal)</t>
  </si>
  <si>
    <t>act9755.200</t>
  </si>
  <si>
    <t>Group Life comm-Assumed (single)</t>
  </si>
  <si>
    <t>act9756.000</t>
  </si>
  <si>
    <t>Group Life comm-Assumed (1st year)</t>
  </si>
  <si>
    <t>act9756.100</t>
  </si>
  <si>
    <t>Group Life comm-Assumed (renewal)</t>
  </si>
  <si>
    <t>act9756.200</t>
  </si>
  <si>
    <t>Group Annuity comm-Assumed (single)</t>
  </si>
  <si>
    <t>act9757.000</t>
  </si>
  <si>
    <t>Group Annuity comm-Assumed (1st year)</t>
  </si>
  <si>
    <t>act9757.100</t>
  </si>
  <si>
    <t>Group Annuity comm-Assumed (renewal)</t>
  </si>
  <si>
    <t>act9757.200</t>
  </si>
  <si>
    <t>A&amp;H group comm-Assumed (single)</t>
  </si>
  <si>
    <t>act9758.000</t>
  </si>
  <si>
    <t>A&amp;H group comm-Assumed (1st year)</t>
  </si>
  <si>
    <t>act9758.100</t>
  </si>
  <si>
    <t>A&amp;H group comm-Assumed (renewal)</t>
  </si>
  <si>
    <t>act9758.200</t>
  </si>
  <si>
    <t>A&amp;H credit comm-Assumed (single)</t>
  </si>
  <si>
    <t>act9759.000</t>
  </si>
  <si>
    <t>A&amp;H credit comm-Assumed (1st year)</t>
  </si>
  <si>
    <t>act9759.100</t>
  </si>
  <si>
    <t>A&amp;H credit comm-Assumed (renewal)</t>
  </si>
  <si>
    <t>act9759.200</t>
  </si>
  <si>
    <t>Other A&amp;H comm-Assumed (single)</t>
  </si>
  <si>
    <t>act9760.000</t>
  </si>
  <si>
    <t>Other A&amp;H comm-Assumed (1st year)</t>
  </si>
  <si>
    <t>act9760.100</t>
  </si>
  <si>
    <t>Other A&amp;H comm-Assumed (renewal)</t>
  </si>
  <si>
    <t>act9760.200</t>
  </si>
  <si>
    <t>All other comm-Assumed (single)</t>
  </si>
  <si>
    <t>act9761.000</t>
  </si>
  <si>
    <t>All other comm-Assumed (1st year)</t>
  </si>
  <si>
    <t>act9761.100</t>
  </si>
  <si>
    <t>All other comm-Assumed (renewal)</t>
  </si>
  <si>
    <t>act9761.200</t>
  </si>
  <si>
    <t>Stop-Loss Expense</t>
  </si>
  <si>
    <t>act9800.000</t>
  </si>
  <si>
    <t>Inv-Real Estate Expenses</t>
  </si>
  <si>
    <t>act9801.000</t>
  </si>
  <si>
    <t>Inv-State Taxes Lic &amp; Fees</t>
  </si>
  <si>
    <t>act9802.000</t>
  </si>
  <si>
    <t>Inv-Inspection Report fees</t>
  </si>
  <si>
    <t>act9805.000</t>
  </si>
  <si>
    <t>Inv-Legal Fees</t>
  </si>
  <si>
    <t>act9809.000</t>
  </si>
  <si>
    <t>Inv-Bonus'</t>
  </si>
  <si>
    <t>act9810.000</t>
  </si>
  <si>
    <t>Inv-Donations</t>
  </si>
  <si>
    <t>act9811.000</t>
  </si>
  <si>
    <t>Inv-Acctg &amp; Actuarial Fees</t>
  </si>
  <si>
    <t>act9812.000</t>
  </si>
  <si>
    <t>Inv-Misc Life/A&amp;H Expenses</t>
  </si>
  <si>
    <t>act9813.000</t>
  </si>
  <si>
    <t>Inv-Travel &amp; Entertainment Exp</t>
  </si>
  <si>
    <t>act9814.000</t>
  </si>
  <si>
    <t>Inv-Equipment Expense</t>
  </si>
  <si>
    <t>act9815.000</t>
  </si>
  <si>
    <t>Inv-Postage &amp; phone</t>
  </si>
  <si>
    <t>act9816.000</t>
  </si>
  <si>
    <t>Inv-Data Processing</t>
  </si>
  <si>
    <t>act9817.000</t>
  </si>
  <si>
    <t>Inv-Deprec. Furniture &amp; Equip</t>
  </si>
  <si>
    <t>act9818.000</t>
  </si>
  <si>
    <t>Inv-Books &amp; Periodicals</t>
  </si>
  <si>
    <t>act9820.000</t>
  </si>
  <si>
    <t>Inv-Bureau &amp; Association Dues</t>
  </si>
  <si>
    <t>act9821.000</t>
  </si>
  <si>
    <t>Inv-Agency Expense Allowance</t>
  </si>
  <si>
    <t>act9822.000</t>
  </si>
  <si>
    <t>Inv-Bank Service Charge</t>
  </si>
  <si>
    <t>act9824.000</t>
  </si>
  <si>
    <t>Inv-Sundry Exps</t>
  </si>
  <si>
    <t>act9825.000</t>
  </si>
  <si>
    <t>Inv-Letter of Credit Expense</t>
  </si>
  <si>
    <t>act9826.000</t>
  </si>
  <si>
    <t>Inv-Printing &amp; Stationary</t>
  </si>
  <si>
    <t>act9827.000</t>
  </si>
  <si>
    <t>Inv-Annual Meeting Expenses</t>
  </si>
  <si>
    <t>act9830.000</t>
  </si>
  <si>
    <t>Inv-Rent</t>
  </si>
  <si>
    <t>act9831.000</t>
  </si>
  <si>
    <t>Inv-Management Fees</t>
  </si>
  <si>
    <t>act9834.000</t>
  </si>
  <si>
    <t>Inv-Organizational Fees</t>
  </si>
  <si>
    <t>act9835.000</t>
  </si>
  <si>
    <t>Inv-Directors fee</t>
  </si>
  <si>
    <t>act9837.000</t>
  </si>
  <si>
    <t>Inv-Advertising</t>
  </si>
  <si>
    <t>act9838.000</t>
  </si>
  <si>
    <t>Inv-Administration Fees</t>
  </si>
  <si>
    <t>act9841.000</t>
  </si>
  <si>
    <t>Inv-Salaries</t>
  </si>
  <si>
    <t>act9842.000</t>
  </si>
  <si>
    <t>Inv-Payroll Taxes</t>
  </si>
  <si>
    <t>act9843.000</t>
  </si>
  <si>
    <t>Inv-Bad Debt Expense</t>
  </si>
  <si>
    <t>act9844.000</t>
  </si>
  <si>
    <t>Inv-Group Insur:Otr Welfare</t>
  </si>
  <si>
    <t>act9845.000</t>
  </si>
  <si>
    <t>Inv-Insurance: except on RE</t>
  </si>
  <si>
    <t>act9850.000</t>
  </si>
  <si>
    <t>All Agent Commissions-Ceded</t>
  </si>
  <si>
    <t>act9922.000</t>
  </si>
  <si>
    <t>All Ceding Fees:Ceded</t>
  </si>
  <si>
    <t>act9924.000</t>
  </si>
  <si>
    <t>Industrial Life comm-Direct (single)</t>
  </si>
  <si>
    <t>act9952.000</t>
  </si>
  <si>
    <t>Industrial Life comm-Direct (1st year)</t>
  </si>
  <si>
    <t>act9952.100</t>
  </si>
  <si>
    <t>Industrial Life comm-Direct (renewal)</t>
  </si>
  <si>
    <t>act9952.200</t>
  </si>
  <si>
    <t>Ordinary Life comm-Direct (single)</t>
  </si>
  <si>
    <t>act9953.000</t>
  </si>
  <si>
    <t>Ordinary Life comm-Direct (1st year)</t>
  </si>
  <si>
    <t>act9953.100</t>
  </si>
  <si>
    <t>Ordinary Life comm-Direct (renewal)</t>
  </si>
  <si>
    <t>act9953.200</t>
  </si>
  <si>
    <t>Indiv Annuity comm-Direct (single)</t>
  </si>
  <si>
    <t>act9954.000</t>
  </si>
  <si>
    <t>Indiv Annuity comm-Direct (1st year)</t>
  </si>
  <si>
    <t>act9954.100</t>
  </si>
  <si>
    <t>Indiv Annuity comm-Direct (renewal)</t>
  </si>
  <si>
    <t>act9954.200</t>
  </si>
  <si>
    <t>Credit life comm-Direct (single)</t>
  </si>
  <si>
    <t>act9955.000</t>
  </si>
  <si>
    <t>Life credit comm-Direct (1st year)</t>
  </si>
  <si>
    <t>act9955.100</t>
  </si>
  <si>
    <t>Life credit comm-Direct (renewal)</t>
  </si>
  <si>
    <t>act9955.200</t>
  </si>
  <si>
    <t>Group Life comm-Direct (single)</t>
  </si>
  <si>
    <t>act9956.000</t>
  </si>
  <si>
    <t>Group Life comm-Direct (1st year)</t>
  </si>
  <si>
    <t>act9956.100</t>
  </si>
  <si>
    <t>Group Life comm-Direct (renewal)</t>
  </si>
  <si>
    <t>act9956.200</t>
  </si>
  <si>
    <t>Group Annuity comm-Direct (single)</t>
  </si>
  <si>
    <t>act9957.000</t>
  </si>
  <si>
    <t>Group Annuity comm-Direct (1st year)</t>
  </si>
  <si>
    <t>act9957.100</t>
  </si>
  <si>
    <t>Group Annuity comm-Direct (renewal)</t>
  </si>
  <si>
    <t>act9957.200</t>
  </si>
  <si>
    <t>A&amp;H group comm-Direct (single)</t>
  </si>
  <si>
    <t>act9958.000</t>
  </si>
  <si>
    <t>A&amp;H group comm-Direct (1st year)</t>
  </si>
  <si>
    <t>act9958.100</t>
  </si>
  <si>
    <t>A&amp;H group comm-Direct (renewal)</t>
  </si>
  <si>
    <t>act9958.200</t>
  </si>
  <si>
    <t>A&amp;H credit comm-Direct (single)</t>
  </si>
  <si>
    <t>act9959.000</t>
  </si>
  <si>
    <t>A&amp;H credit comm-Direct (1st year)</t>
  </si>
  <si>
    <t>act9959.100</t>
  </si>
  <si>
    <t>A&amp;H credit comm-Direct (renewal)</t>
  </si>
  <si>
    <t>act9959.200</t>
  </si>
  <si>
    <t>Other A&amp;H comm-Direct (single)</t>
  </si>
  <si>
    <t>act9960.000</t>
  </si>
  <si>
    <t>Other A&amp;H comm-Direct (1st year)</t>
  </si>
  <si>
    <t>act9960.100</t>
  </si>
  <si>
    <t>Other A&amp;H comm-Direct (renewal)</t>
  </si>
  <si>
    <t>act9960.200</t>
  </si>
  <si>
    <t>All other comm-Direct (single)</t>
  </si>
  <si>
    <t>act9961.000</t>
  </si>
  <si>
    <t>All other comm-Direct (1st year)</t>
  </si>
  <si>
    <t>act9961.100</t>
  </si>
  <si>
    <t>All other comm-Direct (renewal)</t>
  </si>
  <si>
    <t>act9961.200</t>
  </si>
  <si>
    <t>2012 Account References</t>
  </si>
  <si>
    <t>ACCOUNT #</t>
  </si>
  <si>
    <t>Sale Shares</t>
  </si>
  <si>
    <t>8224</t>
  </si>
  <si>
    <t>TranStart</t>
  </si>
  <si>
    <t>LastSavedBy</t>
  </si>
  <si>
    <t>LastSavedDate</t>
  </si>
  <si>
    <t>LastSavedValDate</t>
  </si>
  <si>
    <t>Brennen A. Ainsworth</t>
  </si>
  <si>
    <t>O.1.</t>
  </si>
  <si>
    <t>1169</t>
  </si>
  <si>
    <t>8169</t>
  </si>
  <si>
    <t>1169/8169</t>
  </si>
  <si>
    <t>Other Invested Assets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</si>
</sst>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9">
    <numFmt numFmtId="43" formatCode="_(* #,##0.00_);_(* \(#,##0.00\);_(* &quot;-&quot;??_);_(@_)"/>
    <numFmt numFmtId="164" formatCode="0.000%"/>
    <numFmt numFmtId="165" formatCode="mm/dd/yy"/>
    <numFmt numFmtId="166" formatCode="[$-409]m/d/yy\ h:mm\ AM/PM;@"/>
    <numFmt numFmtId="167" formatCode="0.000"/>
    <numFmt numFmtId="168" formatCode="#,##0.000_);[Red]\(#,##0.000\)"/>
    <numFmt numFmtId="169" formatCode="0_);[Red]\(0\)"/>
    <numFmt numFmtId="170" formatCode="0.0000"/>
    <numFmt numFmtId="171" formatCode="#,##0.000"/>
  </numFmts>
  <fonts count="31" x14ac:knownFonts="1">
    <font>
      <sz val="8"/>
      <color indexed="18"/>
      <name val="Times New Roman"/>
    </font>
    <font>
      <sz val="10"/>
      <name val="MS Sans Serif"/>
      <family val="2"/>
    </font>
    <font>
      <sz val="8"/>
      <color indexed="10"/>
      <name val="Times New Roman"/>
      <family val="1"/>
    </font>
    <font>
      <sz val="10"/>
      <color indexed="18"/>
      <name val="Times New Roman"/>
      <family val="1"/>
    </font>
    <font>
      <b/>
      <sz val="10"/>
      <color indexed="18"/>
      <name val="Times New Roman"/>
      <family val="1"/>
    </font>
    <font>
      <sz val="10"/>
      <color indexed="10"/>
      <name val="Times New Roman"/>
      <family val="1"/>
    </font>
    <font>
      <sz val="10"/>
      <name val="Times New Roman"/>
      <family val="1"/>
    </font>
    <font>
      <b/>
      <sz val="10"/>
      <color indexed="10"/>
      <name val="Times New Roman"/>
      <family val="1"/>
    </font>
    <font>
      <sz val="10"/>
      <color indexed="17"/>
      <name val="Times New Roman"/>
      <family val="1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name val="Times New Roman"/>
      <family val="1"/>
    </font>
    <font>
      <i/>
      <sz val="10"/>
      <color indexed="18"/>
      <name val="Times New Roman"/>
      <family val="1"/>
    </font>
    <font>
      <b/>
      <i/>
      <sz val="8"/>
      <color indexed="81"/>
      <name val="Tahoma"/>
      <family val="2"/>
    </font>
    <font>
      <b/>
      <i/>
      <sz val="10"/>
      <color indexed="10"/>
      <name val="Times New Roman"/>
      <family val="1"/>
    </font>
    <font>
      <b/>
      <sz val="10"/>
      <color rgb="FF0070C0"/>
      <name val="Times New Roman"/>
      <family val="1"/>
    </font>
    <font>
      <sz val="8"/>
      <color indexed="18"/>
      <name val="Times New Roman"/>
      <family val="1"/>
    </font>
    <font>
      <sz val="8"/>
      <color indexed="18"/>
      <name val="Times New Roman"/>
      <family val="1"/>
    </font>
    <font>
      <u/>
      <sz val="8"/>
      <color indexed="18"/>
      <name val="Times New Roman"/>
      <family val="1"/>
    </font>
    <font>
      <sz val="8"/>
      <color theme="0"/>
      <name val="Times New Roman"/>
      <family val="1"/>
    </font>
    <font>
      <sz val="18"/>
      <color indexed="18"/>
      <name val="Times New Roman"/>
      <family val="1"/>
    </font>
    <font>
      <u/>
      <sz val="18"/>
      <color indexed="18"/>
      <name val="Times New Roman"/>
      <family val="1"/>
    </font>
    <font>
      <sz val="14"/>
      <color indexed="18"/>
      <name val="Times New Roman"/>
      <family val="1"/>
    </font>
    <font>
      <b/>
      <u/>
      <sz val="8"/>
      <color indexed="18"/>
      <name val="Times New Roman"/>
      <family val="1"/>
    </font>
    <font>
      <b/>
      <u/>
      <sz val="10"/>
      <color indexed="18"/>
      <name val="Times New Roman"/>
      <family val="1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rgb="FFFF0000"/>
      <name val="Times New Roman"/>
      <family val="1"/>
    </font>
    <font>
      <b/>
      <sz val="8"/>
      <color rgb="FFFF0000"/>
      <name val="Times New Roman"/>
      <family val="1"/>
    </font>
    <font>
      <sz val="8"/>
      <color rgb="FFFF0000"/>
      <name val="Times New Roman"/>
      <family val="1"/>
    </font>
    <font>
      <sz val="10"/>
      <color rgb="FF000080"/>
      <name val="Times New Roman"/>
      <family val="1"/>
    </font>
  </fonts>
  <fills count="12">
    <fill>
      <patternFill patternType="none"/>
    </fill>
    <fill>
      <patternFill patternType="gray125"/>
    </fill>
    <fill>
      <patternFill patternType="solid">
        <fgColor indexed="15"/>
        <bgColor indexed="64"/>
      </patternFill>
    </fill>
    <fill>
      <patternFill patternType="solid">
        <fgColor indexed="15"/>
      </patternFill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59999389629810485"/>
        <bgColor indexed="64"/>
      </patternFill>
    </fill>
  </fills>
  <borders count="37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</borders>
  <cellStyleXfs count="6">
    <xf numFmtId="38" fontId="0" fillId="0" borderId="0"/>
    <xf numFmtId="40" fontId="1" fillId="0" borderId="0" applyFont="0" applyFill="0" applyBorder="0" applyAlignment="0" applyProtection="0"/>
    <xf numFmtId="38" fontId="2" fillId="0" borderId="0"/>
    <xf numFmtId="38" fontId="16" fillId="0" borderId="0"/>
    <xf numFmtId="9" fontId="17" fillId="0" borderId="0" applyFont="0" applyFill="0" applyBorder="0" applyAlignment="0" applyProtection="0"/>
    <xf numFmtId="9" fontId="16" fillId="0" borderId="0" applyFont="0" applyFill="0" applyBorder="0" applyAlignment="0" applyProtection="0"/>
  </cellStyleXfs>
  <cellXfs count="293">
    <xf numFmtId="38" fontId="0" fillId="0" borderId="0" xfId="0"/>
    <xf numFmtId="38" fontId="3" fillId="0" borderId="0" xfId="0" quotePrefix="1" applyFont="1" applyAlignment="1">
      <alignment horizontal="left"/>
    </xf>
    <xf numFmtId="38" fontId="3" fillId="0" borderId="0" xfId="0" applyFont="1"/>
    <xf numFmtId="14" fontId="3" fillId="0" borderId="0" xfId="0" applyNumberFormat="1" applyFont="1"/>
    <xf numFmtId="164" fontId="3" fillId="0" borderId="0" xfId="0" applyNumberFormat="1" applyFont="1"/>
    <xf numFmtId="40" fontId="3" fillId="0" borderId="0" xfId="0" applyNumberFormat="1" applyFont="1"/>
    <xf numFmtId="38" fontId="5" fillId="0" borderId="0" xfId="0" applyFont="1"/>
    <xf numFmtId="38" fontId="3" fillId="0" borderId="0" xfId="0" applyFont="1" applyAlignment="1">
      <alignment horizontal="center"/>
    </xf>
    <xf numFmtId="38" fontId="3" fillId="0" borderId="0" xfId="0" quotePrefix="1" applyFont="1" applyAlignment="1">
      <alignment vertical="center"/>
    </xf>
    <xf numFmtId="38" fontId="3" fillId="0" borderId="0" xfId="0" applyFont="1" applyFill="1" applyAlignment="1">
      <alignment horizontal="right"/>
    </xf>
    <xf numFmtId="14" fontId="4" fillId="0" borderId="0" xfId="0" applyNumberFormat="1" applyFont="1" applyFill="1" applyAlignment="1"/>
    <xf numFmtId="38" fontId="3" fillId="0" borderId="0" xfId="0" applyFont="1" applyFill="1"/>
    <xf numFmtId="38" fontId="3" fillId="0" borderId="0" xfId="0" quotePrefix="1" applyFont="1" applyAlignment="1">
      <alignment horizontal="left" vertical="center"/>
    </xf>
    <xf numFmtId="38" fontId="5" fillId="0" borderId="0" xfId="0" quotePrefix="1" applyFont="1" applyFill="1" applyAlignment="1">
      <alignment horizontal="center"/>
    </xf>
    <xf numFmtId="38" fontId="5" fillId="2" borderId="0" xfId="0" quotePrefix="1" applyFont="1" applyFill="1" applyAlignment="1">
      <alignment horizontal="center"/>
    </xf>
    <xf numFmtId="38" fontId="5" fillId="3" borderId="0" xfId="0" quotePrefix="1" applyFont="1" applyFill="1" applyAlignment="1">
      <alignment horizontal="right"/>
    </xf>
    <xf numFmtId="38" fontId="3" fillId="0" borderId="0" xfId="0" quotePrefix="1" applyFont="1" applyAlignment="1">
      <alignment horizontal="center"/>
    </xf>
    <xf numFmtId="38" fontId="3" fillId="0" borderId="0" xfId="0" applyFont="1" applyAlignment="1">
      <alignment horizontal="left"/>
    </xf>
    <xf numFmtId="38" fontId="3" fillId="0" borderId="0" xfId="0" applyNumberFormat="1" applyFont="1"/>
    <xf numFmtId="38" fontId="3" fillId="0" borderId="0" xfId="0" applyFont="1" applyFill="1" applyAlignment="1">
      <alignment horizontal="center"/>
    </xf>
    <xf numFmtId="164" fontId="3" fillId="0" borderId="0" xfId="0" applyNumberFormat="1" applyFont="1" applyFill="1"/>
    <xf numFmtId="38" fontId="3" fillId="0" borderId="0" xfId="0" applyFont="1" applyFill="1" applyBorder="1" applyAlignment="1">
      <alignment horizontal="center"/>
    </xf>
    <xf numFmtId="38" fontId="3" fillId="0" borderId="0" xfId="0" applyFont="1" applyFill="1" applyBorder="1" applyAlignment="1"/>
    <xf numFmtId="38" fontId="3" fillId="0" borderId="0" xfId="0" applyFont="1" applyFill="1" applyBorder="1"/>
    <xf numFmtId="165" fontId="3" fillId="0" borderId="0" xfId="0" quotePrefix="1" applyNumberFormat="1" applyFont="1" applyFill="1" applyAlignment="1">
      <alignment horizontal="center"/>
    </xf>
    <xf numFmtId="165" fontId="3" fillId="0" borderId="0" xfId="0" applyNumberFormat="1" applyFont="1" applyFill="1" applyAlignment="1">
      <alignment horizontal="center"/>
    </xf>
    <xf numFmtId="38" fontId="3" fillId="0" borderId="0" xfId="0" applyFont="1" applyBorder="1"/>
    <xf numFmtId="38" fontId="3" fillId="0" borderId="1" xfId="0" applyFont="1" applyBorder="1"/>
    <xf numFmtId="165" fontId="3" fillId="0" borderId="0" xfId="0" applyNumberFormat="1" applyFont="1" applyAlignment="1">
      <alignment horizontal="center"/>
    </xf>
    <xf numFmtId="165" fontId="5" fillId="0" borderId="0" xfId="0" applyNumberFormat="1" applyFont="1" applyAlignment="1">
      <alignment horizontal="center"/>
    </xf>
    <xf numFmtId="38" fontId="4" fillId="0" borderId="0" xfId="0" applyFont="1"/>
    <xf numFmtId="38" fontId="8" fillId="0" borderId="0" xfId="0" applyFont="1"/>
    <xf numFmtId="38" fontId="5" fillId="4" borderId="0" xfId="0" quotePrefix="1" applyFont="1" applyFill="1" applyAlignment="1">
      <alignment horizontal="right"/>
    </xf>
    <xf numFmtId="38" fontId="5" fillId="4" borderId="0" xfId="0" applyFont="1" applyFill="1"/>
    <xf numFmtId="37" fontId="3" fillId="0" borderId="0" xfId="0" applyNumberFormat="1" applyFont="1" applyFill="1" applyAlignment="1"/>
    <xf numFmtId="40" fontId="5" fillId="4" borderId="0" xfId="0" applyNumberFormat="1" applyFont="1" applyFill="1"/>
    <xf numFmtId="38" fontId="5" fillId="0" borderId="0" xfId="0" applyFont="1" applyFill="1" applyBorder="1"/>
    <xf numFmtId="39" fontId="5" fillId="0" borderId="0" xfId="0" quotePrefix="1" applyNumberFormat="1" applyFont="1" applyFill="1" applyAlignment="1"/>
    <xf numFmtId="38" fontId="5" fillId="0" borderId="0" xfId="0" quotePrefix="1" applyFont="1" applyFill="1" applyBorder="1" applyAlignment="1">
      <alignment horizontal="left"/>
    </xf>
    <xf numFmtId="38" fontId="5" fillId="0" borderId="0" xfId="0" applyFont="1" applyFill="1" applyBorder="1" applyAlignment="1">
      <alignment horizontal="center"/>
    </xf>
    <xf numFmtId="38" fontId="7" fillId="0" borderId="0" xfId="0" quotePrefix="1" applyFont="1" applyFill="1" applyBorder="1" applyAlignment="1">
      <alignment horizontal="right"/>
    </xf>
    <xf numFmtId="38" fontId="7" fillId="0" borderId="0" xfId="0" applyFont="1" applyFill="1" applyBorder="1" applyAlignment="1">
      <alignment horizontal="left"/>
    </xf>
    <xf numFmtId="38" fontId="7" fillId="0" borderId="0" xfId="0" applyFont="1" applyFill="1" applyBorder="1" applyAlignment="1">
      <alignment horizontal="center"/>
    </xf>
    <xf numFmtId="38" fontId="5" fillId="0" borderId="0" xfId="0" quotePrefix="1" applyFont="1" applyFill="1" applyBorder="1" applyAlignment="1">
      <alignment horizontal="center"/>
    </xf>
    <xf numFmtId="38" fontId="5" fillId="0" borderId="0" xfId="0" applyFont="1" applyFill="1" applyBorder="1" applyAlignment="1"/>
    <xf numFmtId="38" fontId="3" fillId="0" borderId="0" xfId="0" quotePrefix="1" applyFont="1" applyFill="1" applyAlignment="1">
      <alignment horizontal="left"/>
    </xf>
    <xf numFmtId="38" fontId="3" fillId="0" borderId="2" xfId="0" applyFont="1" applyFill="1" applyBorder="1" applyAlignment="1">
      <alignment horizontal="center"/>
    </xf>
    <xf numFmtId="38" fontId="3" fillId="0" borderId="3" xfId="0" applyFont="1" applyFill="1" applyBorder="1" applyAlignment="1">
      <alignment horizontal="centerContinuous"/>
    </xf>
    <xf numFmtId="38" fontId="3" fillId="0" borderId="4" xfId="0" applyFont="1" applyFill="1" applyBorder="1" applyAlignment="1">
      <alignment horizontal="centerContinuous"/>
    </xf>
    <xf numFmtId="38" fontId="3" fillId="0" borderId="0" xfId="0" applyFont="1" applyFill="1" applyBorder="1" applyAlignment="1">
      <alignment vertical="center"/>
    </xf>
    <xf numFmtId="38" fontId="4" fillId="0" borderId="0" xfId="0" applyFont="1" applyFill="1" applyBorder="1" applyAlignment="1">
      <alignment horizontal="center"/>
    </xf>
    <xf numFmtId="38" fontId="3" fillId="0" borderId="5" xfId="0" quotePrefix="1" applyFont="1" applyFill="1" applyBorder="1" applyAlignment="1">
      <alignment horizontal="center"/>
    </xf>
    <xf numFmtId="38" fontId="3" fillId="0" borderId="6" xfId="0" applyFont="1" applyFill="1" applyBorder="1" applyAlignment="1">
      <alignment horizontal="center"/>
    </xf>
    <xf numFmtId="38" fontId="3" fillId="0" borderId="7" xfId="0" applyFont="1" applyFill="1" applyBorder="1" applyAlignment="1">
      <alignment horizontal="center"/>
    </xf>
    <xf numFmtId="38" fontId="3" fillId="0" borderId="5" xfId="0" applyFont="1" applyFill="1" applyBorder="1" applyAlignment="1">
      <alignment horizontal="center"/>
    </xf>
    <xf numFmtId="38" fontId="3" fillId="0" borderId="0" xfId="0" quotePrefix="1" applyFont="1" applyFill="1" applyBorder="1" applyAlignment="1">
      <alignment horizontal="left" vertical="center"/>
    </xf>
    <xf numFmtId="38" fontId="3" fillId="0" borderId="8" xfId="0" quotePrefix="1" applyFont="1" applyFill="1" applyBorder="1" applyAlignment="1">
      <alignment horizontal="left"/>
    </xf>
    <xf numFmtId="38" fontId="3" fillId="0" borderId="9" xfId="0" applyFont="1" applyFill="1" applyBorder="1"/>
    <xf numFmtId="38" fontId="3" fillId="0" borderId="9" xfId="0" quotePrefix="1" applyFont="1" applyFill="1" applyBorder="1" applyAlignment="1">
      <alignment horizontal="left"/>
    </xf>
    <xf numFmtId="38" fontId="4" fillId="0" borderId="10" xfId="0" quotePrefix="1" applyFont="1" applyFill="1" applyBorder="1" applyAlignment="1">
      <alignment horizontal="center"/>
    </xf>
    <xf numFmtId="38" fontId="4" fillId="0" borderId="5" xfId="0" quotePrefix="1" applyFont="1" applyFill="1" applyBorder="1" applyAlignment="1">
      <alignment horizontal="center"/>
    </xf>
    <xf numFmtId="14" fontId="3" fillId="0" borderId="5" xfId="0" quotePrefix="1" applyNumberFormat="1" applyFont="1" applyFill="1" applyBorder="1" applyAlignment="1">
      <alignment horizontal="center"/>
    </xf>
    <xf numFmtId="164" fontId="3" fillId="0" borderId="7" xfId="0" applyNumberFormat="1" applyFont="1" applyFill="1" applyBorder="1" applyAlignment="1">
      <alignment horizontal="center"/>
    </xf>
    <xf numFmtId="14" fontId="3" fillId="0" borderId="5" xfId="0" applyNumberFormat="1" applyFont="1" applyFill="1" applyBorder="1" applyAlignment="1">
      <alignment horizontal="center"/>
    </xf>
    <xf numFmtId="14" fontId="3" fillId="0" borderId="7" xfId="0" applyNumberFormat="1" applyFont="1" applyFill="1" applyBorder="1" applyAlignment="1">
      <alignment horizontal="center"/>
    </xf>
    <xf numFmtId="14" fontId="3" fillId="0" borderId="11" xfId="0" applyNumberFormat="1" applyFont="1" applyFill="1" applyBorder="1" applyAlignment="1">
      <alignment horizontal="center"/>
    </xf>
    <xf numFmtId="38" fontId="3" fillId="0" borderId="12" xfId="0" applyFont="1" applyFill="1" applyBorder="1" applyAlignment="1">
      <alignment horizontal="center"/>
    </xf>
    <xf numFmtId="38" fontId="3" fillId="0" borderId="11" xfId="0" applyFont="1" applyFill="1" applyBorder="1" applyAlignment="1">
      <alignment horizontal="center"/>
    </xf>
    <xf numFmtId="38" fontId="3" fillId="0" borderId="13" xfId="0" quotePrefix="1" applyFont="1" applyFill="1" applyBorder="1"/>
    <xf numFmtId="38" fontId="3" fillId="0" borderId="9" xfId="0" applyFont="1" applyFill="1" applyBorder="1" applyAlignment="1">
      <alignment horizontal="center"/>
    </xf>
    <xf numFmtId="164" fontId="4" fillId="0" borderId="9" xfId="0" quotePrefix="1" applyNumberFormat="1" applyFont="1" applyFill="1" applyBorder="1" applyAlignment="1">
      <alignment horizontal="centerContinuous"/>
    </xf>
    <xf numFmtId="40" fontId="3" fillId="0" borderId="9" xfId="0" applyNumberFormat="1" applyFont="1" applyFill="1" applyBorder="1"/>
    <xf numFmtId="38" fontId="3" fillId="0" borderId="9" xfId="0" applyFont="1" applyFill="1" applyBorder="1" applyAlignment="1">
      <alignment horizontal="centerContinuous"/>
    </xf>
    <xf numFmtId="14" fontId="3" fillId="0" borderId="8" xfId="0" applyNumberFormat="1" applyFont="1" applyFill="1" applyBorder="1" applyAlignment="1">
      <alignment horizontal="centerContinuous"/>
    </xf>
    <xf numFmtId="14" fontId="3" fillId="0" borderId="14" xfId="0" applyNumberFormat="1" applyFont="1" applyFill="1" applyBorder="1" applyAlignment="1">
      <alignment horizontal="centerContinuous"/>
    </xf>
    <xf numFmtId="38" fontId="3" fillId="0" borderId="9" xfId="0" quotePrefix="1" applyFont="1" applyFill="1" applyBorder="1" applyAlignment="1">
      <alignment horizontal="centerContinuous"/>
    </xf>
    <xf numFmtId="38" fontId="3" fillId="0" borderId="15" xfId="0" applyFont="1" applyFill="1" applyBorder="1" applyAlignment="1">
      <alignment horizontal="centerContinuous"/>
    </xf>
    <xf numFmtId="38" fontId="4" fillId="0" borderId="0" xfId="0" applyFont="1" applyFill="1"/>
    <xf numFmtId="38" fontId="3" fillId="0" borderId="0" xfId="0" applyFont="1" applyFill="1" applyAlignment="1">
      <alignment horizontal="left"/>
    </xf>
    <xf numFmtId="38" fontId="3" fillId="0" borderId="16" xfId="0" quotePrefix="1" applyFont="1" applyFill="1" applyBorder="1" applyAlignment="1">
      <alignment horizontal="centerContinuous"/>
    </xf>
    <xf numFmtId="38" fontId="3" fillId="0" borderId="17" xfId="0" applyFont="1" applyFill="1" applyBorder="1" applyAlignment="1">
      <alignment horizontal="centerContinuous"/>
    </xf>
    <xf numFmtId="38" fontId="3" fillId="0" borderId="18" xfId="0" quotePrefix="1" applyFont="1" applyFill="1" applyBorder="1" applyAlignment="1">
      <alignment horizontal="center"/>
    </xf>
    <xf numFmtId="38" fontId="3" fillId="0" borderId="2" xfId="0" quotePrefix="1" applyFont="1" applyFill="1" applyBorder="1" applyAlignment="1">
      <alignment horizontal="center"/>
    </xf>
    <xf numFmtId="14" fontId="3" fillId="0" borderId="2" xfId="0" applyNumberFormat="1" applyFont="1" applyFill="1" applyBorder="1" applyAlignment="1">
      <alignment horizontal="center"/>
    </xf>
    <xf numFmtId="164" fontId="3" fillId="0" borderId="18" xfId="0" applyNumberFormat="1" applyFont="1" applyFill="1" applyBorder="1" applyAlignment="1">
      <alignment horizontal="center"/>
    </xf>
    <xf numFmtId="14" fontId="3" fillId="0" borderId="18" xfId="0" applyNumberFormat="1" applyFont="1" applyFill="1" applyBorder="1" applyAlignment="1">
      <alignment horizontal="center"/>
    </xf>
    <xf numFmtId="14" fontId="3" fillId="0" borderId="16" xfId="0" applyNumberFormat="1" applyFont="1" applyFill="1" applyBorder="1" applyAlignment="1">
      <alignment horizontal="center"/>
    </xf>
    <xf numFmtId="38" fontId="3" fillId="0" borderId="20" xfId="0" applyFont="1" applyFill="1" applyBorder="1" applyAlignment="1">
      <alignment horizontal="center"/>
    </xf>
    <xf numFmtId="38" fontId="3" fillId="0" borderId="16" xfId="0" applyFont="1" applyFill="1" applyBorder="1" applyAlignment="1">
      <alignment horizontal="center"/>
    </xf>
    <xf numFmtId="38" fontId="3" fillId="0" borderId="21" xfId="0" applyFont="1" applyFill="1" applyBorder="1" applyAlignment="1">
      <alignment horizontal="centerContinuous"/>
    </xf>
    <xf numFmtId="38" fontId="3" fillId="0" borderId="20" xfId="0" applyFont="1" applyFill="1" applyBorder="1" applyAlignment="1">
      <alignment horizontal="centerContinuous"/>
    </xf>
    <xf numFmtId="38" fontId="3" fillId="0" borderId="21" xfId="0" applyFont="1" applyFill="1" applyBorder="1" applyAlignment="1">
      <alignment horizontal="center"/>
    </xf>
    <xf numFmtId="38" fontId="5" fillId="4" borderId="0" xfId="0" applyFont="1" applyFill="1" applyAlignment="1">
      <alignment horizontal="center"/>
    </xf>
    <xf numFmtId="38" fontId="3" fillId="0" borderId="14" xfId="0" quotePrefix="1" applyFont="1" applyFill="1" applyBorder="1" applyAlignment="1">
      <alignment horizontal="left"/>
    </xf>
    <xf numFmtId="38" fontId="3" fillId="0" borderId="22" xfId="0" quotePrefix="1" applyFont="1" applyFill="1" applyBorder="1" applyAlignment="1">
      <alignment horizontal="left"/>
    </xf>
    <xf numFmtId="38" fontId="12" fillId="0" borderId="0" xfId="0" applyFont="1"/>
    <xf numFmtId="38" fontId="12" fillId="0" borderId="0" xfId="0" quotePrefix="1" applyFont="1" applyAlignment="1">
      <alignment horizontal="left"/>
    </xf>
    <xf numFmtId="38" fontId="4" fillId="0" borderId="23" xfId="0" applyFont="1" applyFill="1" applyBorder="1" applyAlignment="1">
      <alignment horizontal="centerContinuous"/>
    </xf>
    <xf numFmtId="38" fontId="3" fillId="0" borderId="21" xfId="0" quotePrefix="1" applyFont="1" applyFill="1" applyBorder="1" applyAlignment="1">
      <alignment horizontal="center"/>
    </xf>
    <xf numFmtId="38" fontId="3" fillId="0" borderId="0" xfId="0" applyFont="1" applyAlignment="1">
      <alignment horizontal="right"/>
    </xf>
    <xf numFmtId="38" fontId="5" fillId="0" borderId="0" xfId="0" applyFont="1" applyAlignment="1">
      <alignment horizontal="right"/>
    </xf>
    <xf numFmtId="165" fontId="3" fillId="0" borderId="0" xfId="0" applyNumberFormat="1" applyFont="1" applyAlignment="1">
      <alignment horizontal="right"/>
    </xf>
    <xf numFmtId="14" fontId="4" fillId="0" borderId="0" xfId="0" applyNumberFormat="1" applyFont="1" applyFill="1" applyAlignment="1">
      <alignment horizontal="left"/>
    </xf>
    <xf numFmtId="38" fontId="3" fillId="0" borderId="0" xfId="0" quotePrefix="1" applyFont="1" applyAlignment="1">
      <alignment horizontal="right"/>
    </xf>
    <xf numFmtId="166" fontId="3" fillId="0" borderId="0" xfId="0" applyNumberFormat="1" applyFont="1" applyAlignment="1">
      <alignment horizontal="left"/>
    </xf>
    <xf numFmtId="40" fontId="3" fillId="0" borderId="0" xfId="1" applyFont="1" applyFill="1" applyBorder="1"/>
    <xf numFmtId="38" fontId="3" fillId="4" borderId="0" xfId="0" applyFont="1" applyFill="1" applyAlignment="1">
      <alignment horizontal="center"/>
    </xf>
    <xf numFmtId="38" fontId="5" fillId="0" borderId="0" xfId="0" quotePrefix="1" applyFont="1" applyAlignment="1">
      <alignment horizontal="center"/>
    </xf>
    <xf numFmtId="38" fontId="3" fillId="4" borderId="0" xfId="0" quotePrefix="1" applyFont="1" applyFill="1" applyAlignment="1">
      <alignment horizontal="center"/>
    </xf>
    <xf numFmtId="38" fontId="14" fillId="4" borderId="0" xfId="0" quotePrefix="1" applyFont="1" applyFill="1" applyBorder="1" applyAlignment="1">
      <alignment horizontal="left"/>
    </xf>
    <xf numFmtId="40" fontId="3" fillId="4" borderId="0" xfId="1" applyFont="1" applyFill="1"/>
    <xf numFmtId="165" fontId="3" fillId="4" borderId="0" xfId="0" applyNumberFormat="1" applyFont="1" applyFill="1" applyAlignment="1">
      <alignment horizontal="center"/>
    </xf>
    <xf numFmtId="38" fontId="3" fillId="4" borderId="0" xfId="0" applyNumberFormat="1" applyFont="1" applyFill="1"/>
    <xf numFmtId="40" fontId="3" fillId="0" borderId="0" xfId="1" applyNumberFormat="1" applyFont="1"/>
    <xf numFmtId="40" fontId="5" fillId="0" borderId="0" xfId="1" applyNumberFormat="1" applyFont="1" applyAlignment="1">
      <alignment horizontal="center"/>
    </xf>
    <xf numFmtId="40" fontId="3" fillId="0" borderId="25" xfId="1" applyNumberFormat="1" applyFont="1" applyBorder="1"/>
    <xf numFmtId="40" fontId="12" fillId="0" borderId="0" xfId="1" applyNumberFormat="1" applyFont="1"/>
    <xf numFmtId="40" fontId="12" fillId="0" borderId="0" xfId="1" quotePrefix="1" applyNumberFormat="1" applyFont="1" applyAlignment="1">
      <alignment horizontal="left"/>
    </xf>
    <xf numFmtId="40" fontId="3" fillId="0" borderId="26" xfId="1" applyNumberFormat="1" applyFont="1" applyBorder="1"/>
    <xf numFmtId="38" fontId="4" fillId="5" borderId="0" xfId="0" quotePrefix="1" applyFont="1" applyFill="1" applyAlignment="1">
      <alignment horizontal="left"/>
    </xf>
    <xf numFmtId="38" fontId="3" fillId="5" borderId="0" xfId="0" quotePrefix="1" applyFont="1" applyFill="1" applyAlignment="1">
      <alignment horizontal="center"/>
    </xf>
    <xf numFmtId="38" fontId="3" fillId="5" borderId="0" xfId="0" applyFont="1" applyFill="1" applyAlignment="1">
      <alignment vertical="center"/>
    </xf>
    <xf numFmtId="38" fontId="3" fillId="5" borderId="0" xfId="0" quotePrefix="1" applyFont="1" applyFill="1" applyAlignment="1">
      <alignment horizontal="left"/>
    </xf>
    <xf numFmtId="38" fontId="6" fillId="5" borderId="0" xfId="0" applyFont="1" applyFill="1" applyAlignment="1">
      <alignment vertical="center"/>
    </xf>
    <xf numFmtId="38" fontId="3" fillId="5" borderId="0" xfId="0" applyFont="1" applyFill="1" applyAlignment="1">
      <alignment horizontal="center"/>
    </xf>
    <xf numFmtId="38" fontId="12" fillId="0" borderId="0" xfId="0" applyFont="1" applyFill="1" applyAlignment="1">
      <alignment horizontal="left"/>
    </xf>
    <xf numFmtId="38" fontId="15" fillId="0" borderId="0" xfId="0" quotePrefix="1" applyFont="1" applyFill="1" applyAlignment="1">
      <alignment horizontal="left"/>
    </xf>
    <xf numFmtId="38" fontId="15" fillId="0" borderId="0" xfId="0" applyFont="1" applyAlignment="1">
      <alignment horizontal="left"/>
    </xf>
    <xf numFmtId="167" fontId="3" fillId="0" borderId="0" xfId="0" quotePrefix="1" applyNumberFormat="1" applyFont="1" applyAlignment="1">
      <alignment horizontal="left"/>
    </xf>
    <xf numFmtId="168" fontId="3" fillId="0" borderId="0" xfId="0" applyNumberFormat="1" applyFont="1" applyFill="1" applyBorder="1"/>
    <xf numFmtId="40" fontId="3" fillId="0" borderId="0" xfId="1" applyNumberFormat="1" applyFont="1" applyFill="1" applyBorder="1"/>
    <xf numFmtId="38" fontId="16" fillId="0" borderId="0" xfId="3"/>
    <xf numFmtId="38" fontId="16" fillId="6" borderId="0" xfId="3" applyFill="1"/>
    <xf numFmtId="38" fontId="16" fillId="0" borderId="0" xfId="3" quotePrefix="1"/>
    <xf numFmtId="38" fontId="18" fillId="0" borderId="0" xfId="3" applyFont="1"/>
    <xf numFmtId="40" fontId="3" fillId="7" borderId="0" xfId="0" applyNumberFormat="1" applyFont="1" applyFill="1"/>
    <xf numFmtId="38" fontId="3" fillId="7" borderId="0" xfId="0" applyFont="1" applyFill="1"/>
    <xf numFmtId="38" fontId="3" fillId="7" borderId="9" xfId="0" applyFont="1" applyFill="1" applyBorder="1"/>
    <xf numFmtId="38" fontId="3" fillId="7" borderId="5" xfId="0" applyFont="1" applyFill="1" applyBorder="1" applyAlignment="1">
      <alignment horizontal="center"/>
    </xf>
    <xf numFmtId="40" fontId="3" fillId="7" borderId="0" xfId="1" applyNumberFormat="1" applyFont="1" applyFill="1"/>
    <xf numFmtId="38" fontId="3" fillId="7" borderId="0" xfId="0" applyNumberFormat="1" applyFont="1" applyFill="1"/>
    <xf numFmtId="14" fontId="4" fillId="7" borderId="0" xfId="0" applyNumberFormat="1" applyFont="1" applyFill="1" applyAlignment="1"/>
    <xf numFmtId="38" fontId="3" fillId="7" borderId="2" xfId="0" quotePrefix="1" applyFont="1" applyFill="1" applyBorder="1" applyAlignment="1">
      <alignment horizontal="center"/>
    </xf>
    <xf numFmtId="40" fontId="0" fillId="0" borderId="0" xfId="0" applyNumberFormat="1"/>
    <xf numFmtId="38" fontId="20" fillId="0" borderId="0" xfId="0" applyFont="1" applyAlignment="1">
      <alignment horizontal="centerContinuous"/>
    </xf>
    <xf numFmtId="38" fontId="21" fillId="0" borderId="0" xfId="0" applyFont="1" applyAlignment="1">
      <alignment horizontal="centerContinuous"/>
    </xf>
    <xf numFmtId="40" fontId="21" fillId="0" borderId="0" xfId="0" applyNumberFormat="1" applyFont="1" applyAlignment="1">
      <alignment horizontal="centerContinuous"/>
    </xf>
    <xf numFmtId="0" fontId="16" fillId="6" borderId="0" xfId="3" applyNumberFormat="1" applyFill="1" applyAlignment="1">
      <alignment horizontal="center"/>
    </xf>
    <xf numFmtId="43" fontId="0" fillId="6" borderId="0" xfId="1" applyNumberFormat="1" applyFont="1" applyFill="1" applyAlignment="1">
      <alignment horizontal="center"/>
    </xf>
    <xf numFmtId="38" fontId="16" fillId="6" borderId="0" xfId="3" applyFill="1" applyAlignment="1">
      <alignment horizontal="centerContinuous"/>
    </xf>
    <xf numFmtId="10" fontId="16" fillId="6" borderId="0" xfId="4" applyNumberFormat="1" applyFont="1" applyFill="1"/>
    <xf numFmtId="14" fontId="16" fillId="6" borderId="0" xfId="4" applyNumberFormat="1" applyFont="1" applyFill="1"/>
    <xf numFmtId="14" fontId="16" fillId="6" borderId="0" xfId="3" applyNumberFormat="1" applyFill="1"/>
    <xf numFmtId="38" fontId="19" fillId="8" borderId="0" xfId="0" applyFont="1" applyFill="1"/>
    <xf numFmtId="40" fontId="19" fillId="8" borderId="0" xfId="0" applyNumberFormat="1" applyFont="1" applyFill="1"/>
    <xf numFmtId="169" fontId="16" fillId="0" borderId="0" xfId="3" applyNumberFormat="1"/>
    <xf numFmtId="14" fontId="21" fillId="6" borderId="0" xfId="3" applyNumberFormat="1" applyFont="1" applyFill="1" applyAlignment="1">
      <alignment horizontal="centerContinuous"/>
    </xf>
    <xf numFmtId="14" fontId="16" fillId="6" borderId="0" xfId="3" applyNumberFormat="1" applyFill="1" applyAlignment="1">
      <alignment horizontal="center"/>
    </xf>
    <xf numFmtId="14" fontId="16" fillId="0" borderId="0" xfId="3" applyNumberFormat="1"/>
    <xf numFmtId="14" fontId="16" fillId="6" borderId="0" xfId="3" applyNumberFormat="1" applyFill="1" applyAlignment="1">
      <alignment horizontal="centerContinuous"/>
    </xf>
    <xf numFmtId="168" fontId="0" fillId="0" borderId="0" xfId="1" applyNumberFormat="1" applyFont="1" applyBorder="1" applyAlignment="1">
      <alignment horizontal="center"/>
    </xf>
    <xf numFmtId="40" fontId="0" fillId="0" borderId="0" xfId="1" applyFont="1" applyBorder="1" applyAlignment="1">
      <alignment horizontal="center"/>
    </xf>
    <xf numFmtId="38" fontId="16" fillId="0" borderId="0" xfId="3" applyBorder="1"/>
    <xf numFmtId="38" fontId="22" fillId="0" borderId="0" xfId="3" applyFont="1" applyBorder="1" applyAlignment="1">
      <alignment horizontal="centerContinuous"/>
    </xf>
    <xf numFmtId="38" fontId="0" fillId="0" borderId="0" xfId="0" applyBorder="1" applyAlignment="1">
      <alignment horizontal="left"/>
    </xf>
    <xf numFmtId="38" fontId="0" fillId="0" borderId="0" xfId="0" applyBorder="1" applyAlignment="1">
      <alignment horizontal="center"/>
    </xf>
    <xf numFmtId="14" fontId="0" fillId="0" borderId="0" xfId="0" applyNumberFormat="1" applyBorder="1" applyAlignment="1">
      <alignment horizontal="center"/>
    </xf>
    <xf numFmtId="38" fontId="0" fillId="0" borderId="0" xfId="0" applyBorder="1"/>
    <xf numFmtId="9" fontId="0" fillId="0" borderId="0" xfId="4" applyFont="1" applyBorder="1" applyAlignment="1">
      <alignment horizontal="center"/>
    </xf>
    <xf numFmtId="14" fontId="11" fillId="6" borderId="0" xfId="0" applyNumberFormat="1" applyFont="1" applyFill="1" applyBorder="1" applyAlignment="1" applyProtection="1">
      <alignment horizontal="centerContinuous"/>
    </xf>
    <xf numFmtId="40" fontId="16" fillId="6" borderId="0" xfId="1" applyFont="1" applyFill="1"/>
    <xf numFmtId="40" fontId="16" fillId="6" borderId="0" xfId="1" applyFont="1" applyFill="1" applyAlignment="1">
      <alignment horizontal="centerContinuous"/>
    </xf>
    <xf numFmtId="40" fontId="0" fillId="6" borderId="0" xfId="1" applyFont="1" applyFill="1" applyAlignment="1">
      <alignment horizontal="center"/>
    </xf>
    <xf numFmtId="40" fontId="16" fillId="0" borderId="0" xfId="1" applyFont="1"/>
    <xf numFmtId="40" fontId="3" fillId="0" borderId="0" xfId="1" applyFont="1"/>
    <xf numFmtId="38" fontId="5" fillId="0" borderId="0" xfId="0" applyFont="1" applyFill="1"/>
    <xf numFmtId="38" fontId="5" fillId="0" borderId="0" xfId="0" applyFont="1" applyFill="1" applyAlignment="1">
      <alignment horizontal="right"/>
    </xf>
    <xf numFmtId="38" fontId="3" fillId="0" borderId="0" xfId="0" quotePrefix="1" applyFont="1" applyFill="1" applyAlignment="1">
      <alignment horizontal="right"/>
    </xf>
    <xf numFmtId="40" fontId="3" fillId="0" borderId="0" xfId="1" applyNumberFormat="1" applyFont="1" applyFill="1"/>
    <xf numFmtId="40" fontId="3" fillId="0" borderId="25" xfId="1" applyNumberFormat="1" applyFont="1" applyFill="1" applyBorder="1"/>
    <xf numFmtId="40" fontId="3" fillId="0" borderId="26" xfId="1" applyNumberFormat="1" applyFont="1" applyFill="1" applyBorder="1"/>
    <xf numFmtId="38" fontId="3" fillId="0" borderId="0" xfId="0" applyNumberFormat="1" applyFont="1" applyFill="1"/>
    <xf numFmtId="165" fontId="5" fillId="0" borderId="0" xfId="0" applyNumberFormat="1" applyFont="1" applyFill="1" applyAlignment="1">
      <alignment horizontal="center"/>
    </xf>
    <xf numFmtId="38" fontId="19" fillId="8" borderId="0" xfId="0" applyFont="1" applyFill="1" applyAlignment="1">
      <alignment horizontal="left"/>
    </xf>
    <xf numFmtId="38" fontId="19" fillId="8" borderId="0" xfId="0" applyNumberFormat="1" applyFont="1" applyFill="1" applyAlignment="1">
      <alignment horizontal="left" indent="1"/>
    </xf>
    <xf numFmtId="38" fontId="19" fillId="8" borderId="0" xfId="0" applyFont="1" applyFill="1" applyAlignment="1">
      <alignment horizontal="left" indent="2"/>
    </xf>
    <xf numFmtId="2" fontId="16" fillId="6" borderId="0" xfId="3" applyNumberFormat="1" applyFill="1" applyAlignment="1">
      <alignment horizontal="centerContinuous"/>
    </xf>
    <xf numFmtId="2" fontId="16" fillId="6" borderId="0" xfId="4" applyNumberFormat="1" applyFont="1" applyFill="1"/>
    <xf numFmtId="2" fontId="16" fillId="6" borderId="0" xfId="3" applyNumberFormat="1" applyFill="1" applyAlignment="1">
      <alignment horizontal="center"/>
    </xf>
    <xf numFmtId="2" fontId="16" fillId="0" borderId="0" xfId="3" applyNumberFormat="1"/>
    <xf numFmtId="10" fontId="16" fillId="6" borderId="0" xfId="4" applyNumberFormat="1" applyFont="1" applyFill="1" applyAlignment="1">
      <alignment horizontal="centerContinuous"/>
    </xf>
    <xf numFmtId="14" fontId="3" fillId="0" borderId="0" xfId="0" applyNumberFormat="1" applyFont="1" applyFill="1"/>
    <xf numFmtId="38" fontId="3" fillId="0" borderId="14" xfId="0" applyFont="1" applyFill="1" applyBorder="1"/>
    <xf numFmtId="38" fontId="3" fillId="0" borderId="19" xfId="0" applyFont="1" applyFill="1" applyBorder="1" applyAlignment="1">
      <alignment horizontal="center"/>
    </xf>
    <xf numFmtId="38" fontId="3" fillId="0" borderId="0" xfId="0" applyNumberFormat="1" applyFont="1" applyFill="1" applyBorder="1"/>
    <xf numFmtId="38" fontId="3" fillId="0" borderId="0" xfId="0" applyNumberFormat="1" applyFont="1" applyFill="1" applyAlignment="1">
      <alignment horizontal="right"/>
    </xf>
    <xf numFmtId="14" fontId="3" fillId="0" borderId="9" xfId="0" applyNumberFormat="1" applyFont="1" applyFill="1" applyBorder="1"/>
    <xf numFmtId="14" fontId="3" fillId="0" borderId="0" xfId="0" applyNumberFormat="1" applyFont="1" applyAlignment="1">
      <alignment horizontal="center"/>
    </xf>
    <xf numFmtId="14" fontId="3" fillId="0" borderId="0" xfId="1" applyNumberFormat="1" applyFont="1" applyAlignment="1">
      <alignment horizontal="center"/>
    </xf>
    <xf numFmtId="40" fontId="5" fillId="0" borderId="0" xfId="0" applyNumberFormat="1" applyFont="1" applyFill="1"/>
    <xf numFmtId="40" fontId="3" fillId="0" borderId="0" xfId="0" applyNumberFormat="1" applyFont="1" applyFill="1"/>
    <xf numFmtId="49" fontId="16" fillId="6" borderId="0" xfId="3" applyNumberFormat="1" applyFill="1" applyAlignment="1">
      <alignment horizontal="centerContinuous"/>
    </xf>
    <xf numFmtId="49" fontId="16" fillId="6" borderId="0" xfId="4" applyNumberFormat="1" applyFont="1" applyFill="1"/>
    <xf numFmtId="49" fontId="16" fillId="6" borderId="0" xfId="3" applyNumberFormat="1" applyFill="1" applyAlignment="1">
      <alignment horizontal="center"/>
    </xf>
    <xf numFmtId="49" fontId="16" fillId="6" borderId="0" xfId="3" applyNumberFormat="1" applyFill="1"/>
    <xf numFmtId="49" fontId="16" fillId="0" borderId="0" xfId="3" applyNumberFormat="1"/>
    <xf numFmtId="167" fontId="3" fillId="4" borderId="0" xfId="0" quotePrefix="1" applyNumberFormat="1" applyFont="1" applyFill="1" applyAlignment="1">
      <alignment horizontal="left"/>
    </xf>
    <xf numFmtId="168" fontId="19" fillId="8" borderId="0" xfId="0" applyNumberFormat="1" applyFont="1" applyFill="1"/>
    <xf numFmtId="38" fontId="23" fillId="0" borderId="0" xfId="0" applyFont="1" applyAlignment="1">
      <alignment horizontal="centerContinuous"/>
    </xf>
    <xf numFmtId="38" fontId="24" fillId="0" borderId="0" xfId="0" applyFont="1" applyAlignment="1">
      <alignment horizontal="centerContinuous"/>
    </xf>
    <xf numFmtId="10" fontId="16" fillId="6" borderId="0" xfId="4" applyNumberFormat="1" applyFont="1" applyFill="1" applyAlignment="1">
      <alignment horizontal="center"/>
    </xf>
    <xf numFmtId="10" fontId="16" fillId="0" borderId="0" xfId="4" applyNumberFormat="1" applyFont="1"/>
    <xf numFmtId="38" fontId="0" fillId="0" borderId="0" xfId="0" applyFill="1"/>
    <xf numFmtId="40" fontId="0" fillId="0" borderId="0" xfId="0" applyNumberFormat="1" applyFill="1"/>
    <xf numFmtId="38" fontId="11" fillId="0" borderId="27" xfId="0" applyFont="1" applyFill="1" applyBorder="1" applyAlignment="1">
      <alignment horizontal="center"/>
    </xf>
    <xf numFmtId="40" fontId="11" fillId="0" borderId="27" xfId="0" applyNumberFormat="1" applyFont="1" applyFill="1" applyBorder="1" applyAlignment="1">
      <alignment horizontal="center"/>
    </xf>
    <xf numFmtId="38" fontId="0" fillId="9" borderId="21" xfId="0" applyFill="1" applyBorder="1"/>
    <xf numFmtId="40" fontId="11" fillId="9" borderId="21" xfId="0" applyNumberFormat="1" applyFont="1" applyFill="1" applyBorder="1"/>
    <xf numFmtId="49" fontId="11" fillId="10" borderId="21" xfId="0" applyNumberFormat="1" applyFont="1" applyFill="1" applyBorder="1" applyAlignment="1">
      <alignment horizontal="center"/>
    </xf>
    <xf numFmtId="38" fontId="11" fillId="10" borderId="21" xfId="0" applyFont="1" applyFill="1" applyBorder="1" applyAlignment="1">
      <alignment horizontal="center"/>
    </xf>
    <xf numFmtId="40" fontId="11" fillId="10" borderId="21" xfId="0" applyNumberFormat="1" applyFont="1" applyFill="1" applyBorder="1"/>
    <xf numFmtId="49" fontId="11" fillId="9" borderId="21" xfId="0" applyNumberFormat="1" applyFont="1" applyFill="1" applyBorder="1" applyAlignment="1">
      <alignment horizontal="center"/>
    </xf>
    <xf numFmtId="38" fontId="11" fillId="9" borderId="21" xfId="0" applyFont="1" applyFill="1" applyBorder="1" applyAlignment="1">
      <alignment horizontal="center"/>
    </xf>
    <xf numFmtId="38" fontId="0" fillId="0" borderId="27" xfId="0" applyFill="1" applyBorder="1"/>
    <xf numFmtId="38" fontId="0" fillId="10" borderId="21" xfId="0" applyFill="1" applyBorder="1"/>
    <xf numFmtId="38" fontId="0" fillId="10" borderId="24" xfId="0" applyFill="1" applyBorder="1"/>
    <xf numFmtId="40" fontId="11" fillId="10" borderId="24" xfId="0" applyNumberFormat="1" applyFont="1" applyFill="1" applyBorder="1"/>
    <xf numFmtId="38" fontId="11" fillId="10" borderId="21" xfId="0" applyFont="1" applyFill="1" applyBorder="1"/>
    <xf numFmtId="38" fontId="0" fillId="0" borderId="0" xfId="0" applyAlignment="1"/>
    <xf numFmtId="38" fontId="24" fillId="0" borderId="0" xfId="0" applyFont="1"/>
    <xf numFmtId="38" fontId="3" fillId="0" borderId="0" xfId="0" quotePrefix="1" applyFont="1"/>
    <xf numFmtId="38" fontId="27" fillId="0" borderId="0" xfId="0" quotePrefix="1" applyFont="1" applyFill="1" applyAlignment="1">
      <alignment horizontal="left"/>
    </xf>
    <xf numFmtId="38" fontId="16" fillId="0" borderId="0" xfId="0" applyFont="1"/>
    <xf numFmtId="40" fontId="0" fillId="0" borderId="0" xfId="1" applyFont="1"/>
    <xf numFmtId="40" fontId="0" fillId="11" borderId="0" xfId="1" applyFont="1" applyFill="1"/>
    <xf numFmtId="49" fontId="21" fillId="0" borderId="0" xfId="0" applyNumberFormat="1" applyFont="1" applyAlignment="1">
      <alignment horizontal="centerContinuous"/>
    </xf>
    <xf numFmtId="49" fontId="11" fillId="0" borderId="27" xfId="0" applyNumberFormat="1" applyFont="1" applyFill="1" applyBorder="1" applyAlignment="1">
      <alignment horizontal="center"/>
    </xf>
    <xf numFmtId="49" fontId="0" fillId="0" borderId="0" xfId="0" applyNumberFormat="1" applyAlignment="1">
      <alignment horizontal="center"/>
    </xf>
    <xf numFmtId="49" fontId="0" fillId="7" borderId="21" xfId="0" applyNumberFormat="1" applyFill="1" applyBorder="1" applyAlignment="1">
      <alignment horizontal="center"/>
    </xf>
    <xf numFmtId="49" fontId="0" fillId="7" borderId="24" xfId="0" applyNumberFormat="1" applyFill="1" applyBorder="1" applyAlignment="1">
      <alignment horizontal="center"/>
    </xf>
    <xf numFmtId="49" fontId="0" fillId="0" borderId="0" xfId="0" applyNumberFormat="1" applyFill="1" applyAlignment="1">
      <alignment horizontal="center"/>
    </xf>
    <xf numFmtId="49" fontId="16" fillId="7" borderId="21" xfId="0" applyNumberFormat="1" applyFont="1" applyFill="1" applyBorder="1" applyAlignment="1">
      <alignment horizontal="center"/>
    </xf>
    <xf numFmtId="2" fontId="16" fillId="0" borderId="0" xfId="0" applyNumberFormat="1" applyFont="1"/>
    <xf numFmtId="14" fontId="3" fillId="5" borderId="0" xfId="0" quotePrefix="1" applyNumberFormat="1" applyFont="1" applyFill="1" applyAlignment="1">
      <alignment horizontal="center"/>
    </xf>
    <xf numFmtId="170" fontId="3" fillId="5" borderId="0" xfId="0" quotePrefix="1" applyNumberFormat="1" applyFont="1" applyFill="1" applyAlignment="1">
      <alignment horizontal="center"/>
    </xf>
    <xf numFmtId="40" fontId="28" fillId="0" borderId="0" xfId="1" applyFont="1" applyAlignment="1">
      <alignment horizontal="right"/>
    </xf>
    <xf numFmtId="14" fontId="11" fillId="6" borderId="0" xfId="0" applyNumberFormat="1" applyFont="1" applyFill="1" applyBorder="1" applyAlignment="1" applyProtection="1">
      <alignment horizontal="left"/>
    </xf>
    <xf numFmtId="38" fontId="0" fillId="6" borderId="0" xfId="0" applyFill="1" applyAlignment="1">
      <alignment horizontal="left"/>
    </xf>
    <xf numFmtId="40" fontId="11" fillId="6" borderId="0" xfId="1" applyFont="1" applyFill="1" applyBorder="1" applyAlignment="1" applyProtection="1">
      <alignment horizontal="left"/>
    </xf>
    <xf numFmtId="10" fontId="16" fillId="6" borderId="0" xfId="4" applyNumberFormat="1" applyFont="1" applyFill="1" applyAlignment="1">
      <alignment horizontal="left"/>
    </xf>
    <xf numFmtId="14" fontId="16" fillId="6" borderId="0" xfId="4" applyNumberFormat="1" applyFont="1" applyFill="1" applyAlignment="1">
      <alignment horizontal="left"/>
    </xf>
    <xf numFmtId="2" fontId="16" fillId="6" borderId="0" xfId="4" applyNumberFormat="1" applyFont="1" applyFill="1" applyAlignment="1">
      <alignment horizontal="left"/>
    </xf>
    <xf numFmtId="38" fontId="16" fillId="6" borderId="0" xfId="3" applyNumberFormat="1" applyFill="1" applyAlignment="1">
      <alignment horizontal="left"/>
    </xf>
    <xf numFmtId="0" fontId="16" fillId="6" borderId="0" xfId="4" applyNumberFormat="1" applyFont="1" applyFill="1" applyAlignment="1">
      <alignment horizontal="left"/>
    </xf>
    <xf numFmtId="38" fontId="18" fillId="0" borderId="28" xfId="3" applyFont="1" applyBorder="1"/>
    <xf numFmtId="38" fontId="18" fillId="0" borderId="29" xfId="3" applyFont="1" applyBorder="1"/>
    <xf numFmtId="38" fontId="16" fillId="0" borderId="30" xfId="3" applyBorder="1"/>
    <xf numFmtId="38" fontId="16" fillId="0" borderId="31" xfId="3" applyBorder="1"/>
    <xf numFmtId="38" fontId="16" fillId="0" borderId="32" xfId="3" applyBorder="1"/>
    <xf numFmtId="38" fontId="16" fillId="0" borderId="33" xfId="3" applyBorder="1"/>
    <xf numFmtId="38" fontId="18" fillId="0" borderId="27" xfId="3" applyFont="1" applyBorder="1"/>
    <xf numFmtId="38" fontId="16" fillId="0" borderId="24" xfId="3" applyBorder="1"/>
    <xf numFmtId="38" fontId="16" fillId="9" borderId="27" xfId="3" applyFill="1" applyBorder="1"/>
    <xf numFmtId="38" fontId="16" fillId="9" borderId="21" xfId="3" applyFill="1" applyBorder="1"/>
    <xf numFmtId="38" fontId="16" fillId="9" borderId="24" xfId="3" applyFill="1" applyBorder="1"/>
    <xf numFmtId="38" fontId="16" fillId="0" borderId="28" xfId="3" applyBorder="1"/>
    <xf numFmtId="38" fontId="16" fillId="0" borderId="34" xfId="3" applyBorder="1"/>
    <xf numFmtId="169" fontId="16" fillId="0" borderId="34" xfId="3" applyNumberFormat="1" applyBorder="1"/>
    <xf numFmtId="38" fontId="16" fillId="0" borderId="29" xfId="3" applyBorder="1"/>
    <xf numFmtId="169" fontId="16" fillId="0" borderId="0" xfId="3" applyNumberFormat="1" applyBorder="1"/>
    <xf numFmtId="38" fontId="16" fillId="0" borderId="22" xfId="3" applyBorder="1"/>
    <xf numFmtId="38" fontId="16" fillId="0" borderId="22" xfId="3" quotePrefix="1" applyBorder="1"/>
    <xf numFmtId="169" fontId="16" fillId="0" borderId="22" xfId="3" quotePrefix="1" applyNumberFormat="1" applyBorder="1"/>
    <xf numFmtId="38" fontId="16" fillId="0" borderId="27" xfId="3" applyBorder="1"/>
    <xf numFmtId="38" fontId="16" fillId="0" borderId="21" xfId="3" applyBorder="1"/>
    <xf numFmtId="40" fontId="29" fillId="0" borderId="0" xfId="0" applyNumberFormat="1" applyFont="1"/>
    <xf numFmtId="171" fontId="16" fillId="6" borderId="0" xfId="3" applyNumberFormat="1" applyFill="1" applyAlignment="1">
      <alignment horizontal="centerContinuous"/>
    </xf>
    <xf numFmtId="171" fontId="16" fillId="6" borderId="0" xfId="3" applyNumberFormat="1" applyFill="1"/>
    <xf numFmtId="171" fontId="0" fillId="6" borderId="0" xfId="1" applyNumberFormat="1" applyFont="1" applyFill="1" applyAlignment="1">
      <alignment horizontal="center"/>
    </xf>
    <xf numFmtId="171" fontId="0" fillId="6" borderId="0" xfId="0" applyNumberFormat="1" applyFill="1" applyAlignment="1">
      <alignment horizontal="left"/>
    </xf>
    <xf numFmtId="171" fontId="16" fillId="0" borderId="0" xfId="3" applyNumberFormat="1"/>
    <xf numFmtId="4" fontId="16" fillId="6" borderId="0" xfId="3" applyNumberFormat="1" applyFill="1" applyAlignment="1">
      <alignment horizontal="centerContinuous"/>
    </xf>
    <xf numFmtId="4" fontId="16" fillId="6" borderId="0" xfId="4" applyNumberFormat="1" applyFont="1" applyFill="1"/>
    <xf numFmtId="4" fontId="16" fillId="6" borderId="0" xfId="3" applyNumberFormat="1" applyFill="1" applyAlignment="1">
      <alignment horizontal="center"/>
    </xf>
    <xf numFmtId="4" fontId="16" fillId="6" borderId="0" xfId="4" applyNumberFormat="1" applyFont="1" applyFill="1" applyAlignment="1">
      <alignment horizontal="left"/>
    </xf>
    <xf numFmtId="4" fontId="16" fillId="6" borderId="0" xfId="3" applyNumberFormat="1" applyFill="1"/>
    <xf numFmtId="4" fontId="16" fillId="0" borderId="0" xfId="3" applyNumberFormat="1"/>
    <xf numFmtId="168" fontId="16" fillId="0" borderId="0" xfId="3" applyNumberFormat="1"/>
    <xf numFmtId="38" fontId="18" fillId="0" borderId="27" xfId="3" applyFont="1" applyBorder="1" applyAlignment="1">
      <alignment horizontal="center"/>
    </xf>
    <xf numFmtId="14" fontId="0" fillId="0" borderId="0" xfId="0" applyNumberFormat="1"/>
    <xf numFmtId="166" fontId="0" fillId="0" borderId="0" xfId="0" applyNumberFormat="1"/>
    <xf numFmtId="38" fontId="0" fillId="0" borderId="35" xfId="0" pivotButton="1" applyBorder="1"/>
    <xf numFmtId="38" fontId="0" fillId="0" borderId="36" xfId="0" applyBorder="1" applyAlignment="1">
      <alignment horizontal="left"/>
    </xf>
  </cellXfs>
  <cellStyles count="6">
    <cellStyle name="Comma" xfId="1" builtinId="3"/>
    <cellStyle name="Normal" xfId="0" builtinId="0"/>
    <cellStyle name="Normal 2" xfId="3"/>
    <cellStyle name="Percent" xfId="4" builtinId="5"/>
    <cellStyle name="Percent 2" xfId="5"/>
    <cellStyle name="red" xfId="2"/>
  </cellStyles>
  <dxfs count="19">
    <dxf>
      <font>
        <color rgb="FFFF0000"/>
      </font>
    </dxf>
    <dxf>
      <fill>
        <patternFill>
          <bgColor rgb="FFFFFF00"/>
        </patternFill>
      </fill>
    </dxf>
    <dxf>
      <font>
        <color rgb="FFFF0000"/>
      </font>
    </dxf>
    <dxf>
      <fill>
        <patternFill>
          <bgColor rgb="FFFFFF00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numFmt numFmtId="8" formatCode="#,##0.00_);[Red]\(#,##0.00\)"/>
    </dxf>
    <dxf>
      <numFmt numFmtId="8" formatCode="#,##0.00_);[Red]\(#,##0.00\)"/>
    </dxf>
    <dxf>
      <numFmt numFmtId="8" formatCode="#,##0.00_);[Red]\(#,##0.00\)"/>
    </dxf>
    <dxf>
      <numFmt numFmtId="8" formatCode="#,##0.00_);[Red]\(#,##0.00\)"/>
    </dxf>
    <dxf>
      <numFmt numFmtId="168" formatCode="#,##0.000_);[Red]\(#,##0.000\)"/>
    </dxf>
    <dxf>
      <fill>
        <patternFill>
          <bgColor theme="8" tint="-0.249977111117893"/>
        </patternFill>
      </fill>
    </dxf>
    <dxf>
      <font>
        <color theme="0"/>
      </font>
    </dxf>
    <dxf>
      <fill>
        <patternFill patternType="solid">
          <bgColor theme="0" tint="-0.249977111117893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219075</xdr:colOff>
      <xdr:row>10</xdr:row>
      <xdr:rowOff>85726</xdr:rowOff>
    </xdr:from>
    <xdr:to>
      <xdr:col>0</xdr:col>
      <xdr:colOff>1476374</xdr:colOff>
      <xdr:row>15</xdr:row>
      <xdr:rowOff>9525</xdr:rowOff>
    </xdr:to>
    <xdr:sp macro="[0]!RunForm1" textlink="">
      <xdr:nvSpPr>
        <xdr:cNvPr id="2" name="Bevel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 bwMode="auto">
        <a:xfrm>
          <a:off x="219075" y="1514476"/>
          <a:ext cx="1257299" cy="638174"/>
        </a:xfrm>
        <a:prstGeom prst="bevel">
          <a:avLst/>
        </a:prstGeom>
        <a:solidFill>
          <a:schemeClr val="accent3">
            <a:lumMod val="40000"/>
            <a:lumOff val="60000"/>
          </a:schemeClr>
        </a:solidFill>
        <a:ln w="9525" cap="flat" cmpd="sng" algn="ctr">
          <a:solidFill>
            <a:schemeClr val="accent3">
              <a:lumMod val="50000"/>
            </a:schemeClr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1000">
              <a:solidFill>
                <a:schemeClr val="accent3">
                  <a:lumMod val="50000"/>
                </a:schemeClr>
              </a:solidFill>
              <a:latin typeface="Times New Roman" pitchFamily="18" charset="0"/>
              <a:cs typeface="Times New Roman" pitchFamily="18" charset="0"/>
            </a:rPr>
            <a:t>Show Form</a:t>
          </a:r>
        </a:p>
      </xdr:txBody>
    </xdr:sp>
    <xdr:clientData/>
  </xdr:twoCellAnchor>
  <xdr:twoCellAnchor>
    <xdr:from>
      <xdr:col>0</xdr:col>
      <xdr:colOff>247650</xdr:colOff>
      <xdr:row>18</xdr:row>
      <xdr:rowOff>57150</xdr:rowOff>
    </xdr:from>
    <xdr:to>
      <xdr:col>0</xdr:col>
      <xdr:colOff>1495425</xdr:colOff>
      <xdr:row>23</xdr:row>
      <xdr:rowOff>0</xdr:rowOff>
    </xdr:to>
    <xdr:sp macro="[0]!RunForm3" textlink="">
      <xdr:nvSpPr>
        <xdr:cNvPr id="3" name="Bevel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 bwMode="auto">
        <a:xfrm>
          <a:off x="247650" y="2628900"/>
          <a:ext cx="1247775" cy="657225"/>
        </a:xfrm>
        <a:prstGeom prst="bevel">
          <a:avLst/>
        </a:prstGeom>
        <a:solidFill>
          <a:schemeClr val="accent3">
            <a:lumMod val="40000"/>
            <a:lumOff val="60000"/>
          </a:schemeClr>
        </a:solidFill>
        <a:ln w="9525" cap="flat" cmpd="sng" algn="ctr">
          <a:solidFill>
            <a:schemeClr val="accent3">
              <a:lumMod val="50000"/>
            </a:schemeClr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1000">
              <a:solidFill>
                <a:schemeClr val="accent3">
                  <a:lumMod val="50000"/>
                </a:schemeClr>
              </a:solidFill>
              <a:latin typeface="Times New Roman" pitchFamily="18" charset="0"/>
              <a:cs typeface="Times New Roman" pitchFamily="18" charset="0"/>
            </a:rPr>
            <a:t>Post Transactions to Schedd</a:t>
          </a:r>
        </a:p>
      </xdr:txBody>
    </xdr:sp>
    <xdr:clientData/>
  </xdr:twoCellAnchor>
  <xdr:twoCellAnchor>
    <xdr:from>
      <xdr:col>0</xdr:col>
      <xdr:colOff>238125</xdr:colOff>
      <xdr:row>1</xdr:row>
      <xdr:rowOff>57150</xdr:rowOff>
    </xdr:from>
    <xdr:to>
      <xdr:col>0</xdr:col>
      <xdr:colOff>1485900</xdr:colOff>
      <xdr:row>5</xdr:row>
      <xdr:rowOff>123825</xdr:rowOff>
    </xdr:to>
    <xdr:sp macro="[0]!RunForm2" textlink="">
      <xdr:nvSpPr>
        <xdr:cNvPr id="4" name="Bevel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 bwMode="auto">
        <a:xfrm>
          <a:off x="238125" y="200025"/>
          <a:ext cx="1247775" cy="638175"/>
        </a:xfrm>
        <a:prstGeom prst="bevel">
          <a:avLst/>
        </a:prstGeom>
        <a:solidFill>
          <a:schemeClr val="accent3">
            <a:lumMod val="40000"/>
            <a:lumOff val="60000"/>
          </a:schemeClr>
        </a:solidFill>
        <a:ln w="9525" cap="flat" cmpd="sng" algn="ctr">
          <a:solidFill>
            <a:schemeClr val="accent3">
              <a:lumMod val="50000"/>
            </a:schemeClr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1000">
              <a:solidFill>
                <a:schemeClr val="accent3">
                  <a:lumMod val="50000"/>
                </a:schemeClr>
              </a:solidFill>
              <a:latin typeface="Times New Roman" pitchFamily="18" charset="0"/>
              <a:cs typeface="Times New Roman" pitchFamily="18" charset="0"/>
            </a:rPr>
            <a:t>Bring Forward Schedd</a:t>
          </a:r>
        </a:p>
      </xdr:txBody>
    </xdr:sp>
    <xdr:clientData/>
  </xdr:twoCellAnchor>
  <xdr:twoCellAnchor>
    <xdr:from>
      <xdr:col>0</xdr:col>
      <xdr:colOff>285750</xdr:colOff>
      <xdr:row>26</xdr:row>
      <xdr:rowOff>38100</xdr:rowOff>
    </xdr:from>
    <xdr:to>
      <xdr:col>0</xdr:col>
      <xdr:colOff>1533525</xdr:colOff>
      <xdr:row>31</xdr:row>
      <xdr:rowOff>57150</xdr:rowOff>
    </xdr:to>
    <xdr:sp macro="[0]!RollBack" textlink="">
      <xdr:nvSpPr>
        <xdr:cNvPr id="5" name="Bevel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 bwMode="auto">
        <a:xfrm>
          <a:off x="285750" y="4152900"/>
          <a:ext cx="1247775" cy="733425"/>
        </a:xfrm>
        <a:prstGeom prst="bevel">
          <a:avLst/>
        </a:prstGeom>
        <a:solidFill>
          <a:schemeClr val="accent5">
            <a:lumMod val="40000"/>
            <a:lumOff val="60000"/>
          </a:schemeClr>
        </a:solidFill>
        <a:ln w="9525" cap="flat" cmpd="sng" algn="ctr">
          <a:solidFill>
            <a:schemeClr val="accent3">
              <a:lumMod val="50000"/>
            </a:schemeClr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1000">
              <a:solidFill>
                <a:schemeClr val="accent3">
                  <a:lumMod val="50000"/>
                </a:schemeClr>
              </a:solidFill>
              <a:latin typeface="Times New Roman" pitchFamily="18" charset="0"/>
              <a:cs typeface="Times New Roman" pitchFamily="18" charset="0"/>
            </a:rPr>
            <a:t>Roll Back Schedd To BOY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409575</xdr:colOff>
      <xdr:row>0</xdr:row>
      <xdr:rowOff>85726</xdr:rowOff>
    </xdr:from>
    <xdr:to>
      <xdr:col>8</xdr:col>
      <xdr:colOff>304799</xdr:colOff>
      <xdr:row>1</xdr:row>
      <xdr:rowOff>323850</xdr:rowOff>
    </xdr:to>
    <xdr:sp macro="[0]!RunForm1" textlink="">
      <xdr:nvSpPr>
        <xdr:cNvPr id="2" name="Bevel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 bwMode="auto">
        <a:xfrm>
          <a:off x="6934200" y="85726"/>
          <a:ext cx="1257299" cy="638174"/>
        </a:xfrm>
        <a:prstGeom prst="bevel">
          <a:avLst/>
        </a:prstGeom>
        <a:solidFill>
          <a:schemeClr val="accent3">
            <a:lumMod val="40000"/>
            <a:lumOff val="60000"/>
          </a:schemeClr>
        </a:solidFill>
        <a:ln w="9525" cap="flat" cmpd="sng" algn="ctr">
          <a:solidFill>
            <a:schemeClr val="accent3">
              <a:lumMod val="50000"/>
            </a:schemeClr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1000">
              <a:solidFill>
                <a:schemeClr val="accent3">
                  <a:lumMod val="50000"/>
                </a:schemeClr>
              </a:solidFill>
              <a:latin typeface="Times New Roman" pitchFamily="18" charset="0"/>
              <a:cs typeface="Times New Roman" pitchFamily="18" charset="0"/>
            </a:rPr>
            <a:t>Show Form</a:t>
          </a:r>
        </a:p>
      </xdr:txBody>
    </xdr:sp>
    <xdr:clientData/>
  </xdr:twoCellAnchor>
  <xdr:twoCellAnchor>
    <xdr:from>
      <xdr:col>8</xdr:col>
      <xdr:colOff>400050</xdr:colOff>
      <xdr:row>0</xdr:row>
      <xdr:rowOff>85725</xdr:rowOff>
    </xdr:from>
    <xdr:to>
      <xdr:col>10</xdr:col>
      <xdr:colOff>9525</xdr:colOff>
      <xdr:row>1</xdr:row>
      <xdr:rowOff>342900</xdr:rowOff>
    </xdr:to>
    <xdr:sp macro="[0]!RunForm3" textlink="">
      <xdr:nvSpPr>
        <xdr:cNvPr id="3" name="Bevel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 bwMode="auto">
        <a:xfrm>
          <a:off x="8286750" y="85725"/>
          <a:ext cx="1247775" cy="657225"/>
        </a:xfrm>
        <a:prstGeom prst="bevel">
          <a:avLst/>
        </a:prstGeom>
        <a:solidFill>
          <a:schemeClr val="accent3">
            <a:lumMod val="40000"/>
            <a:lumOff val="60000"/>
          </a:schemeClr>
        </a:solidFill>
        <a:ln w="9525" cap="flat" cmpd="sng" algn="ctr">
          <a:solidFill>
            <a:schemeClr val="accent3">
              <a:lumMod val="50000"/>
            </a:schemeClr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1000">
              <a:solidFill>
                <a:schemeClr val="accent3">
                  <a:lumMod val="50000"/>
                </a:schemeClr>
              </a:solidFill>
              <a:latin typeface="Times New Roman" pitchFamily="18" charset="0"/>
              <a:cs typeface="Times New Roman" pitchFamily="18" charset="0"/>
            </a:rPr>
            <a:t>Post Transactions to Schedd</a:t>
          </a:r>
        </a:p>
      </xdr:txBody>
    </xdr:sp>
    <xdr:clientData/>
  </xdr:twoCellAnchor>
  <xdr:twoCellAnchor>
    <xdr:from>
      <xdr:col>10</xdr:col>
      <xdr:colOff>104775</xdr:colOff>
      <xdr:row>0</xdr:row>
      <xdr:rowOff>104775</xdr:rowOff>
    </xdr:from>
    <xdr:to>
      <xdr:col>12</xdr:col>
      <xdr:colOff>0</xdr:colOff>
      <xdr:row>1</xdr:row>
      <xdr:rowOff>342900</xdr:rowOff>
    </xdr:to>
    <xdr:sp macro="[0]!RunForm2" textlink="">
      <xdr:nvSpPr>
        <xdr:cNvPr id="5" name="Bevel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 bwMode="auto">
        <a:xfrm>
          <a:off x="9629775" y="104775"/>
          <a:ext cx="1247775" cy="638175"/>
        </a:xfrm>
        <a:prstGeom prst="bevel">
          <a:avLst/>
        </a:prstGeom>
        <a:solidFill>
          <a:schemeClr val="accent3">
            <a:lumMod val="40000"/>
            <a:lumOff val="60000"/>
          </a:schemeClr>
        </a:solidFill>
        <a:ln w="9525" cap="flat" cmpd="sng" algn="ctr">
          <a:solidFill>
            <a:schemeClr val="accent3">
              <a:lumMod val="50000"/>
            </a:schemeClr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1000">
              <a:solidFill>
                <a:schemeClr val="accent3">
                  <a:lumMod val="50000"/>
                </a:schemeClr>
              </a:solidFill>
              <a:latin typeface="Times New Roman" pitchFamily="18" charset="0"/>
              <a:cs typeface="Times New Roman" pitchFamily="18" charset="0"/>
            </a:rPr>
            <a:t>Bring Forward Schedd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485775</xdr:colOff>
      <xdr:row>0</xdr:row>
      <xdr:rowOff>19050</xdr:rowOff>
    </xdr:from>
    <xdr:to>
      <xdr:col>12</xdr:col>
      <xdr:colOff>133350</xdr:colOff>
      <xdr:row>2</xdr:row>
      <xdr:rowOff>114300</xdr:rowOff>
    </xdr:to>
    <xdr:sp macro="[0]!RefreshSummary" textlink="">
      <xdr:nvSpPr>
        <xdr:cNvPr id="2" name="Bevel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 bwMode="auto">
        <a:xfrm>
          <a:off x="6886575" y="19050"/>
          <a:ext cx="1971675" cy="381000"/>
        </a:xfrm>
        <a:prstGeom prst="bevel">
          <a:avLst/>
        </a:prstGeom>
        <a:solidFill>
          <a:schemeClr val="accent3">
            <a:lumMod val="40000"/>
            <a:lumOff val="60000"/>
          </a:schemeClr>
        </a:solidFill>
        <a:ln w="9525" cap="flat" cmpd="sng" algn="ctr">
          <a:solidFill>
            <a:schemeClr val="accent3">
              <a:lumMod val="50000"/>
            </a:schemeClr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1000">
              <a:solidFill>
                <a:schemeClr val="accent3">
                  <a:lumMod val="50000"/>
                </a:schemeClr>
              </a:solidFill>
              <a:latin typeface="Times New Roman" pitchFamily="18" charset="0"/>
              <a:cs typeface="Times New Roman" pitchFamily="18" charset="0"/>
            </a:rPr>
            <a:t>Refresh</a:t>
          </a:r>
          <a:r>
            <a:rPr lang="en-US" sz="1000" baseline="0">
              <a:solidFill>
                <a:schemeClr val="accent3">
                  <a:lumMod val="50000"/>
                </a:schemeClr>
              </a:solidFill>
              <a:latin typeface="Times New Roman" pitchFamily="18" charset="0"/>
              <a:cs typeface="Times New Roman" pitchFamily="18" charset="0"/>
            </a:rPr>
            <a:t> Summary</a:t>
          </a:r>
          <a:endParaRPr lang="en-US" sz="1000">
            <a:solidFill>
              <a:schemeClr val="accent3">
                <a:lumMod val="50000"/>
              </a:schemeClr>
            </a:solidFill>
            <a:latin typeface="Times New Roman" pitchFamily="18" charset="0"/>
            <a:cs typeface="Times New Roman" pitchFamily="18" charset="0"/>
          </a:endParaRPr>
        </a:p>
      </xdr:txBody>
    </xdr:sp>
    <xdr:clientData/>
  </xdr:twoCellAnchor>
  <xdr:twoCellAnchor>
    <xdr:from>
      <xdr:col>1</xdr:col>
      <xdr:colOff>66675</xdr:colOff>
      <xdr:row>0</xdr:row>
      <xdr:rowOff>66676</xdr:rowOff>
    </xdr:from>
    <xdr:to>
      <xdr:col>2</xdr:col>
      <xdr:colOff>200460</xdr:colOff>
      <xdr:row>2</xdr:row>
      <xdr:rowOff>66676</xdr:rowOff>
    </xdr:to>
    <xdr:sp macro="[0]!RunForm1" textlink="">
      <xdr:nvSpPr>
        <xdr:cNvPr id="3" name="Bevel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 bwMode="auto">
        <a:xfrm>
          <a:off x="1571625" y="66676"/>
          <a:ext cx="1314885" cy="285750"/>
        </a:xfrm>
        <a:prstGeom prst="bevel">
          <a:avLst/>
        </a:prstGeom>
        <a:solidFill>
          <a:schemeClr val="accent3">
            <a:lumMod val="40000"/>
            <a:lumOff val="60000"/>
          </a:schemeClr>
        </a:solidFill>
        <a:ln w="9525" cap="flat" cmpd="sng" algn="ctr">
          <a:solidFill>
            <a:schemeClr val="accent3">
              <a:lumMod val="50000"/>
            </a:schemeClr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1000">
              <a:solidFill>
                <a:schemeClr val="accent3">
                  <a:lumMod val="50000"/>
                </a:schemeClr>
              </a:solidFill>
              <a:latin typeface="Times New Roman" pitchFamily="18" charset="0"/>
              <a:cs typeface="Times New Roman" pitchFamily="18" charset="0"/>
            </a:rPr>
            <a:t>Show Form</a:t>
          </a:r>
        </a:p>
      </xdr:txBody>
    </xdr:sp>
    <xdr:clientData/>
  </xdr:twoCellAnchor>
  <xdr:twoCellAnchor>
    <xdr:from>
      <xdr:col>2</xdr:col>
      <xdr:colOff>238125</xdr:colOff>
      <xdr:row>0</xdr:row>
      <xdr:rowOff>66676</xdr:rowOff>
    </xdr:from>
    <xdr:to>
      <xdr:col>4</xdr:col>
      <xdr:colOff>247650</xdr:colOff>
      <xdr:row>2</xdr:row>
      <xdr:rowOff>75206</xdr:rowOff>
    </xdr:to>
    <xdr:sp macro="[0]!RunForm3" textlink="">
      <xdr:nvSpPr>
        <xdr:cNvPr id="4" name="Bevel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 bwMode="auto">
        <a:xfrm>
          <a:off x="2924175" y="66676"/>
          <a:ext cx="1304925" cy="294280"/>
        </a:xfrm>
        <a:prstGeom prst="bevel">
          <a:avLst/>
        </a:prstGeom>
        <a:solidFill>
          <a:schemeClr val="accent3">
            <a:lumMod val="40000"/>
            <a:lumOff val="60000"/>
          </a:schemeClr>
        </a:solidFill>
        <a:ln w="9525" cap="flat" cmpd="sng" algn="ctr">
          <a:solidFill>
            <a:schemeClr val="accent3">
              <a:lumMod val="50000"/>
            </a:schemeClr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1000">
              <a:solidFill>
                <a:schemeClr val="accent3">
                  <a:lumMod val="50000"/>
                </a:schemeClr>
              </a:solidFill>
              <a:latin typeface="Times New Roman" pitchFamily="18" charset="0"/>
              <a:cs typeface="Times New Roman" pitchFamily="18" charset="0"/>
            </a:rPr>
            <a:t>Post Transactions to Schedd</a:t>
          </a:r>
        </a:p>
      </xdr:txBody>
    </xdr:sp>
    <xdr:clientData/>
  </xdr:twoCellAnchor>
  <xdr:twoCellAnchor>
    <xdr:from>
      <xdr:col>4</xdr:col>
      <xdr:colOff>285750</xdr:colOff>
      <xdr:row>0</xdr:row>
      <xdr:rowOff>76201</xdr:rowOff>
    </xdr:from>
    <xdr:to>
      <xdr:col>6</xdr:col>
      <xdr:colOff>333375</xdr:colOff>
      <xdr:row>2</xdr:row>
      <xdr:rowOff>76201</xdr:rowOff>
    </xdr:to>
    <xdr:sp macro="[0]!RunForm2" textlink="">
      <xdr:nvSpPr>
        <xdr:cNvPr id="5" name="Bevel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 bwMode="auto">
        <a:xfrm>
          <a:off x="4267200" y="76201"/>
          <a:ext cx="1304925" cy="285750"/>
        </a:xfrm>
        <a:prstGeom prst="bevel">
          <a:avLst/>
        </a:prstGeom>
        <a:solidFill>
          <a:schemeClr val="accent3">
            <a:lumMod val="40000"/>
            <a:lumOff val="60000"/>
          </a:schemeClr>
        </a:solidFill>
        <a:ln w="9525" cap="flat" cmpd="sng" algn="ctr">
          <a:solidFill>
            <a:schemeClr val="accent3">
              <a:lumMod val="50000"/>
            </a:schemeClr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1000">
              <a:solidFill>
                <a:schemeClr val="accent3">
                  <a:lumMod val="50000"/>
                </a:schemeClr>
              </a:solidFill>
              <a:latin typeface="Times New Roman" pitchFamily="18" charset="0"/>
              <a:cs typeface="Times New Roman" pitchFamily="18" charset="0"/>
            </a:rPr>
            <a:t>Bring Forward Schedd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1</xdr:row>
      <xdr:rowOff>1</xdr:rowOff>
    </xdr:from>
    <xdr:to>
      <xdr:col>13</xdr:col>
      <xdr:colOff>461682</xdr:colOff>
      <xdr:row>5</xdr:row>
      <xdr:rowOff>10645</xdr:rowOff>
    </xdr:to>
    <xdr:sp macro="[0]!RunForm1" textlink="">
      <xdr:nvSpPr>
        <xdr:cNvPr id="5" name="Bevel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 bwMode="auto">
        <a:xfrm>
          <a:off x="8987118" y="156883"/>
          <a:ext cx="1257299" cy="638174"/>
        </a:xfrm>
        <a:prstGeom prst="bevel">
          <a:avLst/>
        </a:prstGeom>
        <a:solidFill>
          <a:schemeClr val="accent3">
            <a:lumMod val="40000"/>
            <a:lumOff val="60000"/>
          </a:schemeClr>
        </a:solidFill>
        <a:ln w="9525" cap="flat" cmpd="sng" algn="ctr">
          <a:solidFill>
            <a:schemeClr val="accent3">
              <a:lumMod val="50000"/>
            </a:schemeClr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1000">
              <a:solidFill>
                <a:schemeClr val="accent3">
                  <a:lumMod val="50000"/>
                </a:schemeClr>
              </a:solidFill>
              <a:latin typeface="Times New Roman" pitchFamily="18" charset="0"/>
              <a:cs typeface="Times New Roman" pitchFamily="18" charset="0"/>
            </a:rPr>
            <a:t>Show Form</a:t>
          </a:r>
        </a:p>
      </xdr:txBody>
    </xdr:sp>
    <xdr:clientData/>
  </xdr:twoCellAnchor>
  <xdr:twoCellAnchor>
    <xdr:from>
      <xdr:col>13</xdr:col>
      <xdr:colOff>556933</xdr:colOff>
      <xdr:row>1</xdr:row>
      <xdr:rowOff>0</xdr:rowOff>
    </xdr:from>
    <xdr:to>
      <xdr:col>15</xdr:col>
      <xdr:colOff>392767</xdr:colOff>
      <xdr:row>5</xdr:row>
      <xdr:rowOff>29695</xdr:rowOff>
    </xdr:to>
    <xdr:sp macro="[0]!RunForm3" textlink="">
      <xdr:nvSpPr>
        <xdr:cNvPr id="6" name="Bevel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 bwMode="auto">
        <a:xfrm>
          <a:off x="10339668" y="156882"/>
          <a:ext cx="1247775" cy="657225"/>
        </a:xfrm>
        <a:prstGeom prst="bevel">
          <a:avLst/>
        </a:prstGeom>
        <a:solidFill>
          <a:schemeClr val="accent3">
            <a:lumMod val="40000"/>
            <a:lumOff val="60000"/>
          </a:schemeClr>
        </a:solidFill>
        <a:ln w="9525" cap="flat" cmpd="sng" algn="ctr">
          <a:solidFill>
            <a:schemeClr val="accent3">
              <a:lumMod val="50000"/>
            </a:schemeClr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1000">
              <a:solidFill>
                <a:schemeClr val="accent3">
                  <a:lumMod val="50000"/>
                </a:schemeClr>
              </a:solidFill>
              <a:latin typeface="Times New Roman" pitchFamily="18" charset="0"/>
              <a:cs typeface="Times New Roman" pitchFamily="18" charset="0"/>
            </a:rPr>
            <a:t>Post Transactions to Schedd</a:t>
          </a:r>
        </a:p>
      </xdr:txBody>
    </xdr:sp>
    <xdr:clientData/>
  </xdr:twoCellAnchor>
  <xdr:twoCellAnchor>
    <xdr:from>
      <xdr:col>15</xdr:col>
      <xdr:colOff>488017</xdr:colOff>
      <xdr:row>1</xdr:row>
      <xdr:rowOff>19050</xdr:rowOff>
    </xdr:from>
    <xdr:to>
      <xdr:col>18</xdr:col>
      <xdr:colOff>234203</xdr:colOff>
      <xdr:row>5</xdr:row>
      <xdr:rowOff>29695</xdr:rowOff>
    </xdr:to>
    <xdr:sp macro="[0]!RunForm2" textlink="">
      <xdr:nvSpPr>
        <xdr:cNvPr id="7" name="Bevel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/>
      </xdr:nvSpPr>
      <xdr:spPr bwMode="auto">
        <a:xfrm>
          <a:off x="11682693" y="175932"/>
          <a:ext cx="1247775" cy="638175"/>
        </a:xfrm>
        <a:prstGeom prst="bevel">
          <a:avLst/>
        </a:prstGeom>
        <a:solidFill>
          <a:schemeClr val="accent3">
            <a:lumMod val="40000"/>
            <a:lumOff val="60000"/>
          </a:schemeClr>
        </a:solidFill>
        <a:ln w="9525" cap="flat" cmpd="sng" algn="ctr">
          <a:solidFill>
            <a:schemeClr val="accent3">
              <a:lumMod val="50000"/>
            </a:schemeClr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1000">
              <a:solidFill>
                <a:schemeClr val="accent3">
                  <a:lumMod val="50000"/>
                </a:schemeClr>
              </a:solidFill>
              <a:latin typeface="Times New Roman" pitchFamily="18" charset="0"/>
              <a:cs typeface="Times New Roman" pitchFamily="18" charset="0"/>
            </a:rPr>
            <a:t>Bring Forward Schedd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0</xdr:row>
          <xdr:rowOff>38100</xdr:rowOff>
        </xdr:from>
        <xdr:to>
          <xdr:col>11</xdr:col>
          <xdr:colOff>619125</xdr:colOff>
          <xdr:row>1</xdr:row>
          <xdr:rowOff>104775</xdr:rowOff>
        </xdr:to>
        <xdr:sp macro="" textlink="">
          <xdr:nvSpPr>
            <xdr:cNvPr id="3053" name="Button 2029" hidden="1">
              <a:extLst>
                <a:ext uri="{63B3BB69-23CF-44E3-9099-C40C66FF867C}">
                  <a14:compatExt spid="_x0000_s3053"/>
                </a:ext>
                <a:ext uri="{FF2B5EF4-FFF2-40B4-BE49-F238E27FC236}">
                  <a16:creationId xmlns:a16="http://schemas.microsoft.com/office/drawing/2014/main" id="{00000000-0008-0000-0400-0000ED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80"/>
                  </a:solidFill>
                  <a:latin typeface="Times New Roman"/>
                  <a:cs typeface="Times New Roman"/>
                </a:rPr>
                <a:t>Asset Grouping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2</xdr:row>
          <xdr:rowOff>38100</xdr:rowOff>
        </xdr:from>
        <xdr:to>
          <xdr:col>11</xdr:col>
          <xdr:colOff>657225</xdr:colOff>
          <xdr:row>3</xdr:row>
          <xdr:rowOff>104775</xdr:rowOff>
        </xdr:to>
        <xdr:sp macro="" textlink="">
          <xdr:nvSpPr>
            <xdr:cNvPr id="3054" name="Button 2030" hidden="1">
              <a:extLst>
                <a:ext uri="{63B3BB69-23CF-44E3-9099-C40C66FF867C}">
                  <a14:compatExt spid="_x0000_s3054"/>
                </a:ext>
                <a:ext uri="{FF2B5EF4-FFF2-40B4-BE49-F238E27FC236}">
                  <a16:creationId xmlns:a16="http://schemas.microsoft.com/office/drawing/2014/main" id="{00000000-0008-0000-0400-0000EE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80"/>
                  </a:solidFill>
                  <a:latin typeface="Times New Roman"/>
                  <a:cs typeface="Times New Roman"/>
                </a:rPr>
                <a:t>Types: Bonds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85725</xdr:colOff>
          <xdr:row>4</xdr:row>
          <xdr:rowOff>28575</xdr:rowOff>
        </xdr:from>
        <xdr:to>
          <xdr:col>11</xdr:col>
          <xdr:colOff>638175</xdr:colOff>
          <xdr:row>5</xdr:row>
          <xdr:rowOff>95250</xdr:rowOff>
        </xdr:to>
        <xdr:sp macro="" textlink="">
          <xdr:nvSpPr>
            <xdr:cNvPr id="3055" name="Button 2031" hidden="1">
              <a:extLst>
                <a:ext uri="{63B3BB69-23CF-44E3-9099-C40C66FF867C}">
                  <a14:compatExt spid="_x0000_s3055"/>
                </a:ext>
                <a:ext uri="{FF2B5EF4-FFF2-40B4-BE49-F238E27FC236}">
                  <a16:creationId xmlns:a16="http://schemas.microsoft.com/office/drawing/2014/main" id="{00000000-0008-0000-0400-0000EF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80"/>
                  </a:solidFill>
                  <a:latin typeface="Times New Roman"/>
                  <a:cs typeface="Times New Roman"/>
                </a:rPr>
                <a:t>Types: Stocks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5</xdr:row>
          <xdr:rowOff>152400</xdr:rowOff>
        </xdr:from>
        <xdr:to>
          <xdr:col>11</xdr:col>
          <xdr:colOff>657225</xdr:colOff>
          <xdr:row>7</xdr:row>
          <xdr:rowOff>57150</xdr:rowOff>
        </xdr:to>
        <xdr:sp macro="" textlink="">
          <xdr:nvSpPr>
            <xdr:cNvPr id="5127" name="Button 2055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4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80"/>
                  </a:solidFill>
                  <a:latin typeface="Times New Roman"/>
                  <a:cs typeface="Times New Roman"/>
                </a:rPr>
                <a:t>Types: Short-Term 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H:\35265\2012\Schedule%20D\Beta%20Schedd-1652%20MI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s"/>
      <sheetName val="Bank Transactions"/>
      <sheetName val="Programming"/>
      <sheetName val="Summary"/>
      <sheetName val="SCHEDD"/>
      <sheetName val="2012331_SCHEDD"/>
      <sheetName val="2012229_SCHEDD"/>
      <sheetName val="2012131_SCHEDD"/>
      <sheetName val="BOY Schedd"/>
      <sheetName val="NewTaxAttach"/>
      <sheetName val="2012831_SCHEDD"/>
      <sheetName val="2012731_SCHEDD"/>
      <sheetName val="2012630_SCHEDD"/>
      <sheetName val="2012531_SCHEDD"/>
      <sheetName val="2012430_SCHEDD"/>
      <sheetName val="20121231_SCHEDD"/>
      <sheetName val="20121130_SCHEDD"/>
      <sheetName val="20121031_SCHEDD"/>
      <sheetName val="2012930_SCHEDD"/>
    </sheetNames>
    <sheetDataSet>
      <sheetData sheetId="0"/>
      <sheetData sheetId="1"/>
      <sheetData sheetId="2"/>
      <sheetData sheetId="3"/>
      <sheetData sheetId="4">
        <row r="5">
          <cell r="G5">
            <v>40908</v>
          </cell>
        </row>
      </sheetData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Brennen A. Ainsworth" refreshedDate="42825.566732175925" createdVersion="3" refreshedVersion="6" minRefreshableVersion="3" recordCount="1">
  <cacheSource type="worksheet">
    <worksheetSource name="NamePiv"/>
  </cacheSource>
  <cacheFields count="11">
    <cacheField name="Trans_Date" numFmtId="14">
      <sharedItems/>
    </cacheField>
    <cacheField name="Security_Name/Description" numFmtId="38">
      <sharedItems containsBlank="1" count="32">
        <s v="Money Market"/>
        <s v="Rydex Series Trust US Government" u="1"/>
        <m u="1"/>
        <s v="FNMA" u="1"/>
        <s v="PIMCO Foreign Bond Fd" u="1"/>
        <s v="BlackRock Liquidity TempFund/Cash" u="1"/>
        <s v="PIMCO Short-Term Admin-PSFAX" u="1"/>
        <s v="Tester1" u="1"/>
        <s v="US Treasury Note" u="1"/>
        <s v="Target TR Intermediate Term Bond Fund" u="1"/>
        <s v="Target Large Cap. Growth Port." u="1"/>
        <s v="Target Small Cap. Growth Port." u="1"/>
        <s v="Federated Ultrashort Bond Instl Svc-FULBX" u="1"/>
        <s v="Driehaus Active Income Fund" u="1"/>
        <s v="US Treasury Note 4.75% 05/15/14" u="1"/>
        <s v="PIMCO Low Duration Admin-PLDAX" u="1"/>
        <s v="iShares Barclays 1-3 Year Credit Bond-CSJ" u="1"/>
        <s v="iShares Barclays Tips Bond" u="1"/>
        <s v="WF Advantage" u="1"/>
        <s v="Target International Equity Port." u="1"/>
        <s v="ATPG" u="1"/>
        <s v="US Treasury Note 4.5% 02/15/16" u="1"/>
        <s v="Evergreen Money Market Fund Class S1" u="1"/>
        <s v="US Treasury Note 3.5% 02/15/18" u="1"/>
        <s v="US Treasury Note 4.875% 04/30/11" u="1"/>
        <s v="Target Large Cap. Value Port." u="1"/>
        <s v="Target Small Cap. Value Port." u="1"/>
        <s v="US Treasury Note 4.5% 03/31/12" u="1"/>
        <s v="USTN" u="1"/>
        <s v="Cession" u="1"/>
        <s v="TESts stock 1" u="1"/>
        <s v="test1" u="1"/>
      </sharedItems>
    </cacheField>
    <cacheField name="Transaction_Type" numFmtId="14">
      <sharedItems containsNonDate="0" containsString="0" containsBlank="1"/>
    </cacheField>
    <cacheField name="Shares" numFmtId="171">
      <sharedItems containsNonDate="0" containsString="0" containsBlank="1"/>
    </cacheField>
    <cacheField name="Asset Type" numFmtId="38">
      <sharedItems/>
    </cacheField>
    <cacheField name="Amount" numFmtId="40">
      <sharedItems containsNonDate="0" containsString="0" containsBlank="1"/>
    </cacheField>
    <cacheField name="INT" numFmtId="10">
      <sharedItems containsNonDate="0" containsString="0" containsBlank="1"/>
    </cacheField>
    <cacheField name="Maturity" numFmtId="14">
      <sharedItems containsNonDate="0" containsString="0" containsBlank="1"/>
    </cacheField>
    <cacheField name="Account Number" numFmtId="0">
      <sharedItems containsSemiMixedTypes="0" containsString="0" containsNumber="1" containsInteger="1" minValue="1121" maxValue="1121"/>
    </cacheField>
    <cacheField name="Give Cost basis" numFmtId="4">
      <sharedItems containsNonDate="0" containsString="0" containsBlank="1"/>
    </cacheField>
    <cacheField name="Post to D" numFmtId="2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Brennen A. Ainsworth" refreshedDate="42825.566732754633" createdVersion="3" refreshedVersion="6" minRefreshableVersion="3" recordCount="2">
  <cacheSource type="worksheet">
    <worksheetSource ref="B11:AI13" sheet="SCHEDD"/>
  </cacheSource>
  <cacheFields count="34">
    <cacheField name="Type of Asset" numFmtId="38">
      <sharedItems containsBlank="1" count="4">
        <m/>
        <s v="ST"/>
        <s v="c" u="1"/>
        <s v="b" u="1"/>
      </sharedItems>
    </cacheField>
    <cacheField name="Type of B or S" numFmtId="38">
      <sharedItems containsString="0" containsBlank="1" containsNumber="1" containsInteger="1" minValue="1" maxValue="10" count="4">
        <m/>
        <n v="10"/>
        <n v="2" u="1"/>
        <n v="1" u="1"/>
      </sharedItems>
    </cacheField>
    <cacheField name="NA1" numFmtId="38">
      <sharedItems containsString="0" containsBlank="1" containsNumber="1" containsInteger="1" minValue="1" maxValue="1"/>
    </cacheField>
    <cacheField name="Number" numFmtId="167">
      <sharedItems containsString="0" containsBlank="1" containsNumber="1" containsInteger="1" minValue="1121" maxValue="1121"/>
    </cacheField>
    <cacheField name="Description" numFmtId="38">
      <sharedItems containsBlank="1" count="31">
        <m/>
        <s v="Money Market"/>
        <s v="Stock1" u="1"/>
        <s v="BlackRock Liquidity TempFund/Cash" u="1"/>
        <s v="iShares Barclays 1-3 Year Credit Bond" u="1"/>
        <s v="PIMCO FDS PAC INVT" u="1"/>
        <s v="GPW" u="1"/>
        <s v="USTN 2.5 12/15/22" u="1"/>
        <s v="tester2" u="1"/>
        <s v="Franklin Floating Rate Daily Access A" u="1"/>
        <s v="USTN 12/1/21 5%" u="1"/>
        <s v="USTN 12/1/11 4.5" u="1"/>
        <s v="Driehaus Active Income Fund" u="1"/>
        <s v="tester 7" u="1"/>
        <s v="BLACKROCK  GLOBAL " u="1"/>
        <s v="USTN 12/1/11 3.2" u="1"/>
        <s v="iShares Barclays TIPS Bond" u="1"/>
        <s v="WF Advantage" u="1"/>
        <s v="ATPG" u="1"/>
        <s v="Sweep Account for Transactions" u="1"/>
        <s v="PIMCO Low Duration Admin" u="1"/>
        <s v="GPWA BOND" u="1"/>
        <s v="FIRST EAGLE FDS INC GLOBAL " u="1"/>
        <s v="GPWA" u="1"/>
        <s v="PIMCO Short-Term Admin" u="1"/>
        <s v="Federated Ultrashort Bond Instl Svc" u="1"/>
        <s v="USTN 12/5/21 4%" u="1"/>
        <s v="USTN" u="1"/>
        <s v="iShares Barclays 0-5 Year TIPS Bond" u="1"/>
        <s v="GPWAS" u="1"/>
        <s v="T. Rowe Price Instl Floating Rate" u="1"/>
      </sharedItems>
    </cacheField>
    <cacheField name="BOY or @ Pur" numFmtId="40">
      <sharedItems containsString="0" containsBlank="1" containsNumber="1" containsInteger="1" minValue="0" maxValue="0"/>
    </cacheField>
    <cacheField name="No. of Shares" numFmtId="0">
      <sharedItems containsString="0" containsBlank="1" containsNumber="1" containsInteger="1" minValue="0" maxValue="0"/>
    </cacheField>
    <cacheField name="Per Share" numFmtId="40">
      <sharedItems containsNonDate="0" containsString="0" containsBlank="1"/>
    </cacheField>
    <cacheField name="Maturity Date" numFmtId="165">
      <sharedItems containsNonDate="0" containsDate="1" containsString="0" containsBlank="1" minDate="2016-12-31T00:00:00" maxDate="2017-01-01T00:00:00"/>
    </cacheField>
    <cacheField name="Rate" numFmtId="164">
      <sharedItems containsString="0" containsBlank="1" containsNumber="1" containsInteger="1" minValue="0" maxValue="0"/>
    </cacheField>
    <cacheField name="For MV" numFmtId="0">
      <sharedItems containsString="0" containsBlank="1" containsNumber="1" containsInteger="1" minValue="1" maxValue="1"/>
    </cacheField>
    <cacheField name="Acqr'd" numFmtId="165">
      <sharedItems containsNonDate="0" containsDate="1" containsString="0" containsBlank="1" minDate="2014-12-31T00:00:00" maxDate="2015-01-01T00:00:00"/>
    </cacheField>
    <cacheField name="Cost" numFmtId="0">
      <sharedItems containsString="0" containsBlank="1" containsNumber="1" containsInteger="1" minValue="0" maxValue="0"/>
    </cacheField>
    <cacheField name="Last Paid" numFmtId="14">
      <sharedItems containsNonDate="0" containsDate="1" containsString="0" containsBlank="1" minDate="2015-12-31T00:00:00" maxDate="2016-01-01T00:00:00"/>
    </cacheField>
    <cacheField name="Due &amp; Accrued" numFmtId="40">
      <sharedItems containsSemiMixedTypes="0" containsString="0" containsNumber="1" containsInteger="1" minValue="0" maxValue="0"/>
    </cacheField>
    <cacheField name="NA2" numFmtId="40">
      <sharedItems containsNonDate="0" containsString="0" containsBlank="1"/>
    </cacheField>
    <cacheField name="Incr in BV" numFmtId="40">
      <sharedItems containsSemiMixedTypes="0" containsString="0" containsNumber="1" containsInteger="1" minValue="0" maxValue="0"/>
    </cacheField>
    <cacheField name="Decr in BV" numFmtId="40">
      <sharedItems containsSemiMixedTypes="0" containsString="0" containsNumber="1" containsInteger="1" minValue="0" maxValue="0"/>
    </cacheField>
    <cacheField name="NA3" numFmtId="38">
      <sharedItems containsNonDate="0" containsString="0" containsBlank="1"/>
    </cacheField>
    <cacheField name="Sold" numFmtId="165">
      <sharedItems containsNonDate="0" containsString="0" containsBlank="1" count="1">
        <m/>
      </sharedItems>
    </cacheField>
    <cacheField name="Consideration" numFmtId="37">
      <sharedItems containsNonDate="0" containsString="0" containsBlank="1"/>
    </cacheField>
    <cacheField name="Book Value" numFmtId="40">
      <sharedItems containsSemiMixedTypes="0" containsString="0" containsNumber="1" containsInteger="1" minValue="0" maxValue="0"/>
    </cacheField>
    <cacheField name="Profit" numFmtId="38">
      <sharedItems containsSemiMixedTypes="0" containsString="0" containsNumber="1" containsInteger="1" minValue="0" maxValue="0"/>
    </cacheField>
    <cacheField name="Loss" numFmtId="38">
      <sharedItems containsSemiMixedTypes="0" containsString="0" containsNumber="1" containsInteger="1" minValue="0" maxValue="0"/>
    </cacheField>
    <cacheField name="Carrying Value" numFmtId="38">
      <sharedItems containsSemiMixedTypes="0" containsString="0" containsNumber="1" containsInteger="1" minValue="0" maxValue="0"/>
    </cacheField>
    <cacheField name="at Disposal" numFmtId="38">
      <sharedItems/>
    </cacheField>
    <cacheField name="Market Value" numFmtId="38">
      <sharedItems containsSemiMixedTypes="0" containsString="0" containsNumber="1" containsInteger="1" minValue="0" maxValue="0"/>
    </cacheField>
    <cacheField name="Key" numFmtId="38">
      <sharedItems/>
    </cacheField>
    <cacheField name="Purch Key" numFmtId="38">
      <sharedItems/>
    </cacheField>
    <cacheField name="Key2" numFmtId="38">
      <sharedItems/>
    </cacheField>
    <cacheField name="Purch Key2" numFmtId="38">
      <sharedItems/>
    </cacheField>
    <cacheField name="Key3" numFmtId="38">
      <sharedItems/>
    </cacheField>
    <cacheField name="short term" numFmtId="38">
      <sharedItems/>
    </cacheField>
    <cacheField name="long term" numFmtId="38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">
  <r>
    <s v="Do not Delete"/>
    <x v="0"/>
    <m/>
    <m/>
    <s v="Short-Term/Money Markets"/>
    <m/>
    <m/>
    <m/>
    <n v="1121"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">
  <r>
    <x v="0"/>
    <x v="0"/>
    <m/>
    <m/>
    <x v="0"/>
    <m/>
    <m/>
    <m/>
    <m/>
    <m/>
    <m/>
    <m/>
    <m/>
    <m/>
    <n v="0"/>
    <m/>
    <n v="0"/>
    <n v="0"/>
    <m/>
    <x v="0"/>
    <m/>
    <n v="0"/>
    <n v="0"/>
    <n v="0"/>
    <n v="0"/>
    <s v="N/A"/>
    <n v="0"/>
    <s v=".."/>
    <s v=""/>
    <s v=""/>
    <s v="..FALSE"/>
    <s v="..FALSE"/>
    <b v="0"/>
    <b v="0"/>
  </r>
  <r>
    <x v="1"/>
    <x v="1"/>
    <n v="1"/>
    <n v="1121"/>
    <x v="1"/>
    <n v="0"/>
    <n v="0"/>
    <m/>
    <d v="2016-12-31T00:00:00"/>
    <n v="0"/>
    <n v="1"/>
    <d v="2014-12-31T00:00:00"/>
    <n v="0"/>
    <d v="2015-12-31T00:00:00"/>
    <n v="0"/>
    <m/>
    <n v="0"/>
    <n v="0"/>
    <m/>
    <x v="0"/>
    <m/>
    <n v="0"/>
    <n v="0"/>
    <n v="0"/>
    <n v="0"/>
    <s v="N/A"/>
    <n v="0"/>
    <s v="ST.10."/>
    <s v=""/>
    <s v=""/>
    <s v="ST.10.FALSE"/>
    <s v="ST.10.FALSE"/>
    <b v="0"/>
    <b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6" minRefreshableVersion="3" showCalcMbrs="0" preserveFormatting="0" rowGrandTotals="0" colGrandTotals="0" itemPrintTitles="1" createdVersion="3" indent="0" outline="1" outlineData="1" multipleFieldFilters="0" rowHeaderCaption="Description" fieldListSortAscending="1">
  <location ref="E5:E6" firstHeaderRow="1" firstDataRow="1" firstDataCol="1"/>
  <pivotFields count="11">
    <pivotField showAll="0" defaultSubtotal="0"/>
    <pivotField axis="axisRow" showAll="0" sortType="ascending" defaultSubtotal="0">
      <items count="32">
        <item m="1" x="20"/>
        <item m="1" x="5"/>
        <item m="1" x="29"/>
        <item m="1" x="13"/>
        <item m="1" x="22"/>
        <item m="1" x="12"/>
        <item m="1" x="3"/>
        <item m="1" x="16"/>
        <item m="1" x="17"/>
        <item x="0"/>
        <item m="1" x="4"/>
        <item m="1" x="15"/>
        <item m="1" x="6"/>
        <item m="1" x="1"/>
        <item m="1" x="19"/>
        <item m="1" x="10"/>
        <item m="1" x="25"/>
        <item m="1" x="11"/>
        <item m="1" x="26"/>
        <item m="1" x="9"/>
        <item m="1" x="31"/>
        <item m="1" x="7"/>
        <item m="1" x="30"/>
        <item m="1" x="8"/>
        <item m="1" x="23"/>
        <item m="1" x="21"/>
        <item m="1" x="27"/>
        <item m="1" x="14"/>
        <item m="1" x="24"/>
        <item m="1" x="28"/>
        <item m="1" x="18"/>
        <item m="1" x="2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1"/>
  </rowFields>
  <rowItems count="1">
    <i>
      <x v="9"/>
    </i>
  </rowItems>
  <colItems count="1">
    <i/>
  </colItems>
  <pivotTableStyleInfo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6" minRefreshableVersion="3" showCalcMbrs="0" useAutoFormatting="1" itemPrintTitles="1" createdVersion="3" indent="0" outline="1" outlineData="1" multipleFieldFilters="0">
  <location ref="K7:P15" firstHeaderRow="1" firstDataRow="2" firstDataCol="1" rowPageCount="1" colPageCount="1"/>
  <pivotFields count="34">
    <pivotField axis="axisRow" showAll="0">
      <items count="5">
        <item m="1" x="2"/>
        <item x="1"/>
        <item x="0"/>
        <item m="1" x="3"/>
        <item t="default"/>
      </items>
    </pivotField>
    <pivotField axis="axisRow" numFmtId="38" showAll="0">
      <items count="5">
        <item m="1" x="2"/>
        <item x="1"/>
        <item m="1" x="3"/>
        <item x="0"/>
        <item t="default"/>
      </items>
    </pivotField>
    <pivotField showAll="0" defaultSubtotal="0"/>
    <pivotField showAll="0"/>
    <pivotField axis="axisRow" showAll="0" sortType="ascending">
      <items count="32">
        <item m="1" x="18"/>
        <item m="1" x="14"/>
        <item m="1" x="3"/>
        <item m="1" x="12"/>
        <item m="1" x="25"/>
        <item m="1" x="22"/>
        <item m="1" x="9"/>
        <item m="1" x="6"/>
        <item m="1" x="23"/>
        <item m="1" x="21"/>
        <item m="1" x="29"/>
        <item m="1" x="28"/>
        <item m="1" x="4"/>
        <item m="1" x="16"/>
        <item x="1"/>
        <item m="1" x="5"/>
        <item m="1" x="20"/>
        <item m="1" x="24"/>
        <item m="1" x="2"/>
        <item m="1" x="19"/>
        <item m="1" x="30"/>
        <item m="1" x="13"/>
        <item m="1" x="8"/>
        <item m="1" x="27"/>
        <item m="1" x="15"/>
        <item m="1" x="11"/>
        <item m="1" x="10"/>
        <item m="1" x="26"/>
        <item m="1" x="7"/>
        <item m="1" x="17"/>
        <item x="0"/>
        <item t="default"/>
      </items>
    </pivotField>
    <pivotField numFmtId="40" showAll="0"/>
    <pivotField dataField="1" showAll="0"/>
    <pivotField showAll="0"/>
    <pivotField showAll="0"/>
    <pivotField showAll="0"/>
    <pivotField showAll="0"/>
    <pivotField numFmtId="165" showAll="0"/>
    <pivotField dataField="1" showAll="0"/>
    <pivotField showAll="0"/>
    <pivotField dataField="1" numFmtId="38" showAll="0"/>
    <pivotField showAll="0" defaultSubtotal="0"/>
    <pivotField numFmtId="37" showAll="0"/>
    <pivotField numFmtId="37" showAll="0"/>
    <pivotField showAll="0" defaultSubtotal="0"/>
    <pivotField axis="axisPage" showAll="0">
      <items count="2">
        <item x="0"/>
        <item t="default"/>
      </items>
    </pivotField>
    <pivotField showAll="0"/>
    <pivotField numFmtId="40" showAll="0"/>
    <pivotField numFmtId="38" showAll="0"/>
    <pivotField numFmtId="38" showAll="0"/>
    <pivotField dataField="1" numFmtId="38" showAll="0"/>
    <pivotField showAll="0"/>
    <pivotField dataField="1" numFmtId="38" showAll="0"/>
    <pivotField showAll="0"/>
    <pivotField showAll="0"/>
    <pivotField showAll="0"/>
    <pivotField showAll="0"/>
    <pivotField showAll="0"/>
    <pivotField showAll="0"/>
    <pivotField showAll="0"/>
  </pivotFields>
  <rowFields count="3">
    <field x="0"/>
    <field x="1"/>
    <field x="4"/>
  </rowFields>
  <rowItems count="7">
    <i>
      <x v="1"/>
    </i>
    <i r="1">
      <x v="1"/>
    </i>
    <i r="2">
      <x v="14"/>
    </i>
    <i>
      <x v="2"/>
    </i>
    <i r="1">
      <x v="3"/>
    </i>
    <i r="2">
      <x v="3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1">
    <pageField fld="19" item="0" hier="-1"/>
  </pageFields>
  <dataFields count="5">
    <dataField name="Sum of Cost" fld="12" baseField="0" baseItem="0" numFmtId="40"/>
    <dataField name="Sum of No. of Shares" fld="6" baseField="0" baseItem="0" numFmtId="168"/>
    <dataField name="Sum of Carrying Value" fld="24" baseField="0" baseItem="0" numFmtId="40"/>
    <dataField name="Sum of Market Value" fld="26" baseField="0" baseItem="0" numFmtId="40"/>
    <dataField name="Sum of Due &amp; Accrued" fld="14" baseField="0" baseItem="0" numFmtId="40"/>
  </dataFields>
  <formats count="8">
    <format dxfId="18">
      <pivotArea type="all" dataOnly="0" outline="0" fieldPosition="0"/>
    </format>
    <format dxfId="17">
      <pivotArea type="all" dataOnly="0" outline="0" fieldPosition="0"/>
    </format>
    <format dxfId="16">
      <pivotArea type="all" dataOnly="0" outline="0" fieldPosition="0"/>
    </format>
    <format dxfId="15">
      <pivotArea outline="0" fieldPosition="0">
        <references count="1">
          <reference field="4294967294" count="1">
            <x v="1"/>
          </reference>
        </references>
      </pivotArea>
    </format>
    <format dxfId="14">
      <pivotArea outline="0" fieldPosition="0">
        <references count="1">
          <reference field="4294967294" count="1">
            <x v="3"/>
          </reference>
        </references>
      </pivotArea>
    </format>
    <format dxfId="13">
      <pivotArea outline="0" fieldPosition="0">
        <references count="1">
          <reference field="4294967294" count="1">
            <x v="2"/>
          </reference>
        </references>
      </pivotArea>
    </format>
    <format dxfId="12">
      <pivotArea outline="0" fieldPosition="0">
        <references count="1">
          <reference field="4294967294" count="1">
            <x v="4"/>
          </reference>
        </references>
      </pivotArea>
    </format>
    <format dxfId="11">
      <pivotArea outline="0" fieldPosition="0">
        <references count="1">
          <reference field="4294967294" count="1">
            <x v="0"/>
          </reference>
        </references>
      </pivotArea>
    </format>
  </format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2.xml"/><Relationship Id="rId5" Type="http://schemas.openxmlformats.org/officeDocument/2006/relationships/comments" Target="../comments2.xml"/><Relationship Id="rId4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3" Type="http://schemas.openxmlformats.org/officeDocument/2006/relationships/printerSettings" Target="../printerSettings/printerSettings6.bin"/><Relationship Id="rId7" Type="http://schemas.openxmlformats.org/officeDocument/2006/relationships/ctrlProp" Target="../ctrlProps/ctrlProp1.xml"/><Relationship Id="rId2" Type="http://schemas.openxmlformats.org/officeDocument/2006/relationships/printerSettings" Target="../printerSettings/printerSettings5.bin"/><Relationship Id="rId1" Type="http://schemas.openxmlformats.org/officeDocument/2006/relationships/printerSettings" Target="../printerSettings/printerSettings4.bin"/><Relationship Id="rId6" Type="http://schemas.openxmlformats.org/officeDocument/2006/relationships/vmlDrawing" Target="../drawings/vmlDrawing3.vml"/><Relationship Id="rId11" Type="http://schemas.openxmlformats.org/officeDocument/2006/relationships/comments" Target="../comments3.xml"/><Relationship Id="rId5" Type="http://schemas.openxmlformats.org/officeDocument/2006/relationships/drawing" Target="../drawings/drawing4.xml"/><Relationship Id="rId10" Type="http://schemas.openxmlformats.org/officeDocument/2006/relationships/ctrlProp" Target="../ctrlProps/ctrlProp4.xml"/><Relationship Id="rId4" Type="http://schemas.openxmlformats.org/officeDocument/2006/relationships/printerSettings" Target="../printerSettings/printerSettings7.bin"/><Relationship Id="rId9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F31"/>
  <sheetViews>
    <sheetView workbookViewId="0">
      <selection activeCell="D11" sqref="D11"/>
    </sheetView>
  </sheetViews>
  <sheetFormatPr defaultRowHeight="11.25" x14ac:dyDescent="0.2"/>
  <cols>
    <col min="1" max="1" width="29.33203125" customWidth="1"/>
    <col min="2" max="2" width="81.5" bestFit="1" customWidth="1"/>
    <col min="3" max="3" width="5.83203125" customWidth="1"/>
    <col min="4" max="4" width="18.83203125" bestFit="1" customWidth="1"/>
    <col min="5" max="5" width="18.5" style="290" customWidth="1"/>
    <col min="6" max="6" width="15.1640625" style="289" bestFit="1" customWidth="1"/>
    <col min="7" max="7" width="9.1640625" customWidth="1"/>
  </cols>
  <sheetData>
    <row r="1" spans="2:6" x14ac:dyDescent="0.2">
      <c r="D1" t="s">
        <v>3035</v>
      </c>
      <c r="E1" s="290" t="s">
        <v>3036</v>
      </c>
      <c r="F1" s="289" t="s">
        <v>3037</v>
      </c>
    </row>
    <row r="2" spans="2:6" ht="12.75" x14ac:dyDescent="0.2">
      <c r="B2" s="229" t="s">
        <v>199</v>
      </c>
      <c r="D2" t="s">
        <v>3038</v>
      </c>
      <c r="E2" s="290">
        <v>42712.405590277776</v>
      </c>
      <c r="F2" s="289">
        <v>42369</v>
      </c>
    </row>
    <row r="3" spans="2:6" ht="12.75" x14ac:dyDescent="0.2">
      <c r="B3" s="2" t="s">
        <v>200</v>
      </c>
      <c r="D3" t="s">
        <v>3038</v>
      </c>
      <c r="E3" s="290">
        <v>42825.558715277781</v>
      </c>
      <c r="F3" s="289">
        <v>42369</v>
      </c>
    </row>
    <row r="4" spans="2:6" ht="12.75" x14ac:dyDescent="0.2">
      <c r="B4" s="230" t="s">
        <v>201</v>
      </c>
      <c r="D4" t="s">
        <v>3038</v>
      </c>
      <c r="E4" s="290">
        <v>42825.566284722219</v>
      </c>
      <c r="F4" s="289">
        <v>42369</v>
      </c>
    </row>
    <row r="5" spans="2:6" ht="12.75" x14ac:dyDescent="0.2">
      <c r="B5" s="230" t="s">
        <v>202</v>
      </c>
      <c r="D5" t="s">
        <v>3038</v>
      </c>
      <c r="E5" s="290">
        <v>42825.567280092589</v>
      </c>
      <c r="F5" s="289">
        <v>42369</v>
      </c>
    </row>
    <row r="6" spans="2:6" ht="12.75" x14ac:dyDescent="0.2">
      <c r="B6" s="30" t="s">
        <v>203</v>
      </c>
      <c r="D6" t="s">
        <v>3038</v>
      </c>
      <c r="E6" s="290">
        <v>42879.552893518521</v>
      </c>
      <c r="F6" s="289">
        <v>42369</v>
      </c>
    </row>
    <row r="7" spans="2:6" ht="12.75" x14ac:dyDescent="0.2">
      <c r="B7" s="230" t="s">
        <v>204</v>
      </c>
    </row>
    <row r="8" spans="2:6" ht="12.75" x14ac:dyDescent="0.2">
      <c r="B8" s="2"/>
    </row>
    <row r="9" spans="2:6" ht="12.75" x14ac:dyDescent="0.2">
      <c r="B9" s="2"/>
    </row>
    <row r="10" spans="2:6" ht="12.75" x14ac:dyDescent="0.2">
      <c r="B10" s="2"/>
    </row>
    <row r="11" spans="2:6" ht="12.75" x14ac:dyDescent="0.2">
      <c r="B11" s="2"/>
    </row>
    <row r="12" spans="2:6" ht="12.75" x14ac:dyDescent="0.2">
      <c r="B12" s="229" t="s">
        <v>205</v>
      </c>
    </row>
    <row r="13" spans="2:6" ht="12.75" x14ac:dyDescent="0.2">
      <c r="B13" s="230" t="s">
        <v>206</v>
      </c>
    </row>
    <row r="14" spans="2:6" ht="12.75" x14ac:dyDescent="0.2">
      <c r="B14" s="231" t="s">
        <v>212</v>
      </c>
    </row>
    <row r="15" spans="2:6" ht="12.75" x14ac:dyDescent="0.2">
      <c r="B15" s="231" t="s">
        <v>213</v>
      </c>
    </row>
    <row r="16" spans="2:6" ht="12.75" x14ac:dyDescent="0.2">
      <c r="B16" s="230" t="s">
        <v>207</v>
      </c>
    </row>
    <row r="17" spans="2:2" ht="12.75" x14ac:dyDescent="0.2">
      <c r="B17" s="2"/>
    </row>
    <row r="18" spans="2:2" ht="12.75" x14ac:dyDescent="0.2">
      <c r="B18" s="2"/>
    </row>
    <row r="19" spans="2:2" ht="12.75" x14ac:dyDescent="0.2">
      <c r="B19" s="229" t="s">
        <v>208</v>
      </c>
    </row>
    <row r="20" spans="2:2" ht="12.75" x14ac:dyDescent="0.2">
      <c r="B20" s="230" t="s">
        <v>209</v>
      </c>
    </row>
    <row r="21" spans="2:2" ht="12.75" x14ac:dyDescent="0.2">
      <c r="B21" s="230" t="s">
        <v>210</v>
      </c>
    </row>
    <row r="22" spans="2:2" ht="12.75" x14ac:dyDescent="0.2">
      <c r="B22" s="230" t="s">
        <v>211</v>
      </c>
    </row>
    <row r="28" spans="2:2" ht="12.75" x14ac:dyDescent="0.2">
      <c r="B28" s="229" t="s">
        <v>229</v>
      </c>
    </row>
    <row r="29" spans="2:2" ht="12.75" x14ac:dyDescent="0.2">
      <c r="B29" s="230" t="s">
        <v>230</v>
      </c>
    </row>
    <row r="30" spans="2:2" ht="12.75" x14ac:dyDescent="0.2">
      <c r="B30" s="230" t="s">
        <v>231</v>
      </c>
    </row>
    <row r="31" spans="2:2" ht="12.75" x14ac:dyDescent="0.2">
      <c r="B31" s="230" t="s">
        <v>232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2" tint="-0.499984740745262"/>
  </sheetPr>
  <dimension ref="A1:N2057"/>
  <sheetViews>
    <sheetView tabSelected="1" workbookViewId="0">
      <pane xSplit="2" ySplit="3" topLeftCell="C4" activePane="bottomRight" state="frozen"/>
      <selection activeCell="K4" sqref="K4"/>
      <selection pane="topRight" activeCell="K4" sqref="K4"/>
      <selection pane="bottomLeft" activeCell="K4" sqref="K4"/>
      <selection pane="bottomRight" activeCell="C4" sqref="C4"/>
    </sheetView>
  </sheetViews>
  <sheetFormatPr defaultRowHeight="11.25" x14ac:dyDescent="0.2"/>
  <cols>
    <col min="1" max="1" width="11.33203125" style="158" bestFit="1" customWidth="1"/>
    <col min="2" max="2" width="37.33203125" style="131" customWidth="1"/>
    <col min="3" max="3" width="25.1640625" style="131" bestFit="1" customWidth="1"/>
    <col min="4" max="4" width="11.83203125" style="280" bestFit="1" customWidth="1"/>
    <col min="5" max="5" width="17" style="131" bestFit="1" customWidth="1"/>
    <col min="6" max="6" width="11.5" style="173" bestFit="1" customWidth="1"/>
    <col min="7" max="7" width="12.1640625" style="211" bestFit="1" customWidth="1"/>
    <col min="8" max="8" width="11.6640625" style="158" bestFit="1" customWidth="1"/>
    <col min="9" max="9" width="14.33203125" style="205" bestFit="1" customWidth="1"/>
    <col min="10" max="10" width="14.33203125" style="286" customWidth="1"/>
    <col min="11" max="11" width="14.33203125" style="189" customWidth="1"/>
    <col min="12" max="12" width="17.1640625" style="131" customWidth="1"/>
    <col min="13" max="13" width="17.5" style="131" customWidth="1"/>
    <col min="14" max="16" width="9.33203125" style="131" customWidth="1"/>
    <col min="17" max="16384" width="9.33203125" style="131"/>
  </cols>
  <sheetData>
    <row r="1" spans="1:14" ht="31.5" customHeight="1" x14ac:dyDescent="0.35">
      <c r="A1" s="156" t="s">
        <v>138</v>
      </c>
      <c r="B1" s="149"/>
      <c r="C1" s="149"/>
      <c r="D1" s="276"/>
      <c r="E1" s="149"/>
      <c r="F1" s="171"/>
      <c r="G1" s="190"/>
      <c r="H1" s="159"/>
      <c r="I1" s="201"/>
      <c r="J1" s="281"/>
      <c r="K1" s="186"/>
      <c r="L1" s="133"/>
      <c r="M1" s="134"/>
    </row>
    <row r="2" spans="1:14" ht="37.5" customHeight="1" x14ac:dyDescent="0.2">
      <c r="A2" s="152"/>
      <c r="B2" s="132"/>
      <c r="C2" s="132"/>
      <c r="D2" s="277"/>
      <c r="E2" s="132"/>
      <c r="F2" s="170"/>
      <c r="G2" s="150"/>
      <c r="H2" s="151"/>
      <c r="I2" s="202"/>
      <c r="J2" s="282"/>
      <c r="K2" s="187"/>
      <c r="L2" s="133"/>
    </row>
    <row r="3" spans="1:14" x14ac:dyDescent="0.2">
      <c r="A3" s="157" t="s">
        <v>116</v>
      </c>
      <c r="B3" s="147" t="s">
        <v>171</v>
      </c>
      <c r="C3" s="147" t="s">
        <v>117</v>
      </c>
      <c r="D3" s="278" t="s">
        <v>118</v>
      </c>
      <c r="E3" s="148" t="s">
        <v>183</v>
      </c>
      <c r="F3" s="172" t="s">
        <v>119</v>
      </c>
      <c r="G3" s="210" t="s">
        <v>120</v>
      </c>
      <c r="H3" s="157" t="s">
        <v>121</v>
      </c>
      <c r="I3" s="203" t="s">
        <v>58</v>
      </c>
      <c r="J3" s="283" t="s">
        <v>170</v>
      </c>
      <c r="K3" s="188" t="s">
        <v>180</v>
      </c>
      <c r="L3" s="133"/>
      <c r="N3" s="131" t="s">
        <v>3032</v>
      </c>
    </row>
    <row r="4" spans="1:14" x14ac:dyDescent="0.2">
      <c r="A4" s="169" t="s">
        <v>169</v>
      </c>
      <c r="B4" s="252" t="str">
        <f>SCHEDD!F13</f>
        <v>Money Market</v>
      </c>
      <c r="C4" s="246"/>
      <c r="D4" s="279"/>
      <c r="E4" s="247" t="s">
        <v>96</v>
      </c>
      <c r="F4" s="248"/>
      <c r="G4" s="249"/>
      <c r="H4" s="250"/>
      <c r="I4" s="253">
        <v>1121</v>
      </c>
      <c r="J4" s="284"/>
      <c r="K4" s="251"/>
      <c r="L4" s="133" t="str">
        <f>IF(AND(I4&lt;&gt;"",ISERROR(IF(ISERROR(VLOOKUP(I4*1,Summary!$C$8:$C$153,1,0)),VLOOKUP(I4,Summary!$C$8:$C$153,1,0),VLOOKUP(I4*1,Summary!$C$8:$C$153,1,0)))),"Add account Number to Summary","")</f>
        <v/>
      </c>
      <c r="M4" s="131" t="str">
        <f t="shared" ref="M4:M43" si="0">IF(K4="Yes",IF(YEAR(A4)&lt;&gt;YEAR(date),"Check Date",""),"")</f>
        <v/>
      </c>
    </row>
    <row r="5" spans="1:14" x14ac:dyDescent="0.2">
      <c r="A5" s="152"/>
      <c r="B5" s="132"/>
      <c r="C5" s="132"/>
      <c r="D5" s="277"/>
      <c r="E5" s="132"/>
      <c r="F5" s="170"/>
      <c r="G5" s="150"/>
      <c r="H5" s="152"/>
      <c r="I5" s="204"/>
      <c r="J5" s="285"/>
      <c r="K5" s="251"/>
      <c r="L5" s="133" t="str">
        <f>IF(AND(I5&lt;&gt;"",ISERROR(IF(ISERROR(VLOOKUP(I5*1,Summary!$C$8:$C$153,1,0)),VLOOKUP(I5,Summary!$C$8:$C$153,1,0),VLOOKUP(I5*1,Summary!$C$8:$C$153,1,0)))),"Add account Number to Summary","")</f>
        <v/>
      </c>
      <c r="M5" s="131" t="str">
        <f t="shared" si="0"/>
        <v/>
      </c>
      <c r="N5" s="287">
        <f>IF(C5="Sale",SUMIFS($D$4:D5,$B$4:B5,B5,$C$4:C5,"")+SUMIFS($D$4:D5,$B$4:B5,B5,$C$4:C5,"Purch")-SUMIFS($D$4:D5,$B$4:B5,B5,$C$4:C5,"Sale"),0)</f>
        <v>0</v>
      </c>
    </row>
    <row r="6" spans="1:14" x14ac:dyDescent="0.2">
      <c r="A6" s="152"/>
      <c r="B6" s="132"/>
      <c r="C6" s="132"/>
      <c r="D6" s="277"/>
      <c r="E6" s="132"/>
      <c r="F6" s="170"/>
      <c r="G6" s="150"/>
      <c r="H6" s="152"/>
      <c r="I6" s="204"/>
      <c r="J6" s="285"/>
      <c r="K6" s="251"/>
      <c r="L6" s="133" t="str">
        <f>IF(AND(I6&lt;&gt;"",ISERROR(IF(ISERROR(VLOOKUP(I6*1,Summary!$C$8:$C$153,1,0)),VLOOKUP(I6,Summary!$C$8:$C$153,1,0),VLOOKUP(I6*1,Summary!$C$8:$C$153,1,0)))),"Add account Number to Summary","")</f>
        <v/>
      </c>
      <c r="M6" s="131" t="str">
        <f t="shared" si="0"/>
        <v/>
      </c>
      <c r="N6" s="287">
        <f>IF(C6="Sale",SUMIFS($D$4:D6,$B$4:B6,B6,$C$4:C6,"")+SUMIFS($D$4:D6,$B$4:B6,B6,$C$4:C6,"Purch")-SUMIFS($D$4:D6,$B$4:B6,B6,$C$4:C6,"Sale"),0)</f>
        <v>0</v>
      </c>
    </row>
    <row r="7" spans="1:14" x14ac:dyDescent="0.2">
      <c r="A7" s="152"/>
      <c r="B7" s="132"/>
      <c r="C7" s="132"/>
      <c r="D7" s="277"/>
      <c r="E7" s="132"/>
      <c r="F7" s="170"/>
      <c r="G7" s="150"/>
      <c r="H7" s="152"/>
      <c r="I7" s="204"/>
      <c r="J7" s="285"/>
      <c r="K7" s="251"/>
      <c r="L7" s="133" t="str">
        <f>IF(AND(I7&lt;&gt;"",ISERROR(IF(ISERROR(VLOOKUP(I7*1,Summary!$C$8:$C$153,1,0)),VLOOKUP(I7,Summary!$C$8:$C$153,1,0),VLOOKUP(I7*1,Summary!$C$8:$C$153,1,0)))),"Add account Number to Summary","")</f>
        <v/>
      </c>
      <c r="M7" s="131" t="str">
        <f t="shared" si="0"/>
        <v/>
      </c>
      <c r="N7" s="287">
        <f>IF(C7="Sale",SUMIFS($D$4:D7,$B$4:B7,B7,$C$4:C7,"")+SUMIFS($D$4:D7,$B$4:B7,B7,$C$4:C7,"Purch")-SUMIFS($D$4:D7,$B$4:B7,B7,$C$4:C7,"Sale"),0)</f>
        <v>0</v>
      </c>
    </row>
    <row r="8" spans="1:14" x14ac:dyDescent="0.2">
      <c r="A8" s="152"/>
      <c r="B8" s="132"/>
      <c r="C8" s="132"/>
      <c r="D8" s="277"/>
      <c r="E8" s="132"/>
      <c r="F8" s="170"/>
      <c r="G8" s="150"/>
      <c r="H8" s="152"/>
      <c r="I8" s="204"/>
      <c r="J8" s="285"/>
      <c r="K8" s="251"/>
      <c r="L8" s="133" t="str">
        <f>IF(AND(I8&lt;&gt;"",ISERROR(IF(ISERROR(VLOOKUP(I8*1,Summary!$C$8:$C$153,1,0)),VLOOKUP(I8,Summary!$C$8:$C$153,1,0),VLOOKUP(I8*1,Summary!$C$8:$C$153,1,0)))),"Add account Number to Summary","")</f>
        <v/>
      </c>
      <c r="M8" s="131" t="str">
        <f t="shared" si="0"/>
        <v/>
      </c>
      <c r="N8" s="287">
        <f>IF(C8="Sale",SUMIFS($D$4:D8,$B$4:B8,B8,$C$4:C8,"")+SUMIFS($D$4:D8,$B$4:B8,B8,$C$4:C8,"Purch")-SUMIFS($D$4:D8,$B$4:B8,B8,$C$4:C8,"Sale"),0)</f>
        <v>0</v>
      </c>
    </row>
    <row r="9" spans="1:14" x14ac:dyDescent="0.2">
      <c r="A9" s="152"/>
      <c r="B9" s="132"/>
      <c r="C9" s="132"/>
      <c r="D9" s="277"/>
      <c r="E9" s="132"/>
      <c r="F9" s="170"/>
      <c r="G9" s="150"/>
      <c r="H9" s="152"/>
      <c r="I9" s="204"/>
      <c r="J9" s="285"/>
      <c r="K9" s="251"/>
      <c r="L9" s="133" t="str">
        <f>IF(AND(I9&lt;&gt;"",ISERROR(IF(ISERROR(VLOOKUP(I9*1,Summary!$C$8:$C$153,1,0)),VLOOKUP(I9,Summary!$C$8:$C$153,1,0),VLOOKUP(I9*1,Summary!$C$8:$C$153,1,0)))),"Add account Number to Summary","")</f>
        <v/>
      </c>
      <c r="M9" s="131" t="str">
        <f t="shared" si="0"/>
        <v/>
      </c>
      <c r="N9" s="287">
        <f>IF(C9="Sale",SUMIFS($D$4:D9,$B$4:B9,B9,$C$4:C9,"")+SUMIFS($D$4:D9,$B$4:B9,B9,$C$4:C9,"Purch")-SUMIFS($D$4:D9,$B$4:B9,B9,$C$4:C9,"Sale"),0)</f>
        <v>0</v>
      </c>
    </row>
    <row r="10" spans="1:14" x14ac:dyDescent="0.2">
      <c r="A10" s="152"/>
      <c r="B10" s="132"/>
      <c r="C10" s="132"/>
      <c r="D10" s="277"/>
      <c r="E10" s="132"/>
      <c r="F10" s="170"/>
      <c r="G10" s="150"/>
      <c r="H10" s="152"/>
      <c r="I10" s="204"/>
      <c r="J10" s="285"/>
      <c r="K10" s="251"/>
      <c r="L10" s="133" t="str">
        <f>IF(AND(I10&lt;&gt;"",ISERROR(IF(ISERROR(VLOOKUP(I10*1,Summary!$C$8:$C$153,1,0)),VLOOKUP(I10,Summary!$C$8:$C$153,1,0),VLOOKUP(I10*1,Summary!$C$8:$C$153,1,0)))),"Add account Number to Summary","")</f>
        <v/>
      </c>
      <c r="M10" s="131" t="str">
        <f t="shared" si="0"/>
        <v/>
      </c>
      <c r="N10" s="287">
        <f>IF(C10="Sale",SUMIFS($D$4:D10,$B$4:B10,B10,$C$4:C10,"")+SUMIFS($D$4:D10,$B$4:B10,B10,$C$4:C10,"Purch")-SUMIFS($D$4:D10,$B$4:B10,B10,$C$4:C10,"Sale"),0)</f>
        <v>0</v>
      </c>
    </row>
    <row r="11" spans="1:14" x14ac:dyDescent="0.2">
      <c r="A11" s="152"/>
      <c r="B11" s="132"/>
      <c r="C11" s="132"/>
      <c r="D11" s="277"/>
      <c r="E11" s="132"/>
      <c r="F11" s="170"/>
      <c r="G11" s="150"/>
      <c r="H11" s="152"/>
      <c r="I11" s="204"/>
      <c r="J11" s="285"/>
      <c r="K11" s="251"/>
      <c r="L11" s="133" t="str">
        <f>IF(AND(I11&lt;&gt;"",ISERROR(IF(ISERROR(VLOOKUP(I11*1,Summary!$C$8:$C$153,1,0)),VLOOKUP(I11,Summary!$C$8:$C$153,1,0),VLOOKUP(I11*1,Summary!$C$8:$C$153,1,0)))),"Add account Number to Summary","")</f>
        <v/>
      </c>
      <c r="M11" s="131" t="str">
        <f t="shared" si="0"/>
        <v/>
      </c>
      <c r="N11" s="287">
        <f>IF(C11="Sale",SUMIFS($D$4:D11,$B$4:B11,B11,$C$4:C11,"")+SUMIFS($D$4:D11,$B$4:B11,B11,$C$4:C11,"Purch")-SUMIFS($D$4:D11,$B$4:B11,B11,$C$4:C11,"Sale"),0)</f>
        <v>0</v>
      </c>
    </row>
    <row r="12" spans="1:14" x14ac:dyDescent="0.2">
      <c r="A12" s="152"/>
      <c r="B12" s="132"/>
      <c r="C12" s="132"/>
      <c r="D12" s="277"/>
      <c r="E12" s="132"/>
      <c r="F12" s="170"/>
      <c r="G12" s="150"/>
      <c r="H12" s="152"/>
      <c r="I12" s="204"/>
      <c r="J12" s="285"/>
      <c r="K12" s="251"/>
      <c r="L12" s="133" t="str">
        <f>IF(AND(I12&lt;&gt;"",ISERROR(IF(ISERROR(VLOOKUP(I12*1,Summary!$C$8:$C$153,1,0)),VLOOKUP(I12,Summary!$C$8:$C$153,1,0),VLOOKUP(I12*1,Summary!$C$8:$C$153,1,0)))),"Add account Number to Summary","")</f>
        <v/>
      </c>
      <c r="M12" s="131" t="str">
        <f t="shared" si="0"/>
        <v/>
      </c>
      <c r="N12" s="287">
        <f>IF(C12="Sale",SUMIFS($D$4:D12,$B$4:B12,B12,$C$4:C12,"")+SUMIFS($D$4:D12,$B$4:B12,B12,$C$4:C12,"Purch")-SUMIFS($D$4:D12,$B$4:B12,B12,$C$4:C12,"Sale"),0)</f>
        <v>0</v>
      </c>
    </row>
    <row r="13" spans="1:14" x14ac:dyDescent="0.2">
      <c r="A13" s="152"/>
      <c r="B13" s="132"/>
      <c r="C13" s="132"/>
      <c r="D13" s="277"/>
      <c r="E13" s="132"/>
      <c r="F13" s="170"/>
      <c r="G13" s="150"/>
      <c r="H13" s="152"/>
      <c r="I13" s="204"/>
      <c r="J13" s="285"/>
      <c r="K13" s="251"/>
      <c r="L13" s="133" t="str">
        <f>IF(AND(I13&lt;&gt;"",ISERROR(IF(ISERROR(VLOOKUP(I13*1,Summary!$C$8:$C$153,1,0)),VLOOKUP(I13,Summary!$C$8:$C$153,1,0),VLOOKUP(I13*1,Summary!$C$8:$C$153,1,0)))),"Add account Number to Summary","")</f>
        <v/>
      </c>
      <c r="M13" s="131" t="str">
        <f t="shared" si="0"/>
        <v/>
      </c>
      <c r="N13" s="287">
        <f>IF(C13="Sale",SUMIFS($D$4:D13,$B$4:B13,B13,$C$4:C13,"")+SUMIFS($D$4:D13,$B$4:B13,B13,$C$4:C13,"Purch")-SUMIFS($D$4:D13,$B$4:B13,B13,$C$4:C13,"Sale"),0)</f>
        <v>0</v>
      </c>
    </row>
    <row r="14" spans="1:14" x14ac:dyDescent="0.2">
      <c r="A14" s="152"/>
      <c r="B14" s="132"/>
      <c r="C14" s="132"/>
      <c r="D14" s="277"/>
      <c r="E14" s="132"/>
      <c r="F14" s="170"/>
      <c r="G14" s="150"/>
      <c r="H14" s="152"/>
      <c r="I14" s="204"/>
      <c r="J14" s="285"/>
      <c r="K14" s="251"/>
      <c r="L14" s="133" t="str">
        <f>IF(AND(I14&lt;&gt;"",ISERROR(IF(ISERROR(VLOOKUP(I14*1,Summary!$C$8:$C$153,1,0)),VLOOKUP(I14,Summary!$C$8:$C$153,1,0),VLOOKUP(I14*1,Summary!$C$8:$C$153,1,0)))),"Add account Number to Summary","")</f>
        <v/>
      </c>
      <c r="M14" s="131" t="str">
        <f t="shared" si="0"/>
        <v/>
      </c>
      <c r="N14" s="287">
        <f>IF(C14="Sale",SUMIFS($D$4:D14,$B$4:B14,B14,$C$4:C14,"")+SUMIFS($D$4:D14,$B$4:B14,B14,$C$4:C14,"Purch")-SUMIFS($D$4:D14,$B$4:B14,B14,$C$4:C14,"Sale"),0)</f>
        <v>0</v>
      </c>
    </row>
    <row r="15" spans="1:14" x14ac:dyDescent="0.2">
      <c r="A15" s="152"/>
      <c r="B15" s="132"/>
      <c r="C15" s="132"/>
      <c r="D15" s="277"/>
      <c r="E15" s="132"/>
      <c r="F15" s="170"/>
      <c r="G15" s="150"/>
      <c r="H15" s="152"/>
      <c r="I15" s="204"/>
      <c r="J15" s="285"/>
      <c r="K15" s="251"/>
      <c r="L15" s="133" t="str">
        <f>IF(AND(I15&lt;&gt;"",ISERROR(IF(ISERROR(VLOOKUP(I15*1,Summary!$C$8:$C$153,1,0)),VLOOKUP(I15,Summary!$C$8:$C$153,1,0),VLOOKUP(I15*1,Summary!$C$8:$C$153,1,0)))),"Add account Number to Summary","")</f>
        <v/>
      </c>
      <c r="M15" s="131" t="str">
        <f t="shared" si="0"/>
        <v/>
      </c>
      <c r="N15" s="287">
        <f>IF(C15="Sale",SUMIFS($D$4:D15,$B$4:B15,B15,$C$4:C15,"")+SUMIFS($D$4:D15,$B$4:B15,B15,$C$4:C15,"Purch")-SUMIFS($D$4:D15,$B$4:B15,B15,$C$4:C15,"Sale"),0)</f>
        <v>0</v>
      </c>
    </row>
    <row r="16" spans="1:14" x14ac:dyDescent="0.2">
      <c r="A16" s="152"/>
      <c r="B16" s="132"/>
      <c r="C16" s="132"/>
      <c r="D16" s="277"/>
      <c r="E16" s="132"/>
      <c r="F16" s="170"/>
      <c r="G16" s="150"/>
      <c r="H16" s="152"/>
      <c r="I16" s="204"/>
      <c r="J16" s="285"/>
      <c r="K16" s="251"/>
      <c r="L16" s="133" t="str">
        <f>IF(AND(I16&lt;&gt;"",ISERROR(IF(ISERROR(VLOOKUP(I16*1,Summary!$C$8:$C$153,1,0)),VLOOKUP(I16,Summary!$C$8:$C$153,1,0),VLOOKUP(I16*1,Summary!$C$8:$C$153,1,0)))),"Add account Number to Summary","")</f>
        <v/>
      </c>
      <c r="M16" s="131" t="str">
        <f t="shared" si="0"/>
        <v/>
      </c>
      <c r="N16" s="287">
        <f>IF(C16="Sale",SUMIFS($D$4:D16,$B$4:B16,B16,$C$4:C16,"")+SUMIFS($D$4:D16,$B$4:B16,B16,$C$4:C16,"Purch")-SUMIFS($D$4:D16,$B$4:B16,B16,$C$4:C16,"Sale"),0)</f>
        <v>0</v>
      </c>
    </row>
    <row r="17" spans="1:14" x14ac:dyDescent="0.2">
      <c r="A17" s="152"/>
      <c r="B17" s="132"/>
      <c r="C17" s="132"/>
      <c r="D17" s="277"/>
      <c r="E17" s="132"/>
      <c r="F17" s="170"/>
      <c r="G17" s="150"/>
      <c r="H17" s="152"/>
      <c r="I17" s="204"/>
      <c r="J17" s="285"/>
      <c r="K17" s="251"/>
      <c r="L17" s="133" t="str">
        <f>IF(AND(I17&lt;&gt;"",ISERROR(IF(ISERROR(VLOOKUP(I17*1,Summary!$C$8:$C$153,1,0)),VLOOKUP(I17,Summary!$C$8:$C$153,1,0),VLOOKUP(I17*1,Summary!$C$8:$C$153,1,0)))),"Add account Number to Summary","")</f>
        <v/>
      </c>
      <c r="M17" s="131" t="str">
        <f t="shared" si="0"/>
        <v/>
      </c>
      <c r="N17" s="287">
        <f>IF(C17="Sale",SUMIFS($D$4:D17,$B$4:B17,B17,$C$4:C17,"")+SUMIFS($D$4:D17,$B$4:B17,B17,$C$4:C17,"Purch")-SUMIFS($D$4:D17,$B$4:B17,B17,$C$4:C17,"Sale"),0)</f>
        <v>0</v>
      </c>
    </row>
    <row r="18" spans="1:14" x14ac:dyDescent="0.2">
      <c r="A18" s="152"/>
      <c r="B18" s="132"/>
      <c r="C18" s="132"/>
      <c r="D18" s="277"/>
      <c r="E18" s="132"/>
      <c r="F18" s="170"/>
      <c r="G18" s="150"/>
      <c r="H18" s="152"/>
      <c r="I18" s="204"/>
      <c r="J18" s="285"/>
      <c r="K18" s="251"/>
      <c r="L18" s="133" t="str">
        <f>IF(AND(I18&lt;&gt;"",ISERROR(IF(ISERROR(VLOOKUP(I18*1,Summary!$C$8:$C$153,1,0)),VLOOKUP(I18,Summary!$C$8:$C$153,1,0),VLOOKUP(I18*1,Summary!$C$8:$C$153,1,0)))),"Add account Number to Summary","")</f>
        <v/>
      </c>
      <c r="M18" s="131" t="str">
        <f t="shared" si="0"/>
        <v/>
      </c>
      <c r="N18" s="287">
        <f>IF(C18="Sale",SUMIFS($D$4:D18,$B$4:B18,B18,$C$4:C18,"")+SUMIFS($D$4:D18,$B$4:B18,B18,$C$4:C18,"Purch")-SUMIFS($D$4:D18,$B$4:B18,B18,$C$4:C18,"Sale"),0)</f>
        <v>0</v>
      </c>
    </row>
    <row r="19" spans="1:14" x14ac:dyDescent="0.2">
      <c r="A19" s="152"/>
      <c r="B19" s="132"/>
      <c r="C19" s="132"/>
      <c r="D19" s="277"/>
      <c r="E19" s="132"/>
      <c r="F19" s="170"/>
      <c r="G19" s="150"/>
      <c r="H19" s="152"/>
      <c r="I19" s="204"/>
      <c r="J19" s="285"/>
      <c r="K19" s="251"/>
      <c r="L19" s="133" t="str">
        <f>IF(AND(I19&lt;&gt;"",ISERROR(IF(ISERROR(VLOOKUP(I19*1,Summary!$C$8:$C$153,1,0)),VLOOKUP(I19,Summary!$C$8:$C$153,1,0),VLOOKUP(I19*1,Summary!$C$8:$C$153,1,0)))),"Add account Number to Summary","")</f>
        <v/>
      </c>
      <c r="M19" s="131" t="str">
        <f t="shared" si="0"/>
        <v/>
      </c>
      <c r="N19" s="287">
        <f>IF(C19="Sale",SUMIFS($D$4:D19,$B$4:B19,B19,$C$4:C19,"")+SUMIFS($D$4:D19,$B$4:B19,B19,$C$4:C19,"Purch")-SUMIFS($D$4:D19,$B$4:B19,B19,$C$4:C19,"Sale"),0)</f>
        <v>0</v>
      </c>
    </row>
    <row r="20" spans="1:14" x14ac:dyDescent="0.2">
      <c r="A20" s="152"/>
      <c r="B20" s="132"/>
      <c r="C20" s="132"/>
      <c r="D20" s="277"/>
      <c r="E20" s="132"/>
      <c r="F20" s="170"/>
      <c r="G20" s="150"/>
      <c r="H20" s="152"/>
      <c r="I20" s="204"/>
      <c r="J20" s="285"/>
      <c r="K20" s="251"/>
      <c r="L20" s="133" t="str">
        <f>IF(AND(I20&lt;&gt;"",ISERROR(IF(ISERROR(VLOOKUP(I20*1,Summary!$C$8:$C$153,1,0)),VLOOKUP(I20,Summary!$C$8:$C$153,1,0),VLOOKUP(I20*1,Summary!$C$8:$C$153,1,0)))),"Add account Number to Summary","")</f>
        <v/>
      </c>
      <c r="M20" s="131" t="str">
        <f t="shared" si="0"/>
        <v/>
      </c>
      <c r="N20" s="287">
        <f>IF(C20="Sale",SUMIFS($D$4:D20,$B$4:B20,B20,$C$4:C20,"")+SUMIFS($D$4:D20,$B$4:B20,B20,$C$4:C20,"Purch")-SUMIFS($D$4:D20,$B$4:B20,B20,$C$4:C20,"Sale"),0)</f>
        <v>0</v>
      </c>
    </row>
    <row r="21" spans="1:14" x14ac:dyDescent="0.2">
      <c r="A21" s="152"/>
      <c r="B21" s="132"/>
      <c r="C21" s="132"/>
      <c r="D21" s="277"/>
      <c r="E21" s="132"/>
      <c r="F21" s="170"/>
      <c r="G21" s="150"/>
      <c r="H21" s="152"/>
      <c r="I21" s="204"/>
      <c r="J21" s="285"/>
      <c r="K21" s="251"/>
      <c r="L21" s="133" t="str">
        <f>IF(AND(I21&lt;&gt;"",ISERROR(IF(ISERROR(VLOOKUP(I21*1,Summary!$C$8:$C$153,1,0)),VLOOKUP(I21,Summary!$C$8:$C$153,1,0),VLOOKUP(I21*1,Summary!$C$8:$C$153,1,0)))),"Add account Number to Summary","")</f>
        <v/>
      </c>
      <c r="M21" s="131" t="str">
        <f t="shared" si="0"/>
        <v/>
      </c>
      <c r="N21" s="287">
        <f>IF(C21="Sale",SUMIFS($D$4:D21,$B$4:B21,B21,$C$4:C21,"")+SUMIFS($D$4:D21,$B$4:B21,B21,$C$4:C21,"Purch")-SUMIFS($D$4:D21,$B$4:B21,B21,$C$4:C21,"Sale"),0)</f>
        <v>0</v>
      </c>
    </row>
    <row r="22" spans="1:14" x14ac:dyDescent="0.2">
      <c r="A22" s="152"/>
      <c r="B22" s="132"/>
      <c r="C22" s="132"/>
      <c r="D22" s="277"/>
      <c r="E22" s="132"/>
      <c r="F22" s="170"/>
      <c r="G22" s="150"/>
      <c r="H22" s="152"/>
      <c r="I22" s="204"/>
      <c r="J22" s="285"/>
      <c r="K22" s="251"/>
      <c r="L22" s="133" t="str">
        <f>IF(AND(I22&lt;&gt;"",ISERROR(IF(ISERROR(VLOOKUP(I22*1,Summary!$C$8:$C$153,1,0)),VLOOKUP(I22,Summary!$C$8:$C$153,1,0),VLOOKUP(I22*1,Summary!$C$8:$C$153,1,0)))),"Add account Number to Summary","")</f>
        <v/>
      </c>
      <c r="M22" s="131" t="str">
        <f t="shared" si="0"/>
        <v/>
      </c>
      <c r="N22" s="287">
        <f>IF(C22="Sale",SUMIFS($D$4:D22,$B$4:B22,B22,$C$4:C22,"")+SUMIFS($D$4:D22,$B$4:B22,B22,$C$4:C22,"Purch")-SUMIFS($D$4:D22,$B$4:B22,B22,$C$4:C22,"Sale"),0)</f>
        <v>0</v>
      </c>
    </row>
    <row r="23" spans="1:14" x14ac:dyDescent="0.2">
      <c r="A23" s="152"/>
      <c r="B23" s="132"/>
      <c r="C23" s="132"/>
      <c r="D23" s="277"/>
      <c r="E23" s="132"/>
      <c r="F23" s="170"/>
      <c r="G23" s="150"/>
      <c r="H23" s="152"/>
      <c r="I23" s="204"/>
      <c r="J23" s="285"/>
      <c r="K23" s="251"/>
      <c r="L23" s="133" t="str">
        <f>IF(AND(I23&lt;&gt;"",ISERROR(IF(ISERROR(VLOOKUP(I23*1,Summary!$C$8:$C$153,1,0)),VLOOKUP(I23,Summary!$C$8:$C$153,1,0),VLOOKUP(I23*1,Summary!$C$8:$C$153,1,0)))),"Add account Number to Summary","")</f>
        <v/>
      </c>
      <c r="M23" s="131" t="str">
        <f t="shared" si="0"/>
        <v/>
      </c>
      <c r="N23" s="287">
        <f>IF(C23="Sale",SUMIFS($D$4:D23,$B$4:B23,B23,$C$4:C23,"")+SUMIFS($D$4:D23,$B$4:B23,B23,$C$4:C23,"Purch")-SUMIFS($D$4:D23,$B$4:B23,B23,$C$4:C23,"Sale"),0)</f>
        <v>0</v>
      </c>
    </row>
    <row r="24" spans="1:14" x14ac:dyDescent="0.2">
      <c r="A24" s="152"/>
      <c r="B24" s="132"/>
      <c r="C24" s="132"/>
      <c r="D24" s="277"/>
      <c r="E24" s="132"/>
      <c r="F24" s="170"/>
      <c r="G24" s="150"/>
      <c r="H24" s="152"/>
      <c r="I24" s="204"/>
      <c r="J24" s="285"/>
      <c r="K24" s="251"/>
      <c r="L24" s="133" t="str">
        <f>IF(AND(I24&lt;&gt;"",ISERROR(IF(ISERROR(VLOOKUP(I24*1,Summary!$C$8:$C$153,1,0)),VLOOKUP(I24,Summary!$C$8:$C$153,1,0),VLOOKUP(I24*1,Summary!$C$8:$C$153,1,0)))),"Add account Number to Summary","")</f>
        <v/>
      </c>
      <c r="M24" s="131" t="str">
        <f t="shared" si="0"/>
        <v/>
      </c>
      <c r="N24" s="287">
        <f>IF(C24="Sale",SUMIFS($D$4:D24,$B$4:B24,B24,$C$4:C24,"")+SUMIFS($D$4:D24,$B$4:B24,B24,$C$4:C24,"Purch")-SUMIFS($D$4:D24,$B$4:B24,B24,$C$4:C24,"Sale"),0)</f>
        <v>0</v>
      </c>
    </row>
    <row r="25" spans="1:14" x14ac:dyDescent="0.2">
      <c r="A25" s="152"/>
      <c r="B25" s="132"/>
      <c r="C25" s="132"/>
      <c r="D25" s="277"/>
      <c r="E25" s="132"/>
      <c r="F25" s="170"/>
      <c r="G25" s="150"/>
      <c r="H25" s="152"/>
      <c r="I25" s="204"/>
      <c r="J25" s="285"/>
      <c r="K25" s="251"/>
      <c r="L25" s="133" t="str">
        <f>IF(AND(I25&lt;&gt;"",ISERROR(IF(ISERROR(VLOOKUP(I25*1,Summary!$C$8:$C$153,1,0)),VLOOKUP(I25,Summary!$C$8:$C$153,1,0),VLOOKUP(I25*1,Summary!$C$8:$C$153,1,0)))),"Add account Number to Summary","")</f>
        <v/>
      </c>
      <c r="M25" s="131" t="str">
        <f t="shared" si="0"/>
        <v/>
      </c>
      <c r="N25" s="287">
        <f>IF(C25="Sale",SUMIFS($D$4:D25,$B$4:B25,B25,$C$4:C25,"")+SUMIFS($D$4:D25,$B$4:B25,B25,$C$4:C25,"Purch")-SUMIFS($D$4:D25,$B$4:B25,B25,$C$4:C25,"Sale"),0)</f>
        <v>0</v>
      </c>
    </row>
    <row r="26" spans="1:14" x14ac:dyDescent="0.2">
      <c r="A26" s="152"/>
      <c r="B26" s="132"/>
      <c r="C26" s="132"/>
      <c r="D26" s="277"/>
      <c r="E26" s="132"/>
      <c r="F26" s="170"/>
      <c r="G26" s="150"/>
      <c r="H26" s="152"/>
      <c r="I26" s="204"/>
      <c r="J26" s="285"/>
      <c r="K26" s="251"/>
      <c r="L26" s="133" t="str">
        <f>IF(AND(I26&lt;&gt;"",ISERROR(IF(ISERROR(VLOOKUP(I26*1,Summary!$C$8:$C$153,1,0)),VLOOKUP(I26,Summary!$C$8:$C$153,1,0),VLOOKUP(I26*1,Summary!$C$8:$C$153,1,0)))),"Add account Number to Summary","")</f>
        <v/>
      </c>
      <c r="M26" s="131" t="str">
        <f t="shared" si="0"/>
        <v/>
      </c>
      <c r="N26" s="287">
        <f>IF(C26="Sale",SUMIFS($D$4:D26,$B$4:B26,B26,$C$4:C26,"")+SUMIFS($D$4:D26,$B$4:B26,B26,$C$4:C26,"Purch")-SUMIFS($D$4:D26,$B$4:B26,B26,$C$4:C26,"Sale"),0)</f>
        <v>0</v>
      </c>
    </row>
    <row r="27" spans="1:14" x14ac:dyDescent="0.2">
      <c r="A27" s="152"/>
      <c r="B27" s="132"/>
      <c r="C27" s="132"/>
      <c r="D27" s="277"/>
      <c r="E27" s="132"/>
      <c r="F27" s="170"/>
      <c r="G27" s="150"/>
      <c r="H27" s="152"/>
      <c r="I27" s="204"/>
      <c r="J27" s="285"/>
      <c r="K27" s="251"/>
      <c r="L27" s="133" t="str">
        <f>IF(AND(I27&lt;&gt;"",ISERROR(IF(ISERROR(VLOOKUP(I27*1,Summary!$C$8:$C$153,1,0)),VLOOKUP(I27,Summary!$C$8:$C$153,1,0),VLOOKUP(I27*1,Summary!$C$8:$C$153,1,0)))),"Add account Number to Summary","")</f>
        <v/>
      </c>
      <c r="M27" s="131" t="str">
        <f t="shared" si="0"/>
        <v/>
      </c>
      <c r="N27" s="287">
        <f>IF(C27="Sale",SUMIFS($D$4:D27,$B$4:B27,B27,$C$4:C27,"")+SUMIFS($D$4:D27,$B$4:B27,B27,$C$4:C27,"Purch")-SUMIFS($D$4:D27,$B$4:B27,B27,$C$4:C27,"Sale"),0)</f>
        <v>0</v>
      </c>
    </row>
    <row r="28" spans="1:14" x14ac:dyDescent="0.2">
      <c r="A28" s="152"/>
      <c r="B28" s="132"/>
      <c r="C28" s="132"/>
      <c r="D28" s="277"/>
      <c r="E28" s="132"/>
      <c r="F28" s="170"/>
      <c r="G28" s="150"/>
      <c r="H28" s="152"/>
      <c r="I28" s="204"/>
      <c r="J28" s="285"/>
      <c r="K28" s="251"/>
      <c r="L28" s="133" t="str">
        <f>IF(AND(I28&lt;&gt;"",ISERROR(IF(ISERROR(VLOOKUP(I28*1,Summary!$C$8:$C$153,1,0)),VLOOKUP(I28,Summary!$C$8:$C$153,1,0),VLOOKUP(I28*1,Summary!$C$8:$C$153,1,0)))),"Add account Number to Summary","")</f>
        <v/>
      </c>
      <c r="M28" s="131" t="str">
        <f t="shared" si="0"/>
        <v/>
      </c>
      <c r="N28" s="287">
        <f>IF(C28="Sale",SUMIFS($D$4:D28,$B$4:B28,B28,$C$4:C28,"")+SUMIFS($D$4:D28,$B$4:B28,B28,$C$4:C28,"Purch")-SUMIFS($D$4:D28,$B$4:B28,B28,$C$4:C28,"Sale"),0)</f>
        <v>0</v>
      </c>
    </row>
    <row r="29" spans="1:14" x14ac:dyDescent="0.2">
      <c r="A29" s="152"/>
      <c r="B29" s="132"/>
      <c r="C29" s="132"/>
      <c r="D29" s="277"/>
      <c r="E29" s="132"/>
      <c r="F29" s="170"/>
      <c r="G29" s="150"/>
      <c r="H29" s="152"/>
      <c r="I29" s="204"/>
      <c r="J29" s="285"/>
      <c r="K29" s="251"/>
      <c r="L29" s="133" t="str">
        <f>IF(AND(I29&lt;&gt;"",ISERROR(IF(ISERROR(VLOOKUP(I29*1,Summary!$C$8:$C$153,1,0)),VLOOKUP(I29,Summary!$C$8:$C$153,1,0),VLOOKUP(I29*1,Summary!$C$8:$C$153,1,0)))),"Add account Number to Summary","")</f>
        <v/>
      </c>
      <c r="M29" s="131" t="str">
        <f t="shared" si="0"/>
        <v/>
      </c>
      <c r="N29" s="287">
        <f>IF(C29="Sale",SUMIFS($D$4:D29,$B$4:B29,B29,$C$4:C29,"")+SUMIFS($D$4:D29,$B$4:B29,B29,$C$4:C29,"Purch")-SUMIFS($D$4:D29,$B$4:B29,B29,$C$4:C29,"Sale"),0)</f>
        <v>0</v>
      </c>
    </row>
    <row r="30" spans="1:14" x14ac:dyDescent="0.2">
      <c r="A30" s="152"/>
      <c r="B30" s="132"/>
      <c r="C30" s="132"/>
      <c r="D30" s="277"/>
      <c r="E30" s="132"/>
      <c r="F30" s="170"/>
      <c r="G30" s="150"/>
      <c r="H30" s="152"/>
      <c r="I30" s="204"/>
      <c r="J30" s="285"/>
      <c r="K30" s="251"/>
      <c r="L30" s="133" t="str">
        <f>IF(AND(I30&lt;&gt;"",ISERROR(IF(ISERROR(VLOOKUP(I30*1,Summary!$C$8:$C$153,1,0)),VLOOKUP(I30,Summary!$C$8:$C$153,1,0),VLOOKUP(I30*1,Summary!$C$8:$C$153,1,0)))),"Add account Number to Summary","")</f>
        <v/>
      </c>
      <c r="M30" s="131" t="str">
        <f t="shared" si="0"/>
        <v/>
      </c>
      <c r="N30" s="287">
        <f>IF(C30="Sale",SUMIFS($D$4:D30,$B$4:B30,B30,$C$4:C30,"")+SUMIFS($D$4:D30,$B$4:B30,B30,$C$4:C30,"Purch")-SUMIFS($D$4:D30,$B$4:B30,B30,$C$4:C30,"Sale"),0)</f>
        <v>0</v>
      </c>
    </row>
    <row r="31" spans="1:14" x14ac:dyDescent="0.2">
      <c r="A31" s="152"/>
      <c r="B31" s="132"/>
      <c r="C31" s="132"/>
      <c r="D31" s="277"/>
      <c r="E31" s="132"/>
      <c r="F31" s="170"/>
      <c r="G31" s="150"/>
      <c r="H31" s="152"/>
      <c r="I31" s="204"/>
      <c r="J31" s="285"/>
      <c r="K31" s="251"/>
      <c r="L31" s="133" t="str">
        <f>IF(AND(I31&lt;&gt;"",ISERROR(IF(ISERROR(VLOOKUP(I31*1,Summary!$C$8:$C$153,1,0)),VLOOKUP(I31,Summary!$C$8:$C$153,1,0),VLOOKUP(I31*1,Summary!$C$8:$C$153,1,0)))),"Add account Number to Summary","")</f>
        <v/>
      </c>
      <c r="M31" s="131" t="str">
        <f t="shared" si="0"/>
        <v/>
      </c>
      <c r="N31" s="287">
        <f>IF(C31="Sale",SUMIFS($D$4:D31,$B$4:B31,B31,$C$4:C31,"")+SUMIFS($D$4:D31,$B$4:B31,B31,$C$4:C31,"Purch")-SUMIFS($D$4:D31,$B$4:B31,B31,$C$4:C31,"Sale"),0)</f>
        <v>0</v>
      </c>
    </row>
    <row r="32" spans="1:14" x14ac:dyDescent="0.2">
      <c r="A32" s="152"/>
      <c r="B32" s="132"/>
      <c r="C32" s="132"/>
      <c r="D32" s="277"/>
      <c r="E32" s="132"/>
      <c r="F32" s="170"/>
      <c r="G32" s="150"/>
      <c r="H32" s="152"/>
      <c r="I32" s="204"/>
      <c r="J32" s="285"/>
      <c r="K32" s="251"/>
      <c r="L32" s="133" t="str">
        <f>IF(AND(I32&lt;&gt;"",ISERROR(IF(ISERROR(VLOOKUP(I32*1,Summary!$C$8:$C$153,1,0)),VLOOKUP(I32,Summary!$C$8:$C$153,1,0),VLOOKUP(I32*1,Summary!$C$8:$C$153,1,0)))),"Add account Number to Summary","")</f>
        <v/>
      </c>
      <c r="M32" s="131" t="str">
        <f t="shared" si="0"/>
        <v/>
      </c>
      <c r="N32" s="287">
        <f>IF(C32="Sale",SUMIFS($D$4:D32,$B$4:B32,B32,$C$4:C32,"")+SUMIFS($D$4:D32,$B$4:B32,B32,$C$4:C32,"Purch")-SUMIFS($D$4:D32,$B$4:B32,B32,$C$4:C32,"Sale"),0)</f>
        <v>0</v>
      </c>
    </row>
    <row r="33" spans="1:14" x14ac:dyDescent="0.2">
      <c r="A33" s="152"/>
      <c r="B33" s="132"/>
      <c r="C33" s="132"/>
      <c r="D33" s="277"/>
      <c r="E33" s="132"/>
      <c r="F33" s="170"/>
      <c r="G33" s="150"/>
      <c r="H33" s="152"/>
      <c r="I33" s="204"/>
      <c r="J33" s="285"/>
      <c r="K33" s="251"/>
      <c r="L33" s="133" t="str">
        <f>IF(AND(I33&lt;&gt;"",ISERROR(IF(ISERROR(VLOOKUP(I33*1,Summary!$C$8:$C$153,1,0)),VLOOKUP(I33,Summary!$C$8:$C$153,1,0),VLOOKUP(I33*1,Summary!$C$8:$C$153,1,0)))),"Add account Number to Summary","")</f>
        <v/>
      </c>
      <c r="M33" s="131" t="str">
        <f t="shared" si="0"/>
        <v/>
      </c>
      <c r="N33" s="287">
        <f>IF(C33="Sale",SUMIFS($D$4:D33,$B$4:B33,B33,$C$4:C33,"")+SUMIFS($D$4:D33,$B$4:B33,B33,$C$4:C33,"Purch")-SUMIFS($D$4:D33,$B$4:B33,B33,$C$4:C33,"Sale"),0)</f>
        <v>0</v>
      </c>
    </row>
    <row r="34" spans="1:14" x14ac:dyDescent="0.2">
      <c r="A34" s="152"/>
      <c r="B34" s="132"/>
      <c r="C34" s="132"/>
      <c r="D34" s="277"/>
      <c r="E34" s="132"/>
      <c r="F34" s="170"/>
      <c r="G34" s="150"/>
      <c r="H34" s="152"/>
      <c r="I34" s="204"/>
      <c r="J34" s="285"/>
      <c r="K34" s="251"/>
      <c r="L34" s="133" t="str">
        <f>IF(AND(I34&lt;&gt;"",ISERROR(IF(ISERROR(VLOOKUP(I34*1,Summary!$C$8:$C$153,1,0)),VLOOKUP(I34,Summary!$C$8:$C$153,1,0),VLOOKUP(I34*1,Summary!$C$8:$C$153,1,0)))),"Add account Number to Summary","")</f>
        <v/>
      </c>
      <c r="M34" s="131" t="str">
        <f t="shared" si="0"/>
        <v/>
      </c>
      <c r="N34" s="287">
        <f>IF(C34="Sale",SUMIFS($D$4:D34,$B$4:B34,B34,$C$4:C34,"")+SUMIFS($D$4:D34,$B$4:B34,B34,$C$4:C34,"Purch")-SUMIFS($D$4:D34,$B$4:B34,B34,$C$4:C34,"Sale"),0)</f>
        <v>0</v>
      </c>
    </row>
    <row r="35" spans="1:14" x14ac:dyDescent="0.2">
      <c r="A35" s="152"/>
      <c r="B35" s="132"/>
      <c r="C35" s="132"/>
      <c r="D35" s="277"/>
      <c r="E35" s="132"/>
      <c r="F35" s="170"/>
      <c r="G35" s="150"/>
      <c r="H35" s="152"/>
      <c r="I35" s="204"/>
      <c r="J35" s="285"/>
      <c r="K35" s="251"/>
      <c r="L35" s="133" t="str">
        <f>IF(AND(I35&lt;&gt;"",ISERROR(IF(ISERROR(VLOOKUP(I35*1,Summary!$C$8:$C$153,1,0)),VLOOKUP(I35,Summary!$C$8:$C$153,1,0),VLOOKUP(I35*1,Summary!$C$8:$C$153,1,0)))),"Add account Number to Summary","")</f>
        <v/>
      </c>
      <c r="M35" s="131" t="str">
        <f t="shared" si="0"/>
        <v/>
      </c>
      <c r="N35" s="287">
        <f>IF(C35="Sale",SUMIFS($D$4:D35,$B$4:B35,B35,$C$4:C35,"")+SUMIFS($D$4:D35,$B$4:B35,B35,$C$4:C35,"Purch")-SUMIFS($D$4:D35,$B$4:B35,B35,$C$4:C35,"Sale"),0)</f>
        <v>0</v>
      </c>
    </row>
    <row r="36" spans="1:14" x14ac:dyDescent="0.2">
      <c r="A36" s="152"/>
      <c r="B36" s="132"/>
      <c r="C36" s="132"/>
      <c r="D36" s="277"/>
      <c r="E36" s="132"/>
      <c r="F36" s="170"/>
      <c r="G36" s="150"/>
      <c r="H36" s="152"/>
      <c r="I36" s="204"/>
      <c r="J36" s="285"/>
      <c r="K36" s="251"/>
      <c r="L36" s="133" t="str">
        <f>IF(AND(I36&lt;&gt;"",ISERROR(IF(ISERROR(VLOOKUP(I36*1,Summary!$C$8:$C$153,1,0)),VLOOKUP(I36,Summary!$C$8:$C$153,1,0),VLOOKUP(I36*1,Summary!$C$8:$C$153,1,0)))),"Add account Number to Summary","")</f>
        <v/>
      </c>
      <c r="M36" s="131" t="str">
        <f t="shared" si="0"/>
        <v/>
      </c>
      <c r="N36" s="287">
        <f>IF(C36="Sale",SUMIFS($D$4:D36,$B$4:B36,B36,$C$4:C36,"")+SUMIFS($D$4:D36,$B$4:B36,B36,$C$4:C36,"Purch")-SUMIFS($D$4:D36,$B$4:B36,B36,$C$4:C36,"Sale"),0)</f>
        <v>0</v>
      </c>
    </row>
    <row r="37" spans="1:14" x14ac:dyDescent="0.2">
      <c r="A37" s="152"/>
      <c r="B37" s="132"/>
      <c r="C37" s="132"/>
      <c r="D37" s="277"/>
      <c r="E37" s="132"/>
      <c r="F37" s="170"/>
      <c r="G37" s="150"/>
      <c r="H37" s="152"/>
      <c r="I37" s="204"/>
      <c r="J37" s="285"/>
      <c r="K37" s="251"/>
      <c r="L37" s="133" t="str">
        <f>IF(AND(I37&lt;&gt;"",ISERROR(IF(ISERROR(VLOOKUP(I37*1,Summary!$C$8:$C$153,1,0)),VLOOKUP(I37,Summary!$C$8:$C$153,1,0),VLOOKUP(I37*1,Summary!$C$8:$C$153,1,0)))),"Add account Number to Summary","")</f>
        <v/>
      </c>
      <c r="M37" s="131" t="str">
        <f t="shared" si="0"/>
        <v/>
      </c>
      <c r="N37" s="287">
        <f>IF(C37="Sale",SUMIFS($D$4:D37,$B$4:B37,B37,$C$4:C37,"")+SUMIFS($D$4:D37,$B$4:B37,B37,$C$4:C37,"Purch")-SUMIFS($D$4:D37,$B$4:B37,B37,$C$4:C37,"Sale"),0)</f>
        <v>0</v>
      </c>
    </row>
    <row r="38" spans="1:14" x14ac:dyDescent="0.2">
      <c r="A38" s="152"/>
      <c r="B38" s="132"/>
      <c r="C38" s="132"/>
      <c r="D38" s="277"/>
      <c r="E38" s="132"/>
      <c r="F38" s="170"/>
      <c r="G38" s="150"/>
      <c r="H38" s="152"/>
      <c r="I38" s="204"/>
      <c r="J38" s="285"/>
      <c r="K38" s="251"/>
      <c r="L38" s="133" t="str">
        <f>IF(AND(I38&lt;&gt;"",ISERROR(IF(ISERROR(VLOOKUP(I38*1,Summary!$C$8:$C$153,1,0)),VLOOKUP(I38,Summary!$C$8:$C$153,1,0),VLOOKUP(I38*1,Summary!$C$8:$C$153,1,0)))),"Add account Number to Summary","")</f>
        <v/>
      </c>
      <c r="M38" s="131" t="str">
        <f t="shared" si="0"/>
        <v/>
      </c>
      <c r="N38" s="287">
        <f>IF(C38="Sale",SUMIFS($D$4:D38,$B$4:B38,B38,$C$4:C38,"")+SUMIFS($D$4:D38,$B$4:B38,B38,$C$4:C38,"Purch")-SUMIFS($D$4:D38,$B$4:B38,B38,$C$4:C38,"Sale"),0)</f>
        <v>0</v>
      </c>
    </row>
    <row r="39" spans="1:14" x14ac:dyDescent="0.2">
      <c r="A39" s="152"/>
      <c r="B39" s="132"/>
      <c r="C39" s="132"/>
      <c r="D39" s="277"/>
      <c r="E39" s="132"/>
      <c r="F39" s="170"/>
      <c r="G39" s="150"/>
      <c r="H39" s="152"/>
      <c r="I39" s="204"/>
      <c r="J39" s="285"/>
      <c r="K39" s="251"/>
      <c r="L39" s="133" t="str">
        <f>IF(AND(I39&lt;&gt;"",ISERROR(IF(ISERROR(VLOOKUP(I39*1,Summary!$C$8:$C$153,1,0)),VLOOKUP(I39,Summary!$C$8:$C$153,1,0),VLOOKUP(I39*1,Summary!$C$8:$C$153,1,0)))),"Add account Number to Summary","")</f>
        <v/>
      </c>
      <c r="M39" s="131" t="str">
        <f t="shared" si="0"/>
        <v/>
      </c>
      <c r="N39" s="287">
        <f>IF(C39="Sale",SUMIFS($D$4:D39,$B$4:B39,B39,$C$4:C39,"")+SUMIFS($D$4:D39,$B$4:B39,B39,$C$4:C39,"Purch")-SUMIFS($D$4:D39,$B$4:B39,B39,$C$4:C39,"Sale"),0)</f>
        <v>0</v>
      </c>
    </row>
    <row r="40" spans="1:14" x14ac:dyDescent="0.2">
      <c r="A40" s="152"/>
      <c r="B40" s="132"/>
      <c r="C40" s="132"/>
      <c r="D40" s="277"/>
      <c r="E40" s="132"/>
      <c r="F40" s="170"/>
      <c r="G40" s="150"/>
      <c r="H40" s="152"/>
      <c r="I40" s="204"/>
      <c r="J40" s="285"/>
      <c r="K40" s="251"/>
      <c r="L40" s="133" t="str">
        <f>IF(AND(I40&lt;&gt;"",ISERROR(IF(ISERROR(VLOOKUP(I40*1,Summary!$C$8:$C$153,1,0)),VLOOKUP(I40,Summary!$C$8:$C$153,1,0),VLOOKUP(I40*1,Summary!$C$8:$C$153,1,0)))),"Add account Number to Summary","")</f>
        <v/>
      </c>
      <c r="M40" s="131" t="str">
        <f t="shared" si="0"/>
        <v/>
      </c>
      <c r="N40" s="287">
        <f>IF(C40="Sale",SUMIFS($D$4:D40,$B$4:B40,B40,$C$4:C40,"")+SUMIFS($D$4:D40,$B$4:B40,B40,$C$4:C40,"Purch")-SUMIFS($D$4:D40,$B$4:B40,B40,$C$4:C40,"Sale"),0)</f>
        <v>0</v>
      </c>
    </row>
    <row r="41" spans="1:14" x14ac:dyDescent="0.2">
      <c r="A41" s="152"/>
      <c r="B41" s="132"/>
      <c r="C41" s="132"/>
      <c r="D41" s="277"/>
      <c r="E41" s="132"/>
      <c r="F41" s="170"/>
      <c r="G41" s="150"/>
      <c r="H41" s="152"/>
      <c r="I41" s="204"/>
      <c r="J41" s="285"/>
      <c r="K41" s="251"/>
      <c r="L41" s="133" t="str">
        <f>IF(AND(I41&lt;&gt;"",ISERROR(IF(ISERROR(VLOOKUP(I41*1,Summary!$C$8:$C$153,1,0)),VLOOKUP(I41,Summary!$C$8:$C$153,1,0),VLOOKUP(I41*1,Summary!$C$8:$C$153,1,0)))),"Add account Number to Summary","")</f>
        <v/>
      </c>
      <c r="M41" s="131" t="str">
        <f t="shared" si="0"/>
        <v/>
      </c>
      <c r="N41" s="287">
        <f>IF(C41="Sale",SUMIFS($D$4:D41,$B$4:B41,B41,$C$4:C41,"")+SUMIFS($D$4:D41,$B$4:B41,B41,$C$4:C41,"Purch")-SUMIFS($D$4:D41,$B$4:B41,B41,$C$4:C41,"Sale"),0)</f>
        <v>0</v>
      </c>
    </row>
    <row r="42" spans="1:14" x14ac:dyDescent="0.2">
      <c r="A42" s="152"/>
      <c r="B42" s="132"/>
      <c r="C42" s="132"/>
      <c r="D42" s="277"/>
      <c r="E42" s="132"/>
      <c r="F42" s="170"/>
      <c r="G42" s="150"/>
      <c r="H42" s="152"/>
      <c r="I42" s="204"/>
      <c r="J42" s="285"/>
      <c r="K42" s="251"/>
      <c r="L42" s="133" t="str">
        <f>IF(AND(I42&lt;&gt;"",ISERROR(IF(ISERROR(VLOOKUP(I42*1,Summary!$C$8:$C$153,1,0)),VLOOKUP(I42,Summary!$C$8:$C$153,1,0),VLOOKUP(I42*1,Summary!$C$8:$C$153,1,0)))),"Add account Number to Summary","")</f>
        <v/>
      </c>
      <c r="M42" s="131" t="str">
        <f t="shared" si="0"/>
        <v/>
      </c>
      <c r="N42" s="287">
        <f>IF(C42="Sale",SUMIFS($D$4:D42,$B$4:B42,B42,$C$4:C42,"")+SUMIFS($D$4:D42,$B$4:B42,B42,$C$4:C42,"Purch")-SUMIFS($D$4:D42,$B$4:B42,B42,$C$4:C42,"Sale"),0)</f>
        <v>0</v>
      </c>
    </row>
    <row r="43" spans="1:14" x14ac:dyDescent="0.2">
      <c r="A43" s="152"/>
      <c r="B43" s="132"/>
      <c r="C43" s="132"/>
      <c r="D43" s="277"/>
      <c r="E43" s="132"/>
      <c r="F43" s="170"/>
      <c r="G43" s="150"/>
      <c r="H43" s="152"/>
      <c r="I43" s="204"/>
      <c r="J43" s="285"/>
      <c r="K43" s="251"/>
      <c r="L43" s="133" t="str">
        <f>IF(AND(I43&lt;&gt;"",ISERROR(IF(ISERROR(VLOOKUP(I43*1,Summary!$C$8:$C$153,1,0)),VLOOKUP(I43,Summary!$C$8:$C$153,1,0),VLOOKUP(I43*1,Summary!$C$8:$C$153,1,0)))),"Add account Number to Summary","")</f>
        <v/>
      </c>
      <c r="M43" s="131" t="str">
        <f t="shared" si="0"/>
        <v/>
      </c>
      <c r="N43" s="287">
        <f>IF(C43="Sale",SUMIFS($D$4:D43,$B$4:B43,B43,$C$4:C43,"")+SUMIFS($D$4:D43,$B$4:B43,B43,$C$4:C43,"Purch")-SUMIFS($D$4:D43,$B$4:B43,B43,$C$4:C43,"Sale"),0)</f>
        <v>0</v>
      </c>
    </row>
    <row r="44" spans="1:14" x14ac:dyDescent="0.2">
      <c r="A44" s="152"/>
      <c r="B44" s="132"/>
      <c r="C44" s="132"/>
      <c r="D44" s="277"/>
      <c r="E44" s="132"/>
      <c r="F44" s="170"/>
      <c r="G44" s="150"/>
      <c r="H44" s="152"/>
      <c r="I44" s="204"/>
      <c r="J44" s="285"/>
      <c r="K44" s="251"/>
      <c r="L44" s="133" t="str">
        <f>IF(AND(I44&lt;&gt;"",ISERROR(IF(ISERROR(VLOOKUP(I44*1,Summary!$C$8:$C$153,1,0)),VLOOKUP(I44,Summary!$C$8:$C$153,1,0),VLOOKUP(I44*1,Summary!$C$8:$C$153,1,0)))),"Add account Number to Summary","")</f>
        <v/>
      </c>
      <c r="M44" s="131" t="str">
        <f t="shared" ref="M44:M107" si="1">IF(K44="Yes",IF(YEAR(A44)&lt;&gt;YEAR(date),"Check Date",""),"")</f>
        <v/>
      </c>
      <c r="N44" s="287">
        <f>IF(C44="Sale",SUMIFS($D$4:D44,$B$4:B44,B44,$C$4:C44,"")+SUMIFS($D$4:D44,$B$4:B44,B44,$C$4:C44,"Purch")-SUMIFS($D$4:D44,$B$4:B44,B44,$C$4:C44,"Sale"),0)</f>
        <v>0</v>
      </c>
    </row>
    <row r="45" spans="1:14" x14ac:dyDescent="0.2">
      <c r="A45" s="152"/>
      <c r="B45" s="132"/>
      <c r="C45" s="132"/>
      <c r="D45" s="277"/>
      <c r="E45" s="132"/>
      <c r="F45" s="170"/>
      <c r="G45" s="150"/>
      <c r="H45" s="152"/>
      <c r="I45" s="204"/>
      <c r="J45" s="285"/>
      <c r="K45" s="251"/>
      <c r="L45" s="133" t="str">
        <f>IF(AND(I45&lt;&gt;"",ISERROR(IF(ISERROR(VLOOKUP(I45*1,Summary!$C$8:$C$153,1,0)),VLOOKUP(I45,Summary!$C$8:$C$153,1,0),VLOOKUP(I45*1,Summary!$C$8:$C$153,1,0)))),"Add account Number to Summary","")</f>
        <v/>
      </c>
      <c r="M45" s="131" t="str">
        <f t="shared" si="1"/>
        <v/>
      </c>
      <c r="N45" s="287">
        <f>IF(C45="Sale",SUMIFS($D$4:D45,$B$4:B45,B45,$C$4:C45,"")+SUMIFS($D$4:D45,$B$4:B45,B45,$C$4:C45,"Purch")-SUMIFS($D$4:D45,$B$4:B45,B45,$C$4:C45,"Sale"),0)</f>
        <v>0</v>
      </c>
    </row>
    <row r="46" spans="1:14" x14ac:dyDescent="0.2">
      <c r="A46" s="152"/>
      <c r="B46" s="132"/>
      <c r="C46" s="132"/>
      <c r="D46" s="277"/>
      <c r="E46" s="132"/>
      <c r="F46" s="170"/>
      <c r="G46" s="150"/>
      <c r="H46" s="152"/>
      <c r="I46" s="204"/>
      <c r="J46" s="285"/>
      <c r="K46" s="251"/>
      <c r="L46" s="133" t="str">
        <f>IF(AND(I46&lt;&gt;"",ISERROR(IF(ISERROR(VLOOKUP(I46*1,Summary!$C$8:$C$153,1,0)),VLOOKUP(I46,Summary!$C$8:$C$153,1,0),VLOOKUP(I46*1,Summary!$C$8:$C$153,1,0)))),"Add account Number to Summary","")</f>
        <v/>
      </c>
      <c r="M46" s="131" t="str">
        <f t="shared" si="1"/>
        <v/>
      </c>
      <c r="N46" s="287">
        <f>IF(C46="Sale",SUMIFS($D$4:D46,$B$4:B46,B46,$C$4:C46,"")+SUMIFS($D$4:D46,$B$4:B46,B46,$C$4:C46,"Purch")-SUMIFS($D$4:D46,$B$4:B46,B46,$C$4:C46,"Sale"),0)</f>
        <v>0</v>
      </c>
    </row>
    <row r="47" spans="1:14" x14ac:dyDescent="0.2">
      <c r="A47" s="152"/>
      <c r="B47" s="132"/>
      <c r="C47" s="132"/>
      <c r="D47" s="277"/>
      <c r="E47" s="132"/>
      <c r="F47" s="170"/>
      <c r="G47" s="150"/>
      <c r="H47" s="152"/>
      <c r="I47" s="204"/>
      <c r="J47" s="285"/>
      <c r="K47" s="251"/>
      <c r="L47" s="133" t="str">
        <f>IF(AND(I47&lt;&gt;"",ISERROR(IF(ISERROR(VLOOKUP(I47*1,Summary!$C$8:$C$153,1,0)),VLOOKUP(I47,Summary!$C$8:$C$153,1,0),VLOOKUP(I47*1,Summary!$C$8:$C$153,1,0)))),"Add account Number to Summary","")</f>
        <v/>
      </c>
      <c r="M47" s="131" t="str">
        <f t="shared" si="1"/>
        <v/>
      </c>
      <c r="N47" s="287">
        <f>IF(C47="Sale",SUMIFS($D$4:D47,$B$4:B47,B47,$C$4:C47,"")+SUMIFS($D$4:D47,$B$4:B47,B47,$C$4:C47,"Purch")-SUMIFS($D$4:D47,$B$4:B47,B47,$C$4:C47,"Sale"),0)</f>
        <v>0</v>
      </c>
    </row>
    <row r="48" spans="1:14" x14ac:dyDescent="0.2">
      <c r="A48" s="152"/>
      <c r="B48" s="132"/>
      <c r="C48" s="132"/>
      <c r="D48" s="277"/>
      <c r="E48" s="132"/>
      <c r="F48" s="170"/>
      <c r="G48" s="150"/>
      <c r="H48" s="152"/>
      <c r="I48" s="204"/>
      <c r="J48" s="285"/>
      <c r="K48" s="251"/>
      <c r="L48" s="133" t="str">
        <f>IF(AND(I48&lt;&gt;"",ISERROR(IF(ISERROR(VLOOKUP(I48*1,Summary!$C$8:$C$153,1,0)),VLOOKUP(I48,Summary!$C$8:$C$153,1,0),VLOOKUP(I48*1,Summary!$C$8:$C$153,1,0)))),"Add account Number to Summary","")</f>
        <v/>
      </c>
      <c r="M48" s="131" t="str">
        <f t="shared" si="1"/>
        <v/>
      </c>
      <c r="N48" s="287">
        <f>IF(C48="Sale",SUMIFS($D$4:D48,$B$4:B48,B48,$C$4:C48,"")+SUMIFS($D$4:D48,$B$4:B48,B48,$C$4:C48,"Purch")-SUMIFS($D$4:D48,$B$4:B48,B48,$C$4:C48,"Sale"),0)</f>
        <v>0</v>
      </c>
    </row>
    <row r="49" spans="1:14" x14ac:dyDescent="0.2">
      <c r="A49" s="152"/>
      <c r="B49" s="132"/>
      <c r="C49" s="132"/>
      <c r="D49" s="277"/>
      <c r="E49" s="132"/>
      <c r="F49" s="170"/>
      <c r="G49" s="150"/>
      <c r="H49" s="152"/>
      <c r="I49" s="204"/>
      <c r="J49" s="285"/>
      <c r="K49" s="251"/>
      <c r="L49" s="133" t="str">
        <f>IF(AND(I49&lt;&gt;"",ISERROR(IF(ISERROR(VLOOKUP(I49*1,Summary!$C$8:$C$153,1,0)),VLOOKUP(I49,Summary!$C$8:$C$153,1,0),VLOOKUP(I49*1,Summary!$C$8:$C$153,1,0)))),"Add account Number to Summary","")</f>
        <v/>
      </c>
      <c r="M49" s="131" t="str">
        <f t="shared" si="1"/>
        <v/>
      </c>
      <c r="N49" s="287">
        <f>IF(C49="Sale",SUMIFS($D$4:D49,$B$4:B49,B49,$C$4:C49,"")+SUMIFS($D$4:D49,$B$4:B49,B49,$C$4:C49,"Purch")-SUMIFS($D$4:D49,$B$4:B49,B49,$C$4:C49,"Sale"),0)</f>
        <v>0</v>
      </c>
    </row>
    <row r="50" spans="1:14" x14ac:dyDescent="0.2">
      <c r="A50" s="152"/>
      <c r="B50" s="132"/>
      <c r="C50" s="132"/>
      <c r="D50" s="277"/>
      <c r="E50" s="132"/>
      <c r="F50" s="170"/>
      <c r="G50" s="150"/>
      <c r="H50" s="152"/>
      <c r="I50" s="204"/>
      <c r="J50" s="285"/>
      <c r="K50" s="251"/>
      <c r="L50" s="133" t="str">
        <f>IF(AND(I50&lt;&gt;"",ISERROR(IF(ISERROR(VLOOKUP(I50*1,Summary!$C$8:$C$153,1,0)),VLOOKUP(I50,Summary!$C$8:$C$153,1,0),VLOOKUP(I50*1,Summary!$C$8:$C$153,1,0)))),"Add account Number to Summary","")</f>
        <v/>
      </c>
      <c r="M50" s="131" t="str">
        <f t="shared" si="1"/>
        <v/>
      </c>
      <c r="N50" s="287">
        <f>IF(C50="Sale",SUMIFS($D$4:D50,$B$4:B50,B50,$C$4:C50,"")+SUMIFS($D$4:D50,$B$4:B50,B50,$C$4:C50,"Purch")-SUMIFS($D$4:D50,$B$4:B50,B50,$C$4:C50,"Sale"),0)</f>
        <v>0</v>
      </c>
    </row>
    <row r="51" spans="1:14" x14ac:dyDescent="0.2">
      <c r="A51" s="152"/>
      <c r="B51" s="132"/>
      <c r="C51" s="132"/>
      <c r="D51" s="277"/>
      <c r="E51" s="132"/>
      <c r="F51" s="170"/>
      <c r="G51" s="150"/>
      <c r="H51" s="152"/>
      <c r="I51" s="204"/>
      <c r="J51" s="285"/>
      <c r="K51" s="251"/>
      <c r="L51" s="133" t="str">
        <f>IF(AND(I51&lt;&gt;"",ISERROR(IF(ISERROR(VLOOKUP(I51*1,Summary!$C$8:$C$153,1,0)),VLOOKUP(I51,Summary!$C$8:$C$153,1,0),VLOOKUP(I51*1,Summary!$C$8:$C$153,1,0)))),"Add account Number to Summary","")</f>
        <v/>
      </c>
      <c r="M51" s="131" t="str">
        <f t="shared" si="1"/>
        <v/>
      </c>
      <c r="N51" s="287">
        <f>IF(C51="Sale",SUMIFS($D$4:D51,$B$4:B51,B51,$C$4:C51,"")+SUMIFS($D$4:D51,$B$4:B51,B51,$C$4:C51,"Purch")-SUMIFS($D$4:D51,$B$4:B51,B51,$C$4:C51,"Sale"),0)</f>
        <v>0</v>
      </c>
    </row>
    <row r="52" spans="1:14" x14ac:dyDescent="0.2">
      <c r="A52" s="152"/>
      <c r="B52" s="132"/>
      <c r="C52" s="132"/>
      <c r="D52" s="277"/>
      <c r="E52" s="132"/>
      <c r="F52" s="170"/>
      <c r="G52" s="150"/>
      <c r="H52" s="152"/>
      <c r="I52" s="204"/>
      <c r="J52" s="285"/>
      <c r="K52" s="251"/>
      <c r="L52" s="133" t="str">
        <f>IF(AND(I52&lt;&gt;"",ISERROR(IF(ISERROR(VLOOKUP(I52*1,Summary!$C$8:$C$153,1,0)),VLOOKUP(I52,Summary!$C$8:$C$153,1,0),VLOOKUP(I52*1,Summary!$C$8:$C$153,1,0)))),"Add account Number to Summary","")</f>
        <v/>
      </c>
      <c r="M52" s="131" t="str">
        <f t="shared" si="1"/>
        <v/>
      </c>
      <c r="N52" s="287">
        <f>IF(C52="Sale",SUMIFS($D$4:D52,$B$4:B52,B52,$C$4:C52,"")+SUMIFS($D$4:D52,$B$4:B52,B52,$C$4:C52,"Purch")-SUMIFS($D$4:D52,$B$4:B52,B52,$C$4:C52,"Sale"),0)</f>
        <v>0</v>
      </c>
    </row>
    <row r="53" spans="1:14" x14ac:dyDescent="0.2">
      <c r="A53" s="152"/>
      <c r="B53" s="132"/>
      <c r="C53" s="132"/>
      <c r="D53" s="277"/>
      <c r="E53" s="132"/>
      <c r="F53" s="170"/>
      <c r="G53" s="150"/>
      <c r="H53" s="152"/>
      <c r="I53" s="204"/>
      <c r="J53" s="285"/>
      <c r="K53" s="251"/>
      <c r="L53" s="133" t="str">
        <f>IF(AND(I53&lt;&gt;"",ISERROR(IF(ISERROR(VLOOKUP(I53*1,Summary!$C$8:$C$153,1,0)),VLOOKUP(I53,Summary!$C$8:$C$153,1,0),VLOOKUP(I53*1,Summary!$C$8:$C$153,1,0)))),"Add account Number to Summary","")</f>
        <v/>
      </c>
      <c r="M53" s="131" t="str">
        <f t="shared" si="1"/>
        <v/>
      </c>
      <c r="N53" s="287">
        <f>IF(C53="Sale",SUMIFS($D$4:D53,$B$4:B53,B53,$C$4:C53,"")+SUMIFS($D$4:D53,$B$4:B53,B53,$C$4:C53,"Purch")-SUMIFS($D$4:D53,$B$4:B53,B53,$C$4:C53,"Sale"),0)</f>
        <v>0</v>
      </c>
    </row>
    <row r="54" spans="1:14" x14ac:dyDescent="0.2">
      <c r="A54" s="152"/>
      <c r="B54" s="132"/>
      <c r="C54" s="132"/>
      <c r="D54" s="277"/>
      <c r="E54" s="132"/>
      <c r="F54" s="170"/>
      <c r="G54" s="150"/>
      <c r="H54" s="152"/>
      <c r="I54" s="204"/>
      <c r="J54" s="285"/>
      <c r="K54" s="251"/>
      <c r="L54" s="133" t="str">
        <f>IF(AND(I54&lt;&gt;"",ISERROR(IF(ISERROR(VLOOKUP(I54*1,Summary!$C$8:$C$153,1,0)),VLOOKUP(I54,Summary!$C$8:$C$153,1,0),VLOOKUP(I54*1,Summary!$C$8:$C$153,1,0)))),"Add account Number to Summary","")</f>
        <v/>
      </c>
      <c r="M54" s="131" t="str">
        <f t="shared" si="1"/>
        <v/>
      </c>
      <c r="N54" s="287">
        <f>IF(C54="Sale",SUMIFS($D$4:D54,$B$4:B54,B54,$C$4:C54,"")+SUMIFS($D$4:D54,$B$4:B54,B54,$C$4:C54,"Purch")-SUMIFS($D$4:D54,$B$4:B54,B54,$C$4:C54,"Sale"),0)</f>
        <v>0</v>
      </c>
    </row>
    <row r="55" spans="1:14" x14ac:dyDescent="0.2">
      <c r="A55" s="152"/>
      <c r="B55" s="132"/>
      <c r="C55" s="132"/>
      <c r="D55" s="277"/>
      <c r="E55" s="132"/>
      <c r="F55" s="170"/>
      <c r="G55" s="150"/>
      <c r="H55" s="152"/>
      <c r="I55" s="204"/>
      <c r="J55" s="285"/>
      <c r="K55" s="251"/>
      <c r="L55" s="133" t="str">
        <f>IF(AND(I55&lt;&gt;"",ISERROR(IF(ISERROR(VLOOKUP(I55*1,Summary!$C$8:$C$153,1,0)),VLOOKUP(I55,Summary!$C$8:$C$153,1,0),VLOOKUP(I55*1,Summary!$C$8:$C$153,1,0)))),"Add account Number to Summary","")</f>
        <v/>
      </c>
      <c r="M55" s="131" t="str">
        <f t="shared" si="1"/>
        <v/>
      </c>
      <c r="N55" s="287">
        <f>IF(C55="Sale",SUMIFS($D$4:D55,$B$4:B55,B55,$C$4:C55,"")+SUMIFS($D$4:D55,$B$4:B55,B55,$C$4:C55,"Purch")-SUMIFS($D$4:D55,$B$4:B55,B55,$C$4:C55,"Sale"),0)</f>
        <v>0</v>
      </c>
    </row>
    <row r="56" spans="1:14" x14ac:dyDescent="0.2">
      <c r="A56" s="152"/>
      <c r="B56" s="132"/>
      <c r="C56" s="132"/>
      <c r="D56" s="277"/>
      <c r="E56" s="132"/>
      <c r="F56" s="170"/>
      <c r="G56" s="150"/>
      <c r="H56" s="152"/>
      <c r="I56" s="204"/>
      <c r="J56" s="285"/>
      <c r="K56" s="251"/>
      <c r="L56" s="133" t="str">
        <f>IF(AND(I56&lt;&gt;"",ISERROR(IF(ISERROR(VLOOKUP(I56*1,Summary!$C$8:$C$153,1,0)),VLOOKUP(I56,Summary!$C$8:$C$153,1,0),VLOOKUP(I56*1,Summary!$C$8:$C$153,1,0)))),"Add account Number to Summary","")</f>
        <v/>
      </c>
      <c r="M56" s="131" t="str">
        <f t="shared" si="1"/>
        <v/>
      </c>
      <c r="N56" s="287">
        <f>IF(C56="Sale",SUMIFS($D$4:D56,$B$4:B56,B56,$C$4:C56,"")+SUMIFS($D$4:D56,$B$4:B56,B56,$C$4:C56,"Purch")-SUMIFS($D$4:D56,$B$4:B56,B56,$C$4:C56,"Sale"),0)</f>
        <v>0</v>
      </c>
    </row>
    <row r="57" spans="1:14" x14ac:dyDescent="0.2">
      <c r="A57" s="152"/>
      <c r="B57" s="132"/>
      <c r="C57" s="132"/>
      <c r="D57" s="277"/>
      <c r="E57" s="132"/>
      <c r="F57" s="170"/>
      <c r="G57" s="150"/>
      <c r="H57" s="152"/>
      <c r="I57" s="204"/>
      <c r="J57" s="285"/>
      <c r="K57" s="251"/>
      <c r="L57" s="133" t="str">
        <f>IF(AND(I57&lt;&gt;"",ISERROR(IF(ISERROR(VLOOKUP(I57*1,Summary!$C$8:$C$153,1,0)),VLOOKUP(I57,Summary!$C$8:$C$153,1,0),VLOOKUP(I57*1,Summary!$C$8:$C$153,1,0)))),"Add account Number to Summary","")</f>
        <v/>
      </c>
      <c r="M57" s="131" t="str">
        <f t="shared" si="1"/>
        <v/>
      </c>
      <c r="N57" s="287">
        <f>IF(C57="Sale",SUMIFS($D$4:D57,$B$4:B57,B57,$C$4:C57,"")+SUMIFS($D$4:D57,$B$4:B57,B57,$C$4:C57,"Purch")-SUMIFS($D$4:D57,$B$4:B57,B57,$C$4:C57,"Sale"),0)</f>
        <v>0</v>
      </c>
    </row>
    <row r="58" spans="1:14" x14ac:dyDescent="0.2">
      <c r="A58" s="152"/>
      <c r="B58" s="132"/>
      <c r="C58" s="132"/>
      <c r="D58" s="277"/>
      <c r="E58" s="132"/>
      <c r="F58" s="170"/>
      <c r="G58" s="150"/>
      <c r="H58" s="152"/>
      <c r="I58" s="204"/>
      <c r="J58" s="285"/>
      <c r="K58" s="251"/>
      <c r="L58" s="133" t="str">
        <f>IF(AND(I58&lt;&gt;"",ISERROR(IF(ISERROR(VLOOKUP(I58*1,Summary!$C$8:$C$153,1,0)),VLOOKUP(I58,Summary!$C$8:$C$153,1,0),VLOOKUP(I58*1,Summary!$C$8:$C$153,1,0)))),"Add account Number to Summary","")</f>
        <v/>
      </c>
      <c r="M58" s="131" t="str">
        <f t="shared" si="1"/>
        <v/>
      </c>
      <c r="N58" s="287">
        <f>IF(C58="Sale",SUMIFS($D$4:D58,$B$4:B58,B58,$C$4:C58,"")+SUMIFS($D$4:D58,$B$4:B58,B58,$C$4:C58,"Purch")-SUMIFS($D$4:D58,$B$4:B58,B58,$C$4:C58,"Sale"),0)</f>
        <v>0</v>
      </c>
    </row>
    <row r="59" spans="1:14" x14ac:dyDescent="0.2">
      <c r="A59" s="152"/>
      <c r="B59" s="132"/>
      <c r="C59" s="132"/>
      <c r="D59" s="277"/>
      <c r="E59" s="132"/>
      <c r="F59" s="170"/>
      <c r="G59" s="150"/>
      <c r="H59" s="152"/>
      <c r="I59" s="204"/>
      <c r="J59" s="285"/>
      <c r="K59" s="251"/>
      <c r="L59" s="133" t="str">
        <f>IF(AND(I59&lt;&gt;"",ISERROR(IF(ISERROR(VLOOKUP(I59*1,Summary!$C$8:$C$153,1,0)),VLOOKUP(I59,Summary!$C$8:$C$153,1,0),VLOOKUP(I59*1,Summary!$C$8:$C$153,1,0)))),"Add account Number to Summary","")</f>
        <v/>
      </c>
      <c r="M59" s="131" t="str">
        <f t="shared" si="1"/>
        <v/>
      </c>
      <c r="N59" s="287">
        <f>IF(C59="Sale",SUMIFS($D$4:D59,$B$4:B59,B59,$C$4:C59,"")+SUMIFS($D$4:D59,$B$4:B59,B59,$C$4:C59,"Purch")-SUMIFS($D$4:D59,$B$4:B59,B59,$C$4:C59,"Sale"),0)</f>
        <v>0</v>
      </c>
    </row>
    <row r="60" spans="1:14" x14ac:dyDescent="0.2">
      <c r="A60" s="152"/>
      <c r="B60" s="132"/>
      <c r="C60" s="132"/>
      <c r="D60" s="277"/>
      <c r="E60" s="132"/>
      <c r="F60" s="170"/>
      <c r="G60" s="150"/>
      <c r="H60" s="152"/>
      <c r="I60" s="204"/>
      <c r="J60" s="285"/>
      <c r="K60" s="251"/>
      <c r="L60" s="133" t="str">
        <f>IF(AND(I60&lt;&gt;"",ISERROR(IF(ISERROR(VLOOKUP(I60*1,Summary!$C$8:$C$153,1,0)),VLOOKUP(I60,Summary!$C$8:$C$153,1,0),VLOOKUP(I60*1,Summary!$C$8:$C$153,1,0)))),"Add account Number to Summary","")</f>
        <v/>
      </c>
      <c r="M60" s="131" t="str">
        <f t="shared" si="1"/>
        <v/>
      </c>
      <c r="N60" s="287">
        <f>IF(C60="Sale",SUMIFS($D$4:D60,$B$4:B60,B60,$C$4:C60,"")+SUMIFS($D$4:D60,$B$4:B60,B60,$C$4:C60,"Purch")-SUMIFS($D$4:D60,$B$4:B60,B60,$C$4:C60,"Sale"),0)</f>
        <v>0</v>
      </c>
    </row>
    <row r="61" spans="1:14" x14ac:dyDescent="0.2">
      <c r="A61" s="152"/>
      <c r="B61" s="132"/>
      <c r="C61" s="132"/>
      <c r="D61" s="277"/>
      <c r="E61" s="132"/>
      <c r="F61" s="170"/>
      <c r="G61" s="150"/>
      <c r="H61" s="152"/>
      <c r="I61" s="204"/>
      <c r="J61" s="285"/>
      <c r="K61" s="251"/>
      <c r="L61" s="133" t="str">
        <f>IF(AND(I61&lt;&gt;"",ISERROR(IF(ISERROR(VLOOKUP(I61*1,Summary!$C$8:$C$153,1,0)),VLOOKUP(I61,Summary!$C$8:$C$153,1,0),VLOOKUP(I61*1,Summary!$C$8:$C$153,1,0)))),"Add account Number to Summary","")</f>
        <v/>
      </c>
      <c r="M61" s="131" t="str">
        <f t="shared" si="1"/>
        <v/>
      </c>
      <c r="N61" s="287">
        <f>IF(C61="Sale",SUMIFS($D$4:D61,$B$4:B61,B61,$C$4:C61,"")+SUMIFS($D$4:D61,$B$4:B61,B61,$C$4:C61,"Purch")-SUMIFS($D$4:D61,$B$4:B61,B61,$C$4:C61,"Sale"),0)</f>
        <v>0</v>
      </c>
    </row>
    <row r="62" spans="1:14" x14ac:dyDescent="0.2">
      <c r="A62" s="152"/>
      <c r="B62" s="132"/>
      <c r="C62" s="132"/>
      <c r="D62" s="277"/>
      <c r="E62" s="132"/>
      <c r="F62" s="170"/>
      <c r="G62" s="150"/>
      <c r="H62" s="152"/>
      <c r="I62" s="204"/>
      <c r="J62" s="285"/>
      <c r="K62" s="251"/>
      <c r="L62" s="133" t="str">
        <f>IF(AND(I62&lt;&gt;"",ISERROR(IF(ISERROR(VLOOKUP(I62*1,Summary!$C$8:$C$153,1,0)),VLOOKUP(I62,Summary!$C$8:$C$153,1,0),VLOOKUP(I62*1,Summary!$C$8:$C$153,1,0)))),"Add account Number to Summary","")</f>
        <v/>
      </c>
      <c r="M62" s="131" t="str">
        <f t="shared" si="1"/>
        <v/>
      </c>
      <c r="N62" s="287">
        <f>IF(C62="Sale",SUMIFS($D$4:D62,$B$4:B62,B62,$C$4:C62,"")+SUMIFS($D$4:D62,$B$4:B62,B62,$C$4:C62,"Purch")-SUMIFS($D$4:D62,$B$4:B62,B62,$C$4:C62,"Sale"),0)</f>
        <v>0</v>
      </c>
    </row>
    <row r="63" spans="1:14" x14ac:dyDescent="0.2">
      <c r="A63" s="152"/>
      <c r="B63" s="132"/>
      <c r="C63" s="132"/>
      <c r="D63" s="277"/>
      <c r="E63" s="132"/>
      <c r="F63" s="170"/>
      <c r="G63" s="150"/>
      <c r="H63" s="152"/>
      <c r="I63" s="204"/>
      <c r="J63" s="285"/>
      <c r="K63" s="251"/>
      <c r="L63" s="133" t="str">
        <f>IF(AND(I63&lt;&gt;"",ISERROR(IF(ISERROR(VLOOKUP(I63*1,Summary!$C$8:$C$153,1,0)),VLOOKUP(I63,Summary!$C$8:$C$153,1,0),VLOOKUP(I63*1,Summary!$C$8:$C$153,1,0)))),"Add account Number to Summary","")</f>
        <v/>
      </c>
      <c r="M63" s="131" t="str">
        <f t="shared" si="1"/>
        <v/>
      </c>
      <c r="N63" s="287">
        <f>IF(C63="Sale",SUMIFS($D$4:D63,$B$4:B63,B63,$C$4:C63,"")+SUMIFS($D$4:D63,$B$4:B63,B63,$C$4:C63,"Purch")-SUMIFS($D$4:D63,$B$4:B63,B63,$C$4:C63,"Sale"),0)</f>
        <v>0</v>
      </c>
    </row>
    <row r="64" spans="1:14" x14ac:dyDescent="0.2">
      <c r="A64" s="152"/>
      <c r="B64" s="132"/>
      <c r="C64" s="132"/>
      <c r="D64" s="277"/>
      <c r="E64" s="132"/>
      <c r="F64" s="170"/>
      <c r="G64" s="150"/>
      <c r="H64" s="152"/>
      <c r="I64" s="204"/>
      <c r="J64" s="285"/>
      <c r="K64" s="251"/>
      <c r="L64" s="133" t="str">
        <f>IF(AND(I64&lt;&gt;"",ISERROR(IF(ISERROR(VLOOKUP(I64*1,Summary!$C$8:$C$153,1,0)),VLOOKUP(I64,Summary!$C$8:$C$153,1,0),VLOOKUP(I64*1,Summary!$C$8:$C$153,1,0)))),"Add account Number to Summary","")</f>
        <v/>
      </c>
      <c r="M64" s="131" t="str">
        <f t="shared" si="1"/>
        <v/>
      </c>
      <c r="N64" s="287">
        <f>IF(C64="Sale",SUMIFS($D$4:D64,$B$4:B64,B64,$C$4:C64,"")+SUMIFS($D$4:D64,$B$4:B64,B64,$C$4:C64,"Purch")-SUMIFS($D$4:D64,$B$4:B64,B64,$C$4:C64,"Sale"),0)</f>
        <v>0</v>
      </c>
    </row>
    <row r="65" spans="1:14" x14ac:dyDescent="0.2">
      <c r="A65" s="152"/>
      <c r="B65" s="132"/>
      <c r="C65" s="132"/>
      <c r="D65" s="277"/>
      <c r="E65" s="132"/>
      <c r="F65" s="170"/>
      <c r="G65" s="150"/>
      <c r="H65" s="152"/>
      <c r="I65" s="204"/>
      <c r="J65" s="285"/>
      <c r="K65" s="251"/>
      <c r="L65" s="133" t="str">
        <f>IF(AND(I65&lt;&gt;"",ISERROR(IF(ISERROR(VLOOKUP(I65*1,Summary!$C$8:$C$153,1,0)),VLOOKUP(I65,Summary!$C$8:$C$153,1,0),VLOOKUP(I65*1,Summary!$C$8:$C$153,1,0)))),"Add account Number to Summary","")</f>
        <v/>
      </c>
      <c r="M65" s="131" t="str">
        <f t="shared" si="1"/>
        <v/>
      </c>
      <c r="N65" s="287">
        <f>IF(C65="Sale",SUMIFS($D$4:D65,$B$4:B65,B65,$C$4:C65,"")+SUMIFS($D$4:D65,$B$4:B65,B65,$C$4:C65,"Purch")-SUMIFS($D$4:D65,$B$4:B65,B65,$C$4:C65,"Sale"),0)</f>
        <v>0</v>
      </c>
    </row>
    <row r="66" spans="1:14" x14ac:dyDescent="0.2">
      <c r="A66" s="152"/>
      <c r="B66" s="132"/>
      <c r="C66" s="132"/>
      <c r="D66" s="277"/>
      <c r="E66" s="132"/>
      <c r="F66" s="170"/>
      <c r="G66" s="150"/>
      <c r="H66" s="152"/>
      <c r="I66" s="204"/>
      <c r="J66" s="285"/>
      <c r="K66" s="251"/>
      <c r="L66" s="133" t="str">
        <f>IF(AND(I66&lt;&gt;"",ISERROR(IF(ISERROR(VLOOKUP(I66*1,Summary!$C$8:$C$153,1,0)),VLOOKUP(I66,Summary!$C$8:$C$153,1,0),VLOOKUP(I66*1,Summary!$C$8:$C$153,1,0)))),"Add account Number to Summary","")</f>
        <v/>
      </c>
      <c r="M66" s="131" t="str">
        <f t="shared" si="1"/>
        <v/>
      </c>
      <c r="N66" s="287">
        <f>IF(C66="Sale",SUMIFS($D$4:D66,$B$4:B66,B66,$C$4:C66,"")+SUMIFS($D$4:D66,$B$4:B66,B66,$C$4:C66,"Purch")-SUMIFS($D$4:D66,$B$4:B66,B66,$C$4:C66,"Sale"),0)</f>
        <v>0</v>
      </c>
    </row>
    <row r="67" spans="1:14" x14ac:dyDescent="0.2">
      <c r="A67" s="152"/>
      <c r="B67" s="132"/>
      <c r="C67" s="132"/>
      <c r="D67" s="277"/>
      <c r="E67" s="132"/>
      <c r="F67" s="170"/>
      <c r="G67" s="150"/>
      <c r="H67" s="152"/>
      <c r="I67" s="204"/>
      <c r="J67" s="285"/>
      <c r="K67" s="251"/>
      <c r="L67" s="133" t="str">
        <f>IF(AND(I67&lt;&gt;"",ISERROR(IF(ISERROR(VLOOKUP(I67*1,Summary!$C$8:$C$153,1,0)),VLOOKUP(I67,Summary!$C$8:$C$153,1,0),VLOOKUP(I67*1,Summary!$C$8:$C$153,1,0)))),"Add account Number to Summary","")</f>
        <v/>
      </c>
      <c r="M67" s="131" t="str">
        <f t="shared" si="1"/>
        <v/>
      </c>
      <c r="N67" s="287">
        <f>IF(C67="Sale",SUMIFS($D$4:D67,$B$4:B67,B67,$C$4:C67,"")+SUMIFS($D$4:D67,$B$4:B67,B67,$C$4:C67,"Purch")-SUMIFS($D$4:D67,$B$4:B67,B67,$C$4:C67,"Sale"),0)</f>
        <v>0</v>
      </c>
    </row>
    <row r="68" spans="1:14" x14ac:dyDescent="0.2">
      <c r="A68" s="152"/>
      <c r="B68" s="132"/>
      <c r="C68" s="132"/>
      <c r="D68" s="277"/>
      <c r="E68" s="132"/>
      <c r="F68" s="170"/>
      <c r="G68" s="150"/>
      <c r="H68" s="152"/>
      <c r="I68" s="204"/>
      <c r="J68" s="285"/>
      <c r="K68" s="251"/>
      <c r="L68" s="133" t="str">
        <f>IF(AND(I68&lt;&gt;"",ISERROR(IF(ISERROR(VLOOKUP(I68*1,Summary!$C$8:$C$153,1,0)),VLOOKUP(I68,Summary!$C$8:$C$153,1,0),VLOOKUP(I68*1,Summary!$C$8:$C$153,1,0)))),"Add account Number to Summary","")</f>
        <v/>
      </c>
      <c r="M68" s="131" t="str">
        <f t="shared" si="1"/>
        <v/>
      </c>
      <c r="N68" s="287">
        <f>IF(C68="Sale",SUMIFS($D$4:D68,$B$4:B68,B68,$C$4:C68,"")+SUMIFS($D$4:D68,$B$4:B68,B68,$C$4:C68,"Purch")-SUMIFS($D$4:D68,$B$4:B68,B68,$C$4:C68,"Sale"),0)</f>
        <v>0</v>
      </c>
    </row>
    <row r="69" spans="1:14" x14ac:dyDescent="0.2">
      <c r="A69" s="152"/>
      <c r="B69" s="132"/>
      <c r="C69" s="132"/>
      <c r="D69" s="277"/>
      <c r="E69" s="132"/>
      <c r="F69" s="170"/>
      <c r="G69" s="150"/>
      <c r="H69" s="152"/>
      <c r="I69" s="204"/>
      <c r="J69" s="285"/>
      <c r="K69" s="251"/>
      <c r="L69" s="133" t="str">
        <f>IF(AND(I69&lt;&gt;"",ISERROR(IF(ISERROR(VLOOKUP(I69*1,Summary!$C$8:$C$153,1,0)),VLOOKUP(I69,Summary!$C$8:$C$153,1,0),VLOOKUP(I69*1,Summary!$C$8:$C$153,1,0)))),"Add account Number to Summary","")</f>
        <v/>
      </c>
      <c r="M69" s="131" t="str">
        <f t="shared" si="1"/>
        <v/>
      </c>
      <c r="N69" s="287">
        <f>IF(C69="Sale",SUMIFS($D$4:D69,$B$4:B69,B69,$C$4:C69,"")+SUMIFS($D$4:D69,$B$4:B69,B69,$C$4:C69,"Purch")-SUMIFS($D$4:D69,$B$4:B69,B69,$C$4:C69,"Sale"),0)</f>
        <v>0</v>
      </c>
    </row>
    <row r="70" spans="1:14" x14ac:dyDescent="0.2">
      <c r="A70" s="152"/>
      <c r="B70" s="132"/>
      <c r="C70" s="132"/>
      <c r="D70" s="277"/>
      <c r="E70" s="132"/>
      <c r="F70" s="170"/>
      <c r="G70" s="150"/>
      <c r="H70" s="152"/>
      <c r="I70" s="204"/>
      <c r="J70" s="285"/>
      <c r="K70" s="251"/>
      <c r="L70" s="133" t="str">
        <f>IF(AND(I70&lt;&gt;"",ISERROR(IF(ISERROR(VLOOKUP(I70*1,Summary!$C$8:$C$153,1,0)),VLOOKUP(I70,Summary!$C$8:$C$153,1,0),VLOOKUP(I70*1,Summary!$C$8:$C$153,1,0)))),"Add account Number to Summary","")</f>
        <v/>
      </c>
      <c r="M70" s="131" t="str">
        <f t="shared" si="1"/>
        <v/>
      </c>
      <c r="N70" s="287">
        <f>IF(C70="Sale",SUMIFS($D$4:D70,$B$4:B70,B70,$C$4:C70,"")+SUMIFS($D$4:D70,$B$4:B70,B70,$C$4:C70,"Purch")-SUMIFS($D$4:D70,$B$4:B70,B70,$C$4:C70,"Sale"),0)</f>
        <v>0</v>
      </c>
    </row>
    <row r="71" spans="1:14" x14ac:dyDescent="0.2">
      <c r="A71" s="152"/>
      <c r="B71" s="132"/>
      <c r="C71" s="132"/>
      <c r="D71" s="277"/>
      <c r="E71" s="132"/>
      <c r="F71" s="170"/>
      <c r="G71" s="150"/>
      <c r="H71" s="152"/>
      <c r="I71" s="204"/>
      <c r="J71" s="285"/>
      <c r="K71" s="251"/>
      <c r="L71" s="133" t="str">
        <f>IF(AND(I71&lt;&gt;"",ISERROR(IF(ISERROR(VLOOKUP(I71*1,Summary!$C$8:$C$153,1,0)),VLOOKUP(I71,Summary!$C$8:$C$153,1,0),VLOOKUP(I71*1,Summary!$C$8:$C$153,1,0)))),"Add account Number to Summary","")</f>
        <v/>
      </c>
      <c r="M71" s="131" t="str">
        <f t="shared" si="1"/>
        <v/>
      </c>
      <c r="N71" s="287">
        <f>IF(C71="Sale",SUMIFS($D$4:D71,$B$4:B71,B71,$C$4:C71,"")+SUMIFS($D$4:D71,$B$4:B71,B71,$C$4:C71,"Purch")-SUMIFS($D$4:D71,$B$4:B71,B71,$C$4:C71,"Sale"),0)</f>
        <v>0</v>
      </c>
    </row>
    <row r="72" spans="1:14" x14ac:dyDescent="0.2">
      <c r="A72" s="152"/>
      <c r="B72" s="132"/>
      <c r="C72" s="132"/>
      <c r="D72" s="277"/>
      <c r="E72" s="132"/>
      <c r="F72" s="170"/>
      <c r="G72" s="150"/>
      <c r="H72" s="152"/>
      <c r="I72" s="204"/>
      <c r="J72" s="285"/>
      <c r="K72" s="251"/>
      <c r="L72" s="133" t="str">
        <f>IF(AND(I72&lt;&gt;"",ISERROR(IF(ISERROR(VLOOKUP(I72*1,Summary!$C$8:$C$153,1,0)),VLOOKUP(I72,Summary!$C$8:$C$153,1,0),VLOOKUP(I72*1,Summary!$C$8:$C$153,1,0)))),"Add account Number to Summary","")</f>
        <v/>
      </c>
      <c r="M72" s="131" t="str">
        <f t="shared" si="1"/>
        <v/>
      </c>
      <c r="N72" s="287">
        <f>IF(C72="Sale",SUMIFS($D$4:D72,$B$4:B72,B72,$C$4:C72,"")+SUMIFS($D$4:D72,$B$4:B72,B72,$C$4:C72,"Purch")-SUMIFS($D$4:D72,$B$4:B72,B72,$C$4:C72,"Sale"),0)</f>
        <v>0</v>
      </c>
    </row>
    <row r="73" spans="1:14" x14ac:dyDescent="0.2">
      <c r="A73" s="152"/>
      <c r="B73" s="132"/>
      <c r="C73" s="132"/>
      <c r="D73" s="277"/>
      <c r="E73" s="132"/>
      <c r="F73" s="170"/>
      <c r="G73" s="150"/>
      <c r="H73" s="152"/>
      <c r="I73" s="204"/>
      <c r="J73" s="285"/>
      <c r="K73" s="251"/>
      <c r="L73" s="133" t="str">
        <f>IF(AND(I73&lt;&gt;"",ISERROR(IF(ISERROR(VLOOKUP(I73*1,Summary!$C$8:$C$153,1,0)),VLOOKUP(I73,Summary!$C$8:$C$153,1,0),VLOOKUP(I73*1,Summary!$C$8:$C$153,1,0)))),"Add account Number to Summary","")</f>
        <v/>
      </c>
      <c r="M73" s="131" t="str">
        <f t="shared" si="1"/>
        <v/>
      </c>
      <c r="N73" s="287">
        <f>IF(C73="Sale",SUMIFS($D$4:D73,$B$4:B73,B73,$C$4:C73,"")+SUMIFS($D$4:D73,$B$4:B73,B73,$C$4:C73,"Purch")-SUMIFS($D$4:D73,$B$4:B73,B73,$C$4:C73,"Sale"),0)</f>
        <v>0</v>
      </c>
    </row>
    <row r="74" spans="1:14" x14ac:dyDescent="0.2">
      <c r="A74" s="152"/>
      <c r="B74" s="132"/>
      <c r="C74" s="132"/>
      <c r="D74" s="277"/>
      <c r="E74" s="132"/>
      <c r="F74" s="170"/>
      <c r="G74" s="150"/>
      <c r="H74" s="152"/>
      <c r="I74" s="204"/>
      <c r="J74" s="285"/>
      <c r="K74" s="251"/>
      <c r="L74" s="133" t="str">
        <f>IF(AND(I74&lt;&gt;"",ISERROR(IF(ISERROR(VLOOKUP(I74*1,Summary!$C$8:$C$153,1,0)),VLOOKUP(I74,Summary!$C$8:$C$153,1,0),VLOOKUP(I74*1,Summary!$C$8:$C$153,1,0)))),"Add account Number to Summary","")</f>
        <v/>
      </c>
      <c r="M74" s="131" t="str">
        <f t="shared" si="1"/>
        <v/>
      </c>
      <c r="N74" s="287">
        <f>IF(C74="Sale",SUMIFS($D$4:D74,$B$4:B74,B74,$C$4:C74,"")+SUMIFS($D$4:D74,$B$4:B74,B74,$C$4:C74,"Purch")-SUMIFS($D$4:D74,$B$4:B74,B74,$C$4:C74,"Sale"),0)</f>
        <v>0</v>
      </c>
    </row>
    <row r="75" spans="1:14" x14ac:dyDescent="0.2">
      <c r="A75" s="152"/>
      <c r="B75" s="132"/>
      <c r="C75" s="132"/>
      <c r="D75" s="277"/>
      <c r="E75" s="132"/>
      <c r="F75" s="170"/>
      <c r="G75" s="150"/>
      <c r="H75" s="152"/>
      <c r="I75" s="204"/>
      <c r="J75" s="285"/>
      <c r="K75" s="251"/>
      <c r="L75" s="133" t="str">
        <f>IF(AND(I75&lt;&gt;"",ISERROR(IF(ISERROR(VLOOKUP(I75*1,Summary!$C$8:$C$153,1,0)),VLOOKUP(I75,Summary!$C$8:$C$153,1,0),VLOOKUP(I75*1,Summary!$C$8:$C$153,1,0)))),"Add account Number to Summary","")</f>
        <v/>
      </c>
      <c r="M75" s="131" t="str">
        <f t="shared" si="1"/>
        <v/>
      </c>
      <c r="N75" s="287">
        <f>IF(C75="Sale",SUMIFS($D$4:D75,$B$4:B75,B75,$C$4:C75,"")+SUMIFS($D$4:D75,$B$4:B75,B75,$C$4:C75,"Purch")-SUMIFS($D$4:D75,$B$4:B75,B75,$C$4:C75,"Sale"),0)</f>
        <v>0</v>
      </c>
    </row>
    <row r="76" spans="1:14" x14ac:dyDescent="0.2">
      <c r="A76" s="152"/>
      <c r="B76" s="132"/>
      <c r="C76" s="132"/>
      <c r="D76" s="277"/>
      <c r="E76" s="132"/>
      <c r="F76" s="170"/>
      <c r="G76" s="150"/>
      <c r="H76" s="152"/>
      <c r="I76" s="204"/>
      <c r="J76" s="285"/>
      <c r="K76" s="251"/>
      <c r="L76" s="133" t="str">
        <f>IF(AND(I76&lt;&gt;"",ISERROR(IF(ISERROR(VLOOKUP(I76*1,Summary!$C$8:$C$153,1,0)),VLOOKUP(I76,Summary!$C$8:$C$153,1,0),VLOOKUP(I76*1,Summary!$C$8:$C$153,1,0)))),"Add account Number to Summary","")</f>
        <v/>
      </c>
      <c r="M76" s="131" t="str">
        <f t="shared" si="1"/>
        <v/>
      </c>
      <c r="N76" s="287">
        <f>IF(C76="Sale",SUMIFS($D$4:D76,$B$4:B76,B76,$C$4:C76,"")+SUMIFS($D$4:D76,$B$4:B76,B76,$C$4:C76,"Purch")-SUMIFS($D$4:D76,$B$4:B76,B76,$C$4:C76,"Sale"),0)</f>
        <v>0</v>
      </c>
    </row>
    <row r="77" spans="1:14" x14ac:dyDescent="0.2">
      <c r="A77" s="152"/>
      <c r="B77" s="132"/>
      <c r="C77" s="132"/>
      <c r="D77" s="277"/>
      <c r="E77" s="132"/>
      <c r="F77" s="170"/>
      <c r="G77" s="150"/>
      <c r="H77" s="152"/>
      <c r="I77" s="204"/>
      <c r="J77" s="285"/>
      <c r="K77" s="251"/>
      <c r="L77" s="133" t="str">
        <f>IF(AND(I77&lt;&gt;"",ISERROR(IF(ISERROR(VLOOKUP(I77*1,Summary!$C$8:$C$153,1,0)),VLOOKUP(I77,Summary!$C$8:$C$153,1,0),VLOOKUP(I77*1,Summary!$C$8:$C$153,1,0)))),"Add account Number to Summary","")</f>
        <v/>
      </c>
      <c r="M77" s="131" t="str">
        <f t="shared" si="1"/>
        <v/>
      </c>
      <c r="N77" s="287">
        <f>IF(C77="Sale",SUMIFS($D$4:D77,$B$4:B77,B77,$C$4:C77,"")+SUMIFS($D$4:D77,$B$4:B77,B77,$C$4:C77,"Purch")-SUMIFS($D$4:D77,$B$4:B77,B77,$C$4:C77,"Sale"),0)</f>
        <v>0</v>
      </c>
    </row>
    <row r="78" spans="1:14" x14ac:dyDescent="0.2">
      <c r="A78" s="152"/>
      <c r="B78" s="132"/>
      <c r="C78" s="132"/>
      <c r="D78" s="277"/>
      <c r="E78" s="132"/>
      <c r="F78" s="170"/>
      <c r="G78" s="150"/>
      <c r="H78" s="152"/>
      <c r="I78" s="204"/>
      <c r="J78" s="285"/>
      <c r="K78" s="251"/>
      <c r="L78" s="133" t="str">
        <f>IF(AND(I78&lt;&gt;"",ISERROR(IF(ISERROR(VLOOKUP(I78*1,Summary!$C$8:$C$153,1,0)),VLOOKUP(I78,Summary!$C$8:$C$153,1,0),VLOOKUP(I78*1,Summary!$C$8:$C$153,1,0)))),"Add account Number to Summary","")</f>
        <v/>
      </c>
      <c r="M78" s="131" t="str">
        <f t="shared" si="1"/>
        <v/>
      </c>
      <c r="N78" s="287">
        <f>IF(C78="Sale",SUMIFS($D$4:D78,$B$4:B78,B78,$C$4:C78,"")+SUMIFS($D$4:D78,$B$4:B78,B78,$C$4:C78,"Purch")-SUMIFS($D$4:D78,$B$4:B78,B78,$C$4:C78,"Sale"),0)</f>
        <v>0</v>
      </c>
    </row>
    <row r="79" spans="1:14" x14ac:dyDescent="0.2">
      <c r="A79" s="152"/>
      <c r="B79" s="132"/>
      <c r="C79" s="132"/>
      <c r="D79" s="277"/>
      <c r="E79" s="132"/>
      <c r="F79" s="170"/>
      <c r="G79" s="150"/>
      <c r="H79" s="152"/>
      <c r="I79" s="204"/>
      <c r="J79" s="285"/>
      <c r="K79" s="251"/>
      <c r="L79" s="133" t="str">
        <f>IF(AND(I79&lt;&gt;"",ISERROR(IF(ISERROR(VLOOKUP(I79*1,Summary!$C$8:$C$153,1,0)),VLOOKUP(I79,Summary!$C$8:$C$153,1,0),VLOOKUP(I79*1,Summary!$C$8:$C$153,1,0)))),"Add account Number to Summary","")</f>
        <v/>
      </c>
      <c r="M79" s="131" t="str">
        <f t="shared" si="1"/>
        <v/>
      </c>
      <c r="N79" s="287">
        <f>IF(C79="Sale",SUMIFS($D$4:D79,$B$4:B79,B79,$C$4:C79,"")+SUMIFS($D$4:D79,$B$4:B79,B79,$C$4:C79,"Purch")-SUMIFS($D$4:D79,$B$4:B79,B79,$C$4:C79,"Sale"),0)</f>
        <v>0</v>
      </c>
    </row>
    <row r="80" spans="1:14" x14ac:dyDescent="0.2">
      <c r="A80" s="152"/>
      <c r="B80" s="132"/>
      <c r="C80" s="132"/>
      <c r="D80" s="277"/>
      <c r="E80" s="132"/>
      <c r="F80" s="170"/>
      <c r="G80" s="150"/>
      <c r="H80" s="152"/>
      <c r="I80" s="204"/>
      <c r="J80" s="285"/>
      <c r="K80" s="251"/>
      <c r="L80" s="133" t="str">
        <f>IF(AND(I80&lt;&gt;"",ISERROR(IF(ISERROR(VLOOKUP(I80*1,Summary!$C$8:$C$153,1,0)),VLOOKUP(I80,Summary!$C$8:$C$153,1,0),VLOOKUP(I80*1,Summary!$C$8:$C$153,1,0)))),"Add account Number to Summary","")</f>
        <v/>
      </c>
      <c r="M80" s="131" t="str">
        <f t="shared" si="1"/>
        <v/>
      </c>
      <c r="N80" s="287">
        <f>IF(C80="Sale",SUMIFS($D$4:D80,$B$4:B80,B80,$C$4:C80,"")+SUMIFS($D$4:D80,$B$4:B80,B80,$C$4:C80,"Purch")-SUMIFS($D$4:D80,$B$4:B80,B80,$C$4:C80,"Sale"),0)</f>
        <v>0</v>
      </c>
    </row>
    <row r="81" spans="1:14" x14ac:dyDescent="0.2">
      <c r="A81" s="152"/>
      <c r="B81" s="132"/>
      <c r="C81" s="132"/>
      <c r="D81" s="277"/>
      <c r="E81" s="132"/>
      <c r="F81" s="170"/>
      <c r="G81" s="150"/>
      <c r="H81" s="152"/>
      <c r="I81" s="204"/>
      <c r="J81" s="285"/>
      <c r="K81" s="251"/>
      <c r="L81" s="133" t="str">
        <f>IF(AND(I81&lt;&gt;"",ISERROR(IF(ISERROR(VLOOKUP(I81*1,Summary!$C$8:$C$153,1,0)),VLOOKUP(I81,Summary!$C$8:$C$153,1,0),VLOOKUP(I81*1,Summary!$C$8:$C$153,1,0)))),"Add account Number to Summary","")</f>
        <v/>
      </c>
      <c r="M81" s="131" t="str">
        <f t="shared" si="1"/>
        <v/>
      </c>
      <c r="N81" s="287">
        <f>IF(C81="Sale",SUMIFS($D$4:D81,$B$4:B81,B81,$C$4:C81,"")+SUMIFS($D$4:D81,$B$4:B81,B81,$C$4:C81,"Purch")-SUMIFS($D$4:D81,$B$4:B81,B81,$C$4:C81,"Sale"),0)</f>
        <v>0</v>
      </c>
    </row>
    <row r="82" spans="1:14" x14ac:dyDescent="0.2">
      <c r="A82" s="152"/>
      <c r="B82" s="132"/>
      <c r="C82" s="132"/>
      <c r="D82" s="277"/>
      <c r="E82" s="132"/>
      <c r="F82" s="170"/>
      <c r="G82" s="150"/>
      <c r="H82" s="152"/>
      <c r="I82" s="204"/>
      <c r="J82" s="285"/>
      <c r="K82" s="251"/>
      <c r="L82" s="133" t="str">
        <f>IF(AND(I82&lt;&gt;"",ISERROR(IF(ISERROR(VLOOKUP(I82*1,Summary!$C$8:$C$153,1,0)),VLOOKUP(I82,Summary!$C$8:$C$153,1,0),VLOOKUP(I82*1,Summary!$C$8:$C$153,1,0)))),"Add account Number to Summary","")</f>
        <v/>
      </c>
      <c r="M82" s="131" t="str">
        <f t="shared" si="1"/>
        <v/>
      </c>
      <c r="N82" s="287">
        <f>IF(C82="Sale",SUMIFS($D$4:D82,$B$4:B82,B82,$C$4:C82,"")+SUMIFS($D$4:D82,$B$4:B82,B82,$C$4:C82,"Purch")-SUMIFS($D$4:D82,$B$4:B82,B82,$C$4:C82,"Sale"),0)</f>
        <v>0</v>
      </c>
    </row>
    <row r="83" spans="1:14" x14ac:dyDescent="0.2">
      <c r="A83" s="152"/>
      <c r="B83" s="132"/>
      <c r="C83" s="132"/>
      <c r="D83" s="277"/>
      <c r="E83" s="132"/>
      <c r="F83" s="170"/>
      <c r="G83" s="150"/>
      <c r="H83" s="152"/>
      <c r="I83" s="204"/>
      <c r="J83" s="285"/>
      <c r="K83" s="251"/>
      <c r="L83" s="133" t="str">
        <f>IF(AND(I83&lt;&gt;"",ISERROR(IF(ISERROR(VLOOKUP(I83*1,Summary!$C$8:$C$153,1,0)),VLOOKUP(I83,Summary!$C$8:$C$153,1,0),VLOOKUP(I83*1,Summary!$C$8:$C$153,1,0)))),"Add account Number to Summary","")</f>
        <v/>
      </c>
      <c r="M83" s="131" t="str">
        <f t="shared" si="1"/>
        <v/>
      </c>
      <c r="N83" s="287">
        <f>IF(C83="Sale",SUMIFS($D$4:D83,$B$4:B83,B83,$C$4:C83,"")+SUMIFS($D$4:D83,$B$4:B83,B83,$C$4:C83,"Purch")-SUMIFS($D$4:D83,$B$4:B83,B83,$C$4:C83,"Sale"),0)</f>
        <v>0</v>
      </c>
    </row>
    <row r="84" spans="1:14" x14ac:dyDescent="0.2">
      <c r="A84" s="152"/>
      <c r="B84" s="132"/>
      <c r="C84" s="132"/>
      <c r="D84" s="277"/>
      <c r="E84" s="132"/>
      <c r="F84" s="170"/>
      <c r="G84" s="150"/>
      <c r="H84" s="152"/>
      <c r="I84" s="204"/>
      <c r="J84" s="285"/>
      <c r="K84" s="251"/>
      <c r="L84" s="133" t="str">
        <f>IF(AND(I84&lt;&gt;"",ISERROR(IF(ISERROR(VLOOKUP(I84*1,Summary!$C$8:$C$153,1,0)),VLOOKUP(I84,Summary!$C$8:$C$153,1,0),VLOOKUP(I84*1,Summary!$C$8:$C$153,1,0)))),"Add account Number to Summary","")</f>
        <v/>
      </c>
      <c r="M84" s="131" t="str">
        <f t="shared" si="1"/>
        <v/>
      </c>
      <c r="N84" s="287">
        <f>IF(C84="Sale",SUMIFS($D$4:D84,$B$4:B84,B84,$C$4:C84,"")+SUMIFS($D$4:D84,$B$4:B84,B84,$C$4:C84,"Purch")-SUMIFS($D$4:D84,$B$4:B84,B84,$C$4:C84,"Sale"),0)</f>
        <v>0</v>
      </c>
    </row>
    <row r="85" spans="1:14" x14ac:dyDescent="0.2">
      <c r="A85" s="152"/>
      <c r="B85" s="132"/>
      <c r="C85" s="132"/>
      <c r="D85" s="277"/>
      <c r="E85" s="132"/>
      <c r="F85" s="170"/>
      <c r="G85" s="150"/>
      <c r="H85" s="152"/>
      <c r="I85" s="204"/>
      <c r="J85" s="285"/>
      <c r="K85" s="251"/>
      <c r="L85" s="133" t="str">
        <f>IF(AND(I85&lt;&gt;"",ISERROR(IF(ISERROR(VLOOKUP(I85*1,Summary!$C$8:$C$153,1,0)),VLOOKUP(I85,Summary!$C$8:$C$153,1,0),VLOOKUP(I85*1,Summary!$C$8:$C$153,1,0)))),"Add account Number to Summary","")</f>
        <v/>
      </c>
      <c r="M85" s="131" t="str">
        <f t="shared" si="1"/>
        <v/>
      </c>
      <c r="N85" s="287">
        <f>IF(C85="Sale",SUMIFS($D$4:D85,$B$4:B85,B85,$C$4:C85,"")+SUMIFS($D$4:D85,$B$4:B85,B85,$C$4:C85,"Purch")-SUMIFS($D$4:D85,$B$4:B85,B85,$C$4:C85,"Sale"),0)</f>
        <v>0</v>
      </c>
    </row>
    <row r="86" spans="1:14" x14ac:dyDescent="0.2">
      <c r="A86" s="152"/>
      <c r="B86" s="132"/>
      <c r="C86" s="132"/>
      <c r="D86" s="277"/>
      <c r="E86" s="132"/>
      <c r="F86" s="170"/>
      <c r="G86" s="150"/>
      <c r="H86" s="152"/>
      <c r="I86" s="204"/>
      <c r="J86" s="285"/>
      <c r="K86" s="251"/>
      <c r="L86" s="133" t="str">
        <f>IF(AND(I86&lt;&gt;"",ISERROR(IF(ISERROR(VLOOKUP(I86*1,Summary!$C$8:$C$153,1,0)),VLOOKUP(I86,Summary!$C$8:$C$153,1,0),VLOOKUP(I86*1,Summary!$C$8:$C$153,1,0)))),"Add account Number to Summary","")</f>
        <v/>
      </c>
      <c r="M86" s="131" t="str">
        <f t="shared" si="1"/>
        <v/>
      </c>
      <c r="N86" s="287">
        <f>IF(C86="Sale",SUMIFS($D$4:D86,$B$4:B86,B86,$C$4:C86,"")+SUMIFS($D$4:D86,$B$4:B86,B86,$C$4:C86,"Purch")-SUMIFS($D$4:D86,$B$4:B86,B86,$C$4:C86,"Sale"),0)</f>
        <v>0</v>
      </c>
    </row>
    <row r="87" spans="1:14" x14ac:dyDescent="0.2">
      <c r="A87" s="152"/>
      <c r="B87" s="132"/>
      <c r="C87" s="132"/>
      <c r="D87" s="277"/>
      <c r="E87" s="132"/>
      <c r="F87" s="170"/>
      <c r="G87" s="150"/>
      <c r="H87" s="152"/>
      <c r="I87" s="204"/>
      <c r="J87" s="285"/>
      <c r="K87" s="251"/>
      <c r="L87" s="133" t="str">
        <f>IF(AND(I87&lt;&gt;"",ISERROR(IF(ISERROR(VLOOKUP(I87*1,Summary!$C$8:$C$153,1,0)),VLOOKUP(I87,Summary!$C$8:$C$153,1,0),VLOOKUP(I87*1,Summary!$C$8:$C$153,1,0)))),"Add account Number to Summary","")</f>
        <v/>
      </c>
      <c r="M87" s="131" t="str">
        <f t="shared" si="1"/>
        <v/>
      </c>
      <c r="N87" s="287">
        <f>IF(C87="Sale",SUMIFS($D$4:D87,$B$4:B87,B87,$C$4:C87,"")+SUMIFS($D$4:D87,$B$4:B87,B87,$C$4:C87,"Purch")-SUMIFS($D$4:D87,$B$4:B87,B87,$C$4:C87,"Sale"),0)</f>
        <v>0</v>
      </c>
    </row>
    <row r="88" spans="1:14" x14ac:dyDescent="0.2">
      <c r="A88" s="152"/>
      <c r="B88" s="132"/>
      <c r="C88" s="132"/>
      <c r="D88" s="277"/>
      <c r="E88" s="132"/>
      <c r="F88" s="170"/>
      <c r="G88" s="150"/>
      <c r="H88" s="152"/>
      <c r="I88" s="204"/>
      <c r="J88" s="285"/>
      <c r="K88" s="251"/>
      <c r="L88" s="133" t="str">
        <f>IF(AND(I88&lt;&gt;"",ISERROR(IF(ISERROR(VLOOKUP(I88*1,Summary!$C$8:$C$153,1,0)),VLOOKUP(I88,Summary!$C$8:$C$153,1,0),VLOOKUP(I88*1,Summary!$C$8:$C$153,1,0)))),"Add account Number to Summary","")</f>
        <v/>
      </c>
      <c r="M88" s="131" t="str">
        <f t="shared" si="1"/>
        <v/>
      </c>
      <c r="N88" s="287">
        <f>IF(C88="Sale",SUMIFS($D$4:D88,$B$4:B88,B88,$C$4:C88,"")+SUMIFS($D$4:D88,$B$4:B88,B88,$C$4:C88,"Purch")-SUMIFS($D$4:D88,$B$4:B88,B88,$C$4:C88,"Sale"),0)</f>
        <v>0</v>
      </c>
    </row>
    <row r="89" spans="1:14" x14ac:dyDescent="0.2">
      <c r="A89" s="152"/>
      <c r="B89" s="132"/>
      <c r="C89" s="132"/>
      <c r="D89" s="277"/>
      <c r="E89" s="132"/>
      <c r="F89" s="170"/>
      <c r="G89" s="150"/>
      <c r="H89" s="152"/>
      <c r="I89" s="204"/>
      <c r="J89" s="285"/>
      <c r="K89" s="251"/>
      <c r="L89" s="133" t="str">
        <f>IF(AND(I89&lt;&gt;"",ISERROR(IF(ISERROR(VLOOKUP(I89*1,Summary!$C$8:$C$153,1,0)),VLOOKUP(I89,Summary!$C$8:$C$153,1,0),VLOOKUP(I89*1,Summary!$C$8:$C$153,1,0)))),"Add account Number to Summary","")</f>
        <v/>
      </c>
      <c r="M89" s="131" t="str">
        <f t="shared" si="1"/>
        <v/>
      </c>
      <c r="N89" s="287">
        <f>IF(C89="Sale",SUMIFS($D$4:D89,$B$4:B89,B89,$C$4:C89,"")+SUMIFS($D$4:D89,$B$4:B89,B89,$C$4:C89,"Purch")-SUMIFS($D$4:D89,$B$4:B89,B89,$C$4:C89,"Sale"),0)</f>
        <v>0</v>
      </c>
    </row>
    <row r="90" spans="1:14" x14ac:dyDescent="0.2">
      <c r="A90" s="152"/>
      <c r="B90" s="132"/>
      <c r="C90" s="132"/>
      <c r="D90" s="277"/>
      <c r="E90" s="132"/>
      <c r="F90" s="170"/>
      <c r="G90" s="150"/>
      <c r="H90" s="152"/>
      <c r="I90" s="204"/>
      <c r="J90" s="285"/>
      <c r="K90" s="251"/>
      <c r="L90" s="133" t="str">
        <f>IF(AND(I90&lt;&gt;"",ISERROR(IF(ISERROR(VLOOKUP(I90*1,Summary!$C$8:$C$153,1,0)),VLOOKUP(I90,Summary!$C$8:$C$153,1,0),VLOOKUP(I90*1,Summary!$C$8:$C$153,1,0)))),"Add account Number to Summary","")</f>
        <v/>
      </c>
      <c r="M90" s="131" t="str">
        <f t="shared" si="1"/>
        <v/>
      </c>
      <c r="N90" s="287">
        <f>IF(C90="Sale",SUMIFS($D$4:D90,$B$4:B90,B90,$C$4:C90,"")+SUMIFS($D$4:D90,$B$4:B90,B90,$C$4:C90,"Purch")-SUMIFS($D$4:D90,$B$4:B90,B90,$C$4:C90,"Sale"),0)</f>
        <v>0</v>
      </c>
    </row>
    <row r="91" spans="1:14" x14ac:dyDescent="0.2">
      <c r="A91" s="152"/>
      <c r="B91" s="132"/>
      <c r="C91" s="132"/>
      <c r="D91" s="277"/>
      <c r="E91" s="132"/>
      <c r="F91" s="170"/>
      <c r="G91" s="150"/>
      <c r="H91" s="152"/>
      <c r="I91" s="204"/>
      <c r="J91" s="285"/>
      <c r="K91" s="251"/>
      <c r="L91" s="133" t="str">
        <f>IF(AND(I91&lt;&gt;"",ISERROR(IF(ISERROR(VLOOKUP(I91*1,Summary!$C$8:$C$153,1,0)),VLOOKUP(I91,Summary!$C$8:$C$153,1,0),VLOOKUP(I91*1,Summary!$C$8:$C$153,1,0)))),"Add account Number to Summary","")</f>
        <v/>
      </c>
      <c r="M91" s="131" t="str">
        <f t="shared" si="1"/>
        <v/>
      </c>
      <c r="N91" s="287">
        <f>IF(C91="Sale",SUMIFS($D$4:D91,$B$4:B91,B91,$C$4:C91,"")+SUMIFS($D$4:D91,$B$4:B91,B91,$C$4:C91,"Purch")-SUMIFS($D$4:D91,$B$4:B91,B91,$C$4:C91,"Sale"),0)</f>
        <v>0</v>
      </c>
    </row>
    <row r="92" spans="1:14" x14ac:dyDescent="0.2">
      <c r="A92" s="152"/>
      <c r="B92" s="132"/>
      <c r="C92" s="132"/>
      <c r="D92" s="277"/>
      <c r="E92" s="132"/>
      <c r="F92" s="170"/>
      <c r="G92" s="150"/>
      <c r="H92" s="152"/>
      <c r="I92" s="204"/>
      <c r="J92" s="285"/>
      <c r="K92" s="251"/>
      <c r="L92" s="133" t="str">
        <f>IF(AND(I92&lt;&gt;"",ISERROR(IF(ISERROR(VLOOKUP(I92*1,Summary!$C$8:$C$153,1,0)),VLOOKUP(I92,Summary!$C$8:$C$153,1,0),VLOOKUP(I92*1,Summary!$C$8:$C$153,1,0)))),"Add account Number to Summary","")</f>
        <v/>
      </c>
      <c r="M92" s="131" t="str">
        <f t="shared" si="1"/>
        <v/>
      </c>
      <c r="N92" s="287">
        <f>IF(C92="Sale",SUMIFS($D$4:D92,$B$4:B92,B92,$C$4:C92,"")+SUMIFS($D$4:D92,$B$4:B92,B92,$C$4:C92,"Purch")-SUMIFS($D$4:D92,$B$4:B92,B92,$C$4:C92,"Sale"),0)</f>
        <v>0</v>
      </c>
    </row>
    <row r="93" spans="1:14" x14ac:dyDescent="0.2">
      <c r="A93" s="152"/>
      <c r="B93" s="132"/>
      <c r="C93" s="132"/>
      <c r="D93" s="277"/>
      <c r="E93" s="132"/>
      <c r="F93" s="170"/>
      <c r="G93" s="150"/>
      <c r="H93" s="152"/>
      <c r="I93" s="204"/>
      <c r="J93" s="285"/>
      <c r="K93" s="251"/>
      <c r="L93" s="133" t="str">
        <f>IF(AND(I93&lt;&gt;"",ISERROR(IF(ISERROR(VLOOKUP(I93*1,Summary!$C$8:$C$153,1,0)),VLOOKUP(I93,Summary!$C$8:$C$153,1,0),VLOOKUP(I93*1,Summary!$C$8:$C$153,1,0)))),"Add account Number to Summary","")</f>
        <v/>
      </c>
      <c r="M93" s="131" t="str">
        <f t="shared" si="1"/>
        <v/>
      </c>
      <c r="N93" s="287">
        <f>IF(C93="Sale",SUMIFS($D$4:D93,$B$4:B93,B93,$C$4:C93,"")+SUMIFS($D$4:D93,$B$4:B93,B93,$C$4:C93,"Purch")-SUMIFS($D$4:D93,$B$4:B93,B93,$C$4:C93,"Sale"),0)</f>
        <v>0</v>
      </c>
    </row>
    <row r="94" spans="1:14" x14ac:dyDescent="0.2">
      <c r="A94" s="152"/>
      <c r="B94" s="132"/>
      <c r="C94" s="132"/>
      <c r="D94" s="277"/>
      <c r="E94" s="132"/>
      <c r="F94" s="170"/>
      <c r="G94" s="150"/>
      <c r="H94" s="152"/>
      <c r="I94" s="204"/>
      <c r="J94" s="285"/>
      <c r="K94" s="251"/>
      <c r="L94" s="133" t="str">
        <f>IF(AND(I94&lt;&gt;"",ISERROR(IF(ISERROR(VLOOKUP(I94*1,Summary!$C$8:$C$153,1,0)),VLOOKUP(I94,Summary!$C$8:$C$153,1,0),VLOOKUP(I94*1,Summary!$C$8:$C$153,1,0)))),"Add account Number to Summary","")</f>
        <v/>
      </c>
      <c r="M94" s="131" t="str">
        <f t="shared" si="1"/>
        <v/>
      </c>
      <c r="N94" s="287">
        <f>IF(C94="Sale",SUMIFS($D$4:D94,$B$4:B94,B94,$C$4:C94,"")+SUMIFS($D$4:D94,$B$4:B94,B94,$C$4:C94,"Purch")-SUMIFS($D$4:D94,$B$4:B94,B94,$C$4:C94,"Sale"),0)</f>
        <v>0</v>
      </c>
    </row>
    <row r="95" spans="1:14" x14ac:dyDescent="0.2">
      <c r="A95" s="152"/>
      <c r="B95" s="132"/>
      <c r="C95" s="132"/>
      <c r="D95" s="277"/>
      <c r="E95" s="132"/>
      <c r="F95" s="170"/>
      <c r="G95" s="150"/>
      <c r="H95" s="152"/>
      <c r="I95" s="204"/>
      <c r="J95" s="285"/>
      <c r="K95" s="251"/>
      <c r="L95" s="133" t="str">
        <f>IF(AND(I95&lt;&gt;"",ISERROR(IF(ISERROR(VLOOKUP(I95*1,Summary!$C$8:$C$153,1,0)),VLOOKUP(I95,Summary!$C$8:$C$153,1,0),VLOOKUP(I95*1,Summary!$C$8:$C$153,1,0)))),"Add account Number to Summary","")</f>
        <v/>
      </c>
      <c r="M95" s="131" t="str">
        <f t="shared" si="1"/>
        <v/>
      </c>
      <c r="N95" s="287">
        <f>IF(C95="Sale",SUMIFS($D$4:D95,$B$4:B95,B95,$C$4:C95,"")+SUMIFS($D$4:D95,$B$4:B95,B95,$C$4:C95,"Purch")-SUMIFS($D$4:D95,$B$4:B95,B95,$C$4:C95,"Sale"),0)</f>
        <v>0</v>
      </c>
    </row>
    <row r="96" spans="1:14" x14ac:dyDescent="0.2">
      <c r="A96" s="152"/>
      <c r="B96" s="132"/>
      <c r="C96" s="132"/>
      <c r="D96" s="277"/>
      <c r="E96" s="132"/>
      <c r="F96" s="170"/>
      <c r="G96" s="150"/>
      <c r="H96" s="152"/>
      <c r="I96" s="204"/>
      <c r="J96" s="285"/>
      <c r="K96" s="251"/>
      <c r="L96" s="133" t="str">
        <f>IF(AND(I96&lt;&gt;"",ISERROR(IF(ISERROR(VLOOKUP(I96*1,Summary!$C$8:$C$153,1,0)),VLOOKUP(I96,Summary!$C$8:$C$153,1,0),VLOOKUP(I96*1,Summary!$C$8:$C$153,1,0)))),"Add account Number to Summary","")</f>
        <v/>
      </c>
      <c r="M96" s="131" t="str">
        <f t="shared" si="1"/>
        <v/>
      </c>
      <c r="N96" s="287">
        <f>IF(C96="Sale",SUMIFS($D$4:D96,$B$4:B96,B96,$C$4:C96,"")+SUMIFS($D$4:D96,$B$4:B96,B96,$C$4:C96,"Purch")-SUMIFS($D$4:D96,$B$4:B96,B96,$C$4:C96,"Sale"),0)</f>
        <v>0</v>
      </c>
    </row>
    <row r="97" spans="1:14" x14ac:dyDescent="0.2">
      <c r="A97" s="152"/>
      <c r="B97" s="132"/>
      <c r="C97" s="132"/>
      <c r="D97" s="277"/>
      <c r="E97" s="132"/>
      <c r="F97" s="170"/>
      <c r="G97" s="150"/>
      <c r="H97" s="152"/>
      <c r="I97" s="204"/>
      <c r="J97" s="285"/>
      <c r="K97" s="251"/>
      <c r="L97" s="133" t="str">
        <f>IF(AND(I97&lt;&gt;"",ISERROR(IF(ISERROR(VLOOKUP(I97*1,Summary!$C$8:$C$153,1,0)),VLOOKUP(I97,Summary!$C$8:$C$153,1,0),VLOOKUP(I97*1,Summary!$C$8:$C$153,1,0)))),"Add account Number to Summary","")</f>
        <v/>
      </c>
      <c r="M97" s="131" t="str">
        <f t="shared" si="1"/>
        <v/>
      </c>
      <c r="N97" s="287">
        <f>IF(C97="Sale",SUMIFS($D$4:D97,$B$4:B97,B97,$C$4:C97,"")+SUMIFS($D$4:D97,$B$4:B97,B97,$C$4:C97,"Purch")-SUMIFS($D$4:D97,$B$4:B97,B97,$C$4:C97,"Sale"),0)</f>
        <v>0</v>
      </c>
    </row>
    <row r="98" spans="1:14" x14ac:dyDescent="0.2">
      <c r="A98" s="152"/>
      <c r="B98" s="132"/>
      <c r="C98" s="132"/>
      <c r="D98" s="277"/>
      <c r="E98" s="132"/>
      <c r="F98" s="170"/>
      <c r="G98" s="150"/>
      <c r="H98" s="152"/>
      <c r="I98" s="204"/>
      <c r="J98" s="285"/>
      <c r="K98" s="251"/>
      <c r="L98" s="133" t="str">
        <f>IF(AND(I98&lt;&gt;"",ISERROR(IF(ISERROR(VLOOKUP(I98*1,Summary!$C$8:$C$153,1,0)),VLOOKUP(I98,Summary!$C$8:$C$153,1,0),VLOOKUP(I98*1,Summary!$C$8:$C$153,1,0)))),"Add account Number to Summary","")</f>
        <v/>
      </c>
      <c r="M98" s="131" t="str">
        <f t="shared" si="1"/>
        <v/>
      </c>
      <c r="N98" s="287">
        <f>IF(C98="Sale",SUMIFS($D$4:D98,$B$4:B98,B98,$C$4:C98,"")+SUMIFS($D$4:D98,$B$4:B98,B98,$C$4:C98,"Purch")-SUMIFS($D$4:D98,$B$4:B98,B98,$C$4:C98,"Sale"),0)</f>
        <v>0</v>
      </c>
    </row>
    <row r="99" spans="1:14" x14ac:dyDescent="0.2">
      <c r="A99" s="152"/>
      <c r="B99" s="132"/>
      <c r="C99" s="132"/>
      <c r="D99" s="277"/>
      <c r="E99" s="132"/>
      <c r="F99" s="170"/>
      <c r="G99" s="150"/>
      <c r="H99" s="152"/>
      <c r="I99" s="204"/>
      <c r="J99" s="285"/>
      <c r="K99" s="251"/>
      <c r="L99" s="133" t="str">
        <f>IF(AND(I99&lt;&gt;"",ISERROR(IF(ISERROR(VLOOKUP(I99*1,Summary!$C$8:$C$153,1,0)),VLOOKUP(I99,Summary!$C$8:$C$153,1,0),VLOOKUP(I99*1,Summary!$C$8:$C$153,1,0)))),"Add account Number to Summary","")</f>
        <v/>
      </c>
      <c r="M99" s="131" t="str">
        <f t="shared" si="1"/>
        <v/>
      </c>
      <c r="N99" s="287">
        <f>IF(C99="Sale",SUMIFS($D$4:D99,$B$4:B99,B99,$C$4:C99,"")+SUMIFS($D$4:D99,$B$4:B99,B99,$C$4:C99,"Purch")-SUMIFS($D$4:D99,$B$4:B99,B99,$C$4:C99,"Sale"),0)</f>
        <v>0</v>
      </c>
    </row>
    <row r="100" spans="1:14" x14ac:dyDescent="0.2">
      <c r="A100" s="152"/>
      <c r="B100" s="132"/>
      <c r="C100" s="132"/>
      <c r="D100" s="277"/>
      <c r="E100" s="132"/>
      <c r="F100" s="170"/>
      <c r="G100" s="150"/>
      <c r="H100" s="152"/>
      <c r="I100" s="204"/>
      <c r="J100" s="285"/>
      <c r="K100" s="251"/>
      <c r="L100" s="133" t="str">
        <f>IF(AND(I100&lt;&gt;"",ISERROR(IF(ISERROR(VLOOKUP(I100*1,Summary!$C$8:$C$153,1,0)),VLOOKUP(I100,Summary!$C$8:$C$153,1,0),VLOOKUP(I100*1,Summary!$C$8:$C$153,1,0)))),"Add account Number to Summary","")</f>
        <v/>
      </c>
      <c r="M100" s="131" t="str">
        <f t="shared" si="1"/>
        <v/>
      </c>
      <c r="N100" s="287">
        <f>IF(C100="Sale",SUMIFS($D$4:D100,$B$4:B100,B100,$C$4:C100,"")+SUMIFS($D$4:D100,$B$4:B100,B100,$C$4:C100,"Purch")-SUMIFS($D$4:D100,$B$4:B100,B100,$C$4:C100,"Sale"),0)</f>
        <v>0</v>
      </c>
    </row>
    <row r="101" spans="1:14" x14ac:dyDescent="0.2">
      <c r="A101" s="152"/>
      <c r="B101" s="132"/>
      <c r="C101" s="132"/>
      <c r="D101" s="277"/>
      <c r="E101" s="132"/>
      <c r="F101" s="170"/>
      <c r="G101" s="150"/>
      <c r="H101" s="152"/>
      <c r="I101" s="204"/>
      <c r="J101" s="285"/>
      <c r="K101" s="251"/>
      <c r="L101" s="133" t="str">
        <f>IF(AND(I101&lt;&gt;"",ISERROR(IF(ISERROR(VLOOKUP(I101*1,Summary!$C$8:$C$153,1,0)),VLOOKUP(I101,Summary!$C$8:$C$153,1,0),VLOOKUP(I101*1,Summary!$C$8:$C$153,1,0)))),"Add account Number to Summary","")</f>
        <v/>
      </c>
      <c r="M101" s="131" t="str">
        <f t="shared" si="1"/>
        <v/>
      </c>
      <c r="N101" s="287">
        <f>IF(C101="Sale",SUMIFS($D$4:D101,$B$4:B101,B101,$C$4:C101,"")+SUMIFS($D$4:D101,$B$4:B101,B101,$C$4:C101,"Purch")-SUMIFS($D$4:D101,$B$4:B101,B101,$C$4:C101,"Sale"),0)</f>
        <v>0</v>
      </c>
    </row>
    <row r="102" spans="1:14" x14ac:dyDescent="0.2">
      <c r="A102" s="152"/>
      <c r="B102" s="132"/>
      <c r="C102" s="132"/>
      <c r="D102" s="277"/>
      <c r="E102" s="132"/>
      <c r="F102" s="170"/>
      <c r="G102" s="150"/>
      <c r="H102" s="152"/>
      <c r="I102" s="204"/>
      <c r="J102" s="285"/>
      <c r="K102" s="251"/>
      <c r="L102" s="133" t="str">
        <f>IF(AND(I102&lt;&gt;"",ISERROR(IF(ISERROR(VLOOKUP(I102*1,Summary!$C$8:$C$153,1,0)),VLOOKUP(I102,Summary!$C$8:$C$153,1,0),VLOOKUP(I102*1,Summary!$C$8:$C$153,1,0)))),"Add account Number to Summary","")</f>
        <v/>
      </c>
      <c r="M102" s="131" t="str">
        <f t="shared" si="1"/>
        <v/>
      </c>
      <c r="N102" s="287">
        <f>IF(C102="Sale",SUMIFS($D$4:D102,$B$4:B102,B102,$C$4:C102,"")+SUMIFS($D$4:D102,$B$4:B102,B102,$C$4:C102,"Purch")-SUMIFS($D$4:D102,$B$4:B102,B102,$C$4:C102,"Sale"),0)</f>
        <v>0</v>
      </c>
    </row>
    <row r="103" spans="1:14" x14ac:dyDescent="0.2">
      <c r="A103" s="152"/>
      <c r="B103" s="132"/>
      <c r="C103" s="132"/>
      <c r="D103" s="277"/>
      <c r="E103" s="132"/>
      <c r="F103" s="170"/>
      <c r="G103" s="150"/>
      <c r="H103" s="152"/>
      <c r="I103" s="204"/>
      <c r="J103" s="285"/>
      <c r="K103" s="251"/>
      <c r="L103" s="133" t="str">
        <f>IF(AND(I103&lt;&gt;"",ISERROR(IF(ISERROR(VLOOKUP(I103*1,Summary!$C$8:$C$153,1,0)),VLOOKUP(I103,Summary!$C$8:$C$153,1,0),VLOOKUP(I103*1,Summary!$C$8:$C$153,1,0)))),"Add account Number to Summary","")</f>
        <v/>
      </c>
      <c r="M103" s="131" t="str">
        <f t="shared" si="1"/>
        <v/>
      </c>
      <c r="N103" s="287">
        <f>IF(C103="Sale",SUMIFS($D$4:D103,$B$4:B103,B103,$C$4:C103,"")+SUMIFS($D$4:D103,$B$4:B103,B103,$C$4:C103,"Purch")-SUMIFS($D$4:D103,$B$4:B103,B103,$C$4:C103,"Sale"),0)</f>
        <v>0</v>
      </c>
    </row>
    <row r="104" spans="1:14" x14ac:dyDescent="0.2">
      <c r="A104" s="152"/>
      <c r="B104" s="132"/>
      <c r="C104" s="132"/>
      <c r="D104" s="277"/>
      <c r="E104" s="132"/>
      <c r="F104" s="170"/>
      <c r="G104" s="150"/>
      <c r="H104" s="152"/>
      <c r="I104" s="204"/>
      <c r="J104" s="285"/>
      <c r="K104" s="251"/>
      <c r="L104" s="133" t="str">
        <f>IF(AND(I104&lt;&gt;"",ISERROR(IF(ISERROR(VLOOKUP(I104*1,Summary!$C$8:$C$153,1,0)),VLOOKUP(I104,Summary!$C$8:$C$153,1,0),VLOOKUP(I104*1,Summary!$C$8:$C$153,1,0)))),"Add account Number to Summary","")</f>
        <v/>
      </c>
      <c r="M104" s="131" t="str">
        <f t="shared" si="1"/>
        <v/>
      </c>
      <c r="N104" s="287">
        <f>IF(C104="Sale",SUMIFS($D$4:D104,$B$4:B104,B104,$C$4:C104,"")+SUMIFS($D$4:D104,$B$4:B104,B104,$C$4:C104,"Purch")-SUMIFS($D$4:D104,$B$4:B104,B104,$C$4:C104,"Sale"),0)</f>
        <v>0</v>
      </c>
    </row>
    <row r="105" spans="1:14" x14ac:dyDescent="0.2">
      <c r="A105" s="152"/>
      <c r="B105" s="132"/>
      <c r="C105" s="132"/>
      <c r="D105" s="277"/>
      <c r="E105" s="132"/>
      <c r="F105" s="170"/>
      <c r="G105" s="150"/>
      <c r="H105" s="152"/>
      <c r="I105" s="204"/>
      <c r="J105" s="285"/>
      <c r="K105" s="251"/>
      <c r="L105" s="133" t="str">
        <f>IF(AND(I105&lt;&gt;"",ISERROR(IF(ISERROR(VLOOKUP(I105*1,Summary!$C$8:$C$153,1,0)),VLOOKUP(I105,Summary!$C$8:$C$153,1,0),VLOOKUP(I105*1,Summary!$C$8:$C$153,1,0)))),"Add account Number to Summary","")</f>
        <v/>
      </c>
      <c r="M105" s="131" t="str">
        <f t="shared" si="1"/>
        <v/>
      </c>
      <c r="N105" s="287">
        <f>IF(C105="Sale",SUMIFS($D$4:D105,$B$4:B105,B105,$C$4:C105,"")+SUMIFS($D$4:D105,$B$4:B105,B105,$C$4:C105,"Purch")-SUMIFS($D$4:D105,$B$4:B105,B105,$C$4:C105,"Sale"),0)</f>
        <v>0</v>
      </c>
    </row>
    <row r="106" spans="1:14" x14ac:dyDescent="0.2">
      <c r="A106" s="152"/>
      <c r="B106" s="132"/>
      <c r="C106" s="132"/>
      <c r="D106" s="277"/>
      <c r="E106" s="132"/>
      <c r="F106" s="170"/>
      <c r="G106" s="150"/>
      <c r="H106" s="152"/>
      <c r="I106" s="204"/>
      <c r="J106" s="285"/>
      <c r="K106" s="251"/>
      <c r="L106" s="133" t="str">
        <f>IF(AND(I106&lt;&gt;"",ISERROR(IF(ISERROR(VLOOKUP(I106*1,Summary!$C$8:$C$153,1,0)),VLOOKUP(I106,Summary!$C$8:$C$153,1,0),VLOOKUP(I106*1,Summary!$C$8:$C$153,1,0)))),"Add account Number to Summary","")</f>
        <v/>
      </c>
      <c r="M106" s="131" t="str">
        <f t="shared" si="1"/>
        <v/>
      </c>
      <c r="N106" s="287">
        <f>IF(C106="Sale",SUMIFS($D$4:D106,$B$4:B106,B106,$C$4:C106,"")+SUMIFS($D$4:D106,$B$4:B106,B106,$C$4:C106,"Purch")-SUMIFS($D$4:D106,$B$4:B106,B106,$C$4:C106,"Sale"),0)</f>
        <v>0</v>
      </c>
    </row>
    <row r="107" spans="1:14" x14ac:dyDescent="0.2">
      <c r="A107" s="152"/>
      <c r="B107" s="132"/>
      <c r="C107" s="132"/>
      <c r="D107" s="277"/>
      <c r="E107" s="132"/>
      <c r="F107" s="170"/>
      <c r="G107" s="150"/>
      <c r="H107" s="152"/>
      <c r="I107" s="204"/>
      <c r="J107" s="285"/>
      <c r="K107" s="251"/>
      <c r="L107" s="133" t="str">
        <f>IF(AND(I107&lt;&gt;"",ISERROR(IF(ISERROR(VLOOKUP(I107*1,Summary!$C$8:$C$153,1,0)),VLOOKUP(I107,Summary!$C$8:$C$153,1,0),VLOOKUP(I107*1,Summary!$C$8:$C$153,1,0)))),"Add account Number to Summary","")</f>
        <v/>
      </c>
      <c r="M107" s="131" t="str">
        <f t="shared" si="1"/>
        <v/>
      </c>
      <c r="N107" s="287">
        <f>IF(C107="Sale",SUMIFS($D$4:D107,$B$4:B107,B107,$C$4:C107,"")+SUMIFS($D$4:D107,$B$4:B107,B107,$C$4:C107,"Purch")-SUMIFS($D$4:D107,$B$4:B107,B107,$C$4:C107,"Sale"),0)</f>
        <v>0</v>
      </c>
    </row>
    <row r="108" spans="1:14" x14ac:dyDescent="0.2">
      <c r="A108" s="152"/>
      <c r="B108" s="132"/>
      <c r="C108" s="132"/>
      <c r="D108" s="277"/>
      <c r="E108" s="132"/>
      <c r="F108" s="170"/>
      <c r="G108" s="150"/>
      <c r="H108" s="152"/>
      <c r="I108" s="204"/>
      <c r="J108" s="285"/>
      <c r="K108" s="251"/>
      <c r="L108" s="133" t="str">
        <f>IF(AND(I108&lt;&gt;"",ISERROR(IF(ISERROR(VLOOKUP(I108*1,Summary!$C$8:$C$153,1,0)),VLOOKUP(I108,Summary!$C$8:$C$153,1,0),VLOOKUP(I108*1,Summary!$C$8:$C$153,1,0)))),"Add account Number to Summary","")</f>
        <v/>
      </c>
      <c r="M108" s="131" t="str">
        <f t="shared" ref="M108:M171" si="2">IF(K108="Yes",IF(YEAR(A108)&lt;&gt;YEAR(date),"Check Date",""),"")</f>
        <v/>
      </c>
      <c r="N108" s="287">
        <f>IF(C108="Sale",SUMIFS($D$4:D108,$B$4:B108,B108,$C$4:C108,"")+SUMIFS($D$4:D108,$B$4:B108,B108,$C$4:C108,"Purch")-SUMIFS($D$4:D108,$B$4:B108,B108,$C$4:C108,"Sale"),0)</f>
        <v>0</v>
      </c>
    </row>
    <row r="109" spans="1:14" x14ac:dyDescent="0.2">
      <c r="A109" s="152"/>
      <c r="B109" s="132"/>
      <c r="C109" s="132"/>
      <c r="D109" s="277"/>
      <c r="E109" s="132"/>
      <c r="F109" s="170"/>
      <c r="G109" s="150"/>
      <c r="H109" s="152"/>
      <c r="I109" s="204"/>
      <c r="J109" s="285"/>
      <c r="K109" s="251"/>
      <c r="L109" s="133" t="str">
        <f>IF(AND(I109&lt;&gt;"",ISERROR(IF(ISERROR(VLOOKUP(I109*1,Summary!$C$8:$C$153,1,0)),VLOOKUP(I109,Summary!$C$8:$C$153,1,0),VLOOKUP(I109*1,Summary!$C$8:$C$153,1,0)))),"Add account Number to Summary","")</f>
        <v/>
      </c>
      <c r="M109" s="131" t="str">
        <f t="shared" si="2"/>
        <v/>
      </c>
      <c r="N109" s="287">
        <f>IF(C109="Sale",SUMIFS($D$4:D109,$B$4:B109,B109,$C$4:C109,"")+SUMIFS($D$4:D109,$B$4:B109,B109,$C$4:C109,"Purch")-SUMIFS($D$4:D109,$B$4:B109,B109,$C$4:C109,"Sale"),0)</f>
        <v>0</v>
      </c>
    </row>
    <row r="110" spans="1:14" x14ac:dyDescent="0.2">
      <c r="A110" s="152"/>
      <c r="B110" s="132"/>
      <c r="C110" s="132"/>
      <c r="D110" s="277"/>
      <c r="E110" s="132"/>
      <c r="F110" s="170"/>
      <c r="G110" s="150"/>
      <c r="H110" s="152"/>
      <c r="I110" s="204"/>
      <c r="J110" s="285"/>
      <c r="K110" s="251"/>
      <c r="L110" s="133" t="str">
        <f>IF(AND(I110&lt;&gt;"",ISERROR(IF(ISERROR(VLOOKUP(I110*1,Summary!$C$8:$C$153,1,0)),VLOOKUP(I110,Summary!$C$8:$C$153,1,0),VLOOKUP(I110*1,Summary!$C$8:$C$153,1,0)))),"Add account Number to Summary","")</f>
        <v/>
      </c>
      <c r="M110" s="131" t="str">
        <f t="shared" si="2"/>
        <v/>
      </c>
      <c r="N110" s="287">
        <f>IF(C110="Sale",SUMIFS($D$4:D110,$B$4:B110,B110,$C$4:C110,"")+SUMIFS($D$4:D110,$B$4:B110,B110,$C$4:C110,"Purch")-SUMIFS($D$4:D110,$B$4:B110,B110,$C$4:C110,"Sale"),0)</f>
        <v>0</v>
      </c>
    </row>
    <row r="111" spans="1:14" x14ac:dyDescent="0.2">
      <c r="A111" s="152"/>
      <c r="B111" s="132"/>
      <c r="C111" s="132"/>
      <c r="D111" s="277"/>
      <c r="E111" s="132"/>
      <c r="F111" s="170"/>
      <c r="G111" s="150"/>
      <c r="H111" s="152"/>
      <c r="I111" s="204"/>
      <c r="J111" s="285"/>
      <c r="K111" s="251"/>
      <c r="L111" s="133" t="str">
        <f>IF(AND(I111&lt;&gt;"",ISERROR(IF(ISERROR(VLOOKUP(I111*1,Summary!$C$8:$C$153,1,0)),VLOOKUP(I111,Summary!$C$8:$C$153,1,0),VLOOKUP(I111*1,Summary!$C$8:$C$153,1,0)))),"Add account Number to Summary","")</f>
        <v/>
      </c>
      <c r="M111" s="131" t="str">
        <f t="shared" si="2"/>
        <v/>
      </c>
      <c r="N111" s="287">
        <f>IF(C111="Sale",SUMIFS($D$4:D111,$B$4:B111,B111,$C$4:C111,"")+SUMIFS($D$4:D111,$B$4:B111,B111,$C$4:C111,"Purch")-SUMIFS($D$4:D111,$B$4:B111,B111,$C$4:C111,"Sale"),0)</f>
        <v>0</v>
      </c>
    </row>
    <row r="112" spans="1:14" x14ac:dyDescent="0.2">
      <c r="A112" s="152"/>
      <c r="B112" s="132"/>
      <c r="C112" s="132"/>
      <c r="D112" s="277"/>
      <c r="E112" s="132"/>
      <c r="F112" s="170"/>
      <c r="G112" s="150"/>
      <c r="H112" s="152"/>
      <c r="I112" s="204"/>
      <c r="J112" s="285"/>
      <c r="K112" s="251"/>
      <c r="L112" s="133" t="str">
        <f>IF(AND(I112&lt;&gt;"",ISERROR(IF(ISERROR(VLOOKUP(I112*1,Summary!$C$8:$C$153,1,0)),VLOOKUP(I112,Summary!$C$8:$C$153,1,0),VLOOKUP(I112*1,Summary!$C$8:$C$153,1,0)))),"Add account Number to Summary","")</f>
        <v/>
      </c>
      <c r="M112" s="131" t="str">
        <f t="shared" si="2"/>
        <v/>
      </c>
      <c r="N112" s="287">
        <f>IF(C112="Sale",SUMIFS($D$4:D112,$B$4:B112,B112,$C$4:C112,"")+SUMIFS($D$4:D112,$B$4:B112,B112,$C$4:C112,"Purch")-SUMIFS($D$4:D112,$B$4:B112,B112,$C$4:C112,"Sale"),0)</f>
        <v>0</v>
      </c>
    </row>
    <row r="113" spans="1:14" x14ac:dyDescent="0.2">
      <c r="A113" s="152"/>
      <c r="B113" s="132"/>
      <c r="C113" s="132"/>
      <c r="D113" s="277"/>
      <c r="E113" s="132"/>
      <c r="F113" s="170"/>
      <c r="G113" s="150"/>
      <c r="H113" s="152"/>
      <c r="I113" s="204"/>
      <c r="J113" s="285"/>
      <c r="K113" s="251"/>
      <c r="L113" s="133" t="str">
        <f>IF(AND(I113&lt;&gt;"",ISERROR(IF(ISERROR(VLOOKUP(I113*1,Summary!$C$8:$C$153,1,0)),VLOOKUP(I113,Summary!$C$8:$C$153,1,0),VLOOKUP(I113*1,Summary!$C$8:$C$153,1,0)))),"Add account Number to Summary","")</f>
        <v/>
      </c>
      <c r="M113" s="131" t="str">
        <f t="shared" si="2"/>
        <v/>
      </c>
      <c r="N113" s="287">
        <f>IF(C113="Sale",SUMIFS($D$4:D113,$B$4:B113,B113,$C$4:C113,"")+SUMIFS($D$4:D113,$B$4:B113,B113,$C$4:C113,"Purch")-SUMIFS($D$4:D113,$B$4:B113,B113,$C$4:C113,"Sale"),0)</f>
        <v>0</v>
      </c>
    </row>
    <row r="114" spans="1:14" x14ac:dyDescent="0.2">
      <c r="A114" s="152"/>
      <c r="B114" s="132"/>
      <c r="C114" s="132"/>
      <c r="D114" s="277"/>
      <c r="E114" s="132"/>
      <c r="F114" s="170"/>
      <c r="G114" s="150"/>
      <c r="H114" s="152"/>
      <c r="I114" s="204"/>
      <c r="J114" s="285"/>
      <c r="K114" s="251"/>
      <c r="L114" s="133" t="str">
        <f>IF(AND(I114&lt;&gt;"",ISERROR(IF(ISERROR(VLOOKUP(I114*1,Summary!$C$8:$C$153,1,0)),VLOOKUP(I114,Summary!$C$8:$C$153,1,0),VLOOKUP(I114*1,Summary!$C$8:$C$153,1,0)))),"Add account Number to Summary","")</f>
        <v/>
      </c>
      <c r="M114" s="131" t="str">
        <f t="shared" si="2"/>
        <v/>
      </c>
      <c r="N114" s="287">
        <f>IF(C114="Sale",SUMIFS($D$4:D114,$B$4:B114,B114,$C$4:C114,"")+SUMIFS($D$4:D114,$B$4:B114,B114,$C$4:C114,"Purch")-SUMIFS($D$4:D114,$B$4:B114,B114,$C$4:C114,"Sale"),0)</f>
        <v>0</v>
      </c>
    </row>
    <row r="115" spans="1:14" x14ac:dyDescent="0.2">
      <c r="A115" s="152"/>
      <c r="B115" s="132"/>
      <c r="C115" s="132"/>
      <c r="D115" s="277"/>
      <c r="E115" s="132"/>
      <c r="F115" s="170"/>
      <c r="G115" s="150"/>
      <c r="H115" s="152"/>
      <c r="I115" s="204"/>
      <c r="J115" s="285"/>
      <c r="K115" s="251"/>
      <c r="L115" s="133" t="str">
        <f>IF(AND(I115&lt;&gt;"",ISERROR(IF(ISERROR(VLOOKUP(I115*1,Summary!$C$8:$C$153,1,0)),VLOOKUP(I115,Summary!$C$8:$C$153,1,0),VLOOKUP(I115*1,Summary!$C$8:$C$153,1,0)))),"Add account Number to Summary","")</f>
        <v/>
      </c>
      <c r="M115" s="131" t="str">
        <f t="shared" si="2"/>
        <v/>
      </c>
      <c r="N115" s="287">
        <f>IF(C115="Sale",SUMIFS($D$4:D115,$B$4:B115,B115,$C$4:C115,"")+SUMIFS($D$4:D115,$B$4:B115,B115,$C$4:C115,"Purch")-SUMIFS($D$4:D115,$B$4:B115,B115,$C$4:C115,"Sale"),0)</f>
        <v>0</v>
      </c>
    </row>
    <row r="116" spans="1:14" x14ac:dyDescent="0.2">
      <c r="A116" s="152"/>
      <c r="B116" s="132"/>
      <c r="C116" s="132"/>
      <c r="D116" s="277"/>
      <c r="E116" s="132"/>
      <c r="F116" s="170"/>
      <c r="G116" s="150"/>
      <c r="H116" s="152"/>
      <c r="I116" s="204"/>
      <c r="J116" s="285"/>
      <c r="K116" s="251"/>
      <c r="L116" s="133" t="str">
        <f>IF(AND(I116&lt;&gt;"",ISERROR(IF(ISERROR(VLOOKUP(I116*1,Summary!$C$8:$C$153,1,0)),VLOOKUP(I116,Summary!$C$8:$C$153,1,0),VLOOKUP(I116*1,Summary!$C$8:$C$153,1,0)))),"Add account Number to Summary","")</f>
        <v/>
      </c>
      <c r="M116" s="131" t="str">
        <f t="shared" si="2"/>
        <v/>
      </c>
      <c r="N116" s="287">
        <f>IF(C116="Sale",SUMIFS($D$4:D116,$B$4:B116,B116,$C$4:C116,"")+SUMIFS($D$4:D116,$B$4:B116,B116,$C$4:C116,"Purch")-SUMIFS($D$4:D116,$B$4:B116,B116,$C$4:C116,"Sale"),0)</f>
        <v>0</v>
      </c>
    </row>
    <row r="117" spans="1:14" x14ac:dyDescent="0.2">
      <c r="A117" s="152"/>
      <c r="B117" s="132"/>
      <c r="C117" s="132"/>
      <c r="D117" s="277"/>
      <c r="E117" s="132"/>
      <c r="F117" s="170"/>
      <c r="G117" s="150"/>
      <c r="H117" s="152"/>
      <c r="I117" s="204"/>
      <c r="J117" s="285"/>
      <c r="K117" s="251"/>
      <c r="L117" s="133" t="str">
        <f>IF(AND(I117&lt;&gt;"",ISERROR(IF(ISERROR(VLOOKUP(I117*1,Summary!$C$8:$C$153,1,0)),VLOOKUP(I117,Summary!$C$8:$C$153,1,0),VLOOKUP(I117*1,Summary!$C$8:$C$153,1,0)))),"Add account Number to Summary","")</f>
        <v/>
      </c>
      <c r="M117" s="131" t="str">
        <f t="shared" si="2"/>
        <v/>
      </c>
      <c r="N117" s="287">
        <f>IF(C117="Sale",SUMIFS($D$4:D117,$B$4:B117,B117,$C$4:C117,"")+SUMIFS($D$4:D117,$B$4:B117,B117,$C$4:C117,"Purch")-SUMIFS($D$4:D117,$B$4:B117,B117,$C$4:C117,"Sale"),0)</f>
        <v>0</v>
      </c>
    </row>
    <row r="118" spans="1:14" x14ac:dyDescent="0.2">
      <c r="A118" s="152"/>
      <c r="B118" s="132"/>
      <c r="C118" s="132"/>
      <c r="D118" s="277"/>
      <c r="E118" s="132"/>
      <c r="F118" s="170"/>
      <c r="G118" s="150"/>
      <c r="H118" s="152"/>
      <c r="I118" s="204"/>
      <c r="J118" s="285"/>
      <c r="K118" s="251"/>
      <c r="L118" s="133" t="str">
        <f>IF(AND(I118&lt;&gt;"",ISERROR(IF(ISERROR(VLOOKUP(I118*1,Summary!$C$8:$C$153,1,0)),VLOOKUP(I118,Summary!$C$8:$C$153,1,0),VLOOKUP(I118*1,Summary!$C$8:$C$153,1,0)))),"Add account Number to Summary","")</f>
        <v/>
      </c>
      <c r="M118" s="131" t="str">
        <f t="shared" si="2"/>
        <v/>
      </c>
      <c r="N118" s="287">
        <f>IF(C118="Sale",SUMIFS($D$4:D118,$B$4:B118,B118,$C$4:C118,"")+SUMIFS($D$4:D118,$B$4:B118,B118,$C$4:C118,"Purch")-SUMIFS($D$4:D118,$B$4:B118,B118,$C$4:C118,"Sale"),0)</f>
        <v>0</v>
      </c>
    </row>
    <row r="119" spans="1:14" x14ac:dyDescent="0.2">
      <c r="A119" s="152"/>
      <c r="B119" s="132"/>
      <c r="C119" s="132"/>
      <c r="D119" s="277"/>
      <c r="E119" s="132"/>
      <c r="F119" s="170"/>
      <c r="G119" s="150"/>
      <c r="H119" s="152"/>
      <c r="I119" s="204"/>
      <c r="J119" s="285"/>
      <c r="K119" s="251"/>
      <c r="L119" s="133" t="str">
        <f>IF(AND(I119&lt;&gt;"",ISERROR(IF(ISERROR(VLOOKUP(I119*1,Summary!$C$8:$C$153,1,0)),VLOOKUP(I119,Summary!$C$8:$C$153,1,0),VLOOKUP(I119*1,Summary!$C$8:$C$153,1,0)))),"Add account Number to Summary","")</f>
        <v/>
      </c>
      <c r="M119" s="131" t="str">
        <f t="shared" si="2"/>
        <v/>
      </c>
      <c r="N119" s="287">
        <f>IF(C119="Sale",SUMIFS($D$4:D119,$B$4:B119,B119,$C$4:C119,"")+SUMIFS($D$4:D119,$B$4:B119,B119,$C$4:C119,"Purch")-SUMIFS($D$4:D119,$B$4:B119,B119,$C$4:C119,"Sale"),0)</f>
        <v>0</v>
      </c>
    </row>
    <row r="120" spans="1:14" x14ac:dyDescent="0.2">
      <c r="A120" s="152"/>
      <c r="B120" s="132"/>
      <c r="C120" s="132"/>
      <c r="D120" s="277"/>
      <c r="E120" s="132"/>
      <c r="F120" s="170"/>
      <c r="G120" s="150"/>
      <c r="H120" s="152"/>
      <c r="I120" s="204"/>
      <c r="J120" s="285"/>
      <c r="K120" s="251"/>
      <c r="L120" s="133" t="str">
        <f>IF(AND(I120&lt;&gt;"",ISERROR(IF(ISERROR(VLOOKUP(I120*1,Summary!$C$8:$C$153,1,0)),VLOOKUP(I120,Summary!$C$8:$C$153,1,0),VLOOKUP(I120*1,Summary!$C$8:$C$153,1,0)))),"Add account Number to Summary","")</f>
        <v/>
      </c>
      <c r="M120" s="131" t="str">
        <f t="shared" si="2"/>
        <v/>
      </c>
      <c r="N120" s="287">
        <f>IF(C120="Sale",SUMIFS($D$4:D120,$B$4:B120,B120,$C$4:C120,"")+SUMIFS($D$4:D120,$B$4:B120,B120,$C$4:C120,"Purch")-SUMIFS($D$4:D120,$B$4:B120,B120,$C$4:C120,"Sale"),0)</f>
        <v>0</v>
      </c>
    </row>
    <row r="121" spans="1:14" x14ac:dyDescent="0.2">
      <c r="A121" s="152"/>
      <c r="B121" s="132"/>
      <c r="C121" s="132"/>
      <c r="D121" s="277"/>
      <c r="E121" s="132"/>
      <c r="F121" s="170"/>
      <c r="G121" s="150"/>
      <c r="H121" s="152"/>
      <c r="I121" s="204"/>
      <c r="J121" s="285"/>
      <c r="K121" s="251"/>
      <c r="L121" s="133" t="str">
        <f>IF(AND(I121&lt;&gt;"",ISERROR(IF(ISERROR(VLOOKUP(I121*1,Summary!$C$8:$C$153,1,0)),VLOOKUP(I121,Summary!$C$8:$C$153,1,0),VLOOKUP(I121*1,Summary!$C$8:$C$153,1,0)))),"Add account Number to Summary","")</f>
        <v/>
      </c>
      <c r="M121" s="131" t="str">
        <f t="shared" si="2"/>
        <v/>
      </c>
      <c r="N121" s="287">
        <f>IF(C121="Sale",SUMIFS($D$4:D121,$B$4:B121,B121,$C$4:C121,"")+SUMIFS($D$4:D121,$B$4:B121,B121,$C$4:C121,"Purch")-SUMIFS($D$4:D121,$B$4:B121,B121,$C$4:C121,"Sale"),0)</f>
        <v>0</v>
      </c>
    </row>
    <row r="122" spans="1:14" x14ac:dyDescent="0.2">
      <c r="A122" s="152"/>
      <c r="B122" s="132"/>
      <c r="C122" s="132"/>
      <c r="D122" s="277"/>
      <c r="E122" s="132"/>
      <c r="F122" s="170"/>
      <c r="G122" s="150"/>
      <c r="H122" s="152"/>
      <c r="I122" s="204"/>
      <c r="J122" s="285"/>
      <c r="K122" s="251"/>
      <c r="L122" s="133" t="str">
        <f>IF(AND(I122&lt;&gt;"",ISERROR(IF(ISERROR(VLOOKUP(I122*1,Summary!$C$8:$C$153,1,0)),VLOOKUP(I122,Summary!$C$8:$C$153,1,0),VLOOKUP(I122*1,Summary!$C$8:$C$153,1,0)))),"Add account Number to Summary","")</f>
        <v/>
      </c>
      <c r="M122" s="131" t="str">
        <f t="shared" si="2"/>
        <v/>
      </c>
      <c r="N122" s="287">
        <f>IF(C122="Sale",SUMIFS($D$4:D122,$B$4:B122,B122,$C$4:C122,"")+SUMIFS($D$4:D122,$B$4:B122,B122,$C$4:C122,"Purch")-SUMIFS($D$4:D122,$B$4:B122,B122,$C$4:C122,"Sale"),0)</f>
        <v>0</v>
      </c>
    </row>
    <row r="123" spans="1:14" x14ac:dyDescent="0.2">
      <c r="A123" s="152"/>
      <c r="B123" s="132"/>
      <c r="C123" s="132"/>
      <c r="D123" s="277"/>
      <c r="E123" s="132"/>
      <c r="F123" s="170"/>
      <c r="G123" s="150"/>
      <c r="H123" s="152"/>
      <c r="I123" s="204"/>
      <c r="J123" s="285"/>
      <c r="K123" s="251"/>
      <c r="L123" s="133" t="str">
        <f>IF(AND(I123&lt;&gt;"",ISERROR(IF(ISERROR(VLOOKUP(I123*1,Summary!$C$8:$C$153,1,0)),VLOOKUP(I123,Summary!$C$8:$C$153,1,0),VLOOKUP(I123*1,Summary!$C$8:$C$153,1,0)))),"Add account Number to Summary","")</f>
        <v/>
      </c>
      <c r="M123" s="131" t="str">
        <f t="shared" si="2"/>
        <v/>
      </c>
      <c r="N123" s="287">
        <f>IF(C123="Sale",SUMIFS($D$4:D123,$B$4:B123,B123,$C$4:C123,"")+SUMIFS($D$4:D123,$B$4:B123,B123,$C$4:C123,"Purch")-SUMIFS($D$4:D123,$B$4:B123,B123,$C$4:C123,"Sale"),0)</f>
        <v>0</v>
      </c>
    </row>
    <row r="124" spans="1:14" x14ac:dyDescent="0.2">
      <c r="A124" s="152"/>
      <c r="B124" s="132"/>
      <c r="C124" s="132"/>
      <c r="D124" s="277"/>
      <c r="E124" s="132"/>
      <c r="F124" s="170"/>
      <c r="G124" s="150"/>
      <c r="H124" s="152"/>
      <c r="I124" s="204"/>
      <c r="J124" s="285"/>
      <c r="K124" s="251"/>
      <c r="L124" s="133" t="str">
        <f>IF(AND(I124&lt;&gt;"",ISERROR(IF(ISERROR(VLOOKUP(I124*1,Summary!$C$8:$C$153,1,0)),VLOOKUP(I124,Summary!$C$8:$C$153,1,0),VLOOKUP(I124*1,Summary!$C$8:$C$153,1,0)))),"Add account Number to Summary","")</f>
        <v/>
      </c>
      <c r="M124" s="131" t="str">
        <f t="shared" si="2"/>
        <v/>
      </c>
      <c r="N124" s="287">
        <f>IF(C124="Sale",SUMIFS($D$4:D124,$B$4:B124,B124,$C$4:C124,"")+SUMIFS($D$4:D124,$B$4:B124,B124,$C$4:C124,"Purch")-SUMIFS($D$4:D124,$B$4:B124,B124,$C$4:C124,"Sale"),0)</f>
        <v>0</v>
      </c>
    </row>
    <row r="125" spans="1:14" x14ac:dyDescent="0.2">
      <c r="A125" s="152"/>
      <c r="B125" s="132"/>
      <c r="C125" s="132"/>
      <c r="D125" s="277"/>
      <c r="E125" s="132"/>
      <c r="F125" s="170"/>
      <c r="G125" s="150"/>
      <c r="H125" s="152"/>
      <c r="I125" s="204"/>
      <c r="J125" s="285"/>
      <c r="K125" s="251"/>
      <c r="L125" s="133" t="str">
        <f>IF(AND(I125&lt;&gt;"",ISERROR(IF(ISERROR(VLOOKUP(I125*1,Summary!$C$8:$C$153,1,0)),VLOOKUP(I125,Summary!$C$8:$C$153,1,0),VLOOKUP(I125*1,Summary!$C$8:$C$153,1,0)))),"Add account Number to Summary","")</f>
        <v/>
      </c>
      <c r="M125" s="131" t="str">
        <f t="shared" si="2"/>
        <v/>
      </c>
      <c r="N125" s="287">
        <f>IF(C125="Sale",SUMIFS($D$4:D125,$B$4:B125,B125,$C$4:C125,"")+SUMIFS($D$4:D125,$B$4:B125,B125,$C$4:C125,"Purch")-SUMIFS($D$4:D125,$B$4:B125,B125,$C$4:C125,"Sale"),0)</f>
        <v>0</v>
      </c>
    </row>
    <row r="126" spans="1:14" x14ac:dyDescent="0.2">
      <c r="A126" s="152"/>
      <c r="B126" s="132"/>
      <c r="C126" s="132"/>
      <c r="D126" s="277"/>
      <c r="E126" s="132"/>
      <c r="F126" s="170"/>
      <c r="G126" s="150"/>
      <c r="H126" s="152"/>
      <c r="I126" s="204"/>
      <c r="J126" s="285"/>
      <c r="K126" s="251"/>
      <c r="L126" s="133" t="str">
        <f>IF(AND(I126&lt;&gt;"",ISERROR(IF(ISERROR(VLOOKUP(I126*1,Summary!$C$8:$C$153,1,0)),VLOOKUP(I126,Summary!$C$8:$C$153,1,0),VLOOKUP(I126*1,Summary!$C$8:$C$153,1,0)))),"Add account Number to Summary","")</f>
        <v/>
      </c>
      <c r="M126" s="131" t="str">
        <f t="shared" si="2"/>
        <v/>
      </c>
      <c r="N126" s="287">
        <f>IF(C126="Sale",SUMIFS($D$4:D126,$B$4:B126,B126,$C$4:C126,"")+SUMIFS($D$4:D126,$B$4:B126,B126,$C$4:C126,"Purch")-SUMIFS($D$4:D126,$B$4:B126,B126,$C$4:C126,"Sale"),0)</f>
        <v>0</v>
      </c>
    </row>
    <row r="127" spans="1:14" x14ac:dyDescent="0.2">
      <c r="A127" s="152"/>
      <c r="B127" s="132"/>
      <c r="C127" s="132"/>
      <c r="D127" s="277"/>
      <c r="E127" s="132"/>
      <c r="F127" s="170"/>
      <c r="G127" s="150"/>
      <c r="H127" s="152"/>
      <c r="I127" s="204"/>
      <c r="J127" s="285"/>
      <c r="K127" s="251"/>
      <c r="L127" s="133" t="str">
        <f>IF(AND(I127&lt;&gt;"",ISERROR(IF(ISERROR(VLOOKUP(I127*1,Summary!$C$8:$C$153,1,0)),VLOOKUP(I127,Summary!$C$8:$C$153,1,0),VLOOKUP(I127*1,Summary!$C$8:$C$153,1,0)))),"Add account Number to Summary","")</f>
        <v/>
      </c>
      <c r="M127" s="131" t="str">
        <f t="shared" si="2"/>
        <v/>
      </c>
      <c r="N127" s="287">
        <f>IF(C127="Sale",SUMIFS($D$4:D127,$B$4:B127,B127,$C$4:C127,"")+SUMIFS($D$4:D127,$B$4:B127,B127,$C$4:C127,"Purch")-SUMIFS($D$4:D127,$B$4:B127,B127,$C$4:C127,"Sale"),0)</f>
        <v>0</v>
      </c>
    </row>
    <row r="128" spans="1:14" x14ac:dyDescent="0.2">
      <c r="A128" s="152"/>
      <c r="B128" s="132"/>
      <c r="C128" s="132"/>
      <c r="D128" s="277"/>
      <c r="E128" s="132"/>
      <c r="F128" s="170"/>
      <c r="G128" s="150"/>
      <c r="H128" s="152"/>
      <c r="I128" s="204"/>
      <c r="J128" s="285"/>
      <c r="K128" s="251"/>
      <c r="L128" s="133" t="str">
        <f>IF(AND(I128&lt;&gt;"",ISERROR(IF(ISERROR(VLOOKUP(I128*1,Summary!$C$8:$C$153,1,0)),VLOOKUP(I128,Summary!$C$8:$C$153,1,0),VLOOKUP(I128*1,Summary!$C$8:$C$153,1,0)))),"Add account Number to Summary","")</f>
        <v/>
      </c>
      <c r="M128" s="131" t="str">
        <f t="shared" si="2"/>
        <v/>
      </c>
      <c r="N128" s="287">
        <f>IF(C128="Sale",SUMIFS($D$4:D128,$B$4:B128,B128,$C$4:C128,"")+SUMIFS($D$4:D128,$B$4:B128,B128,$C$4:C128,"Purch")-SUMIFS($D$4:D128,$B$4:B128,B128,$C$4:C128,"Sale"),0)</f>
        <v>0</v>
      </c>
    </row>
    <row r="129" spans="1:14" x14ac:dyDescent="0.2">
      <c r="A129" s="152"/>
      <c r="B129" s="132"/>
      <c r="C129" s="132"/>
      <c r="D129" s="277"/>
      <c r="E129" s="132"/>
      <c r="F129" s="170"/>
      <c r="G129" s="150"/>
      <c r="H129" s="152"/>
      <c r="I129" s="204"/>
      <c r="J129" s="285"/>
      <c r="K129" s="251"/>
      <c r="L129" s="133" t="str">
        <f>IF(AND(I129&lt;&gt;"",ISERROR(IF(ISERROR(VLOOKUP(I129*1,Summary!$C$8:$C$153,1,0)),VLOOKUP(I129,Summary!$C$8:$C$153,1,0),VLOOKUP(I129*1,Summary!$C$8:$C$153,1,0)))),"Add account Number to Summary","")</f>
        <v/>
      </c>
      <c r="M129" s="131" t="str">
        <f t="shared" si="2"/>
        <v/>
      </c>
      <c r="N129" s="287">
        <f>IF(C129="Sale",SUMIFS($D$4:D129,$B$4:B129,B129,$C$4:C129,"")+SUMIFS($D$4:D129,$B$4:B129,B129,$C$4:C129,"Purch")-SUMIFS($D$4:D129,$B$4:B129,B129,$C$4:C129,"Sale"),0)</f>
        <v>0</v>
      </c>
    </row>
    <row r="130" spans="1:14" x14ac:dyDescent="0.2">
      <c r="A130" s="152"/>
      <c r="B130" s="132"/>
      <c r="C130" s="132"/>
      <c r="D130" s="277"/>
      <c r="E130" s="132"/>
      <c r="F130" s="170"/>
      <c r="G130" s="150"/>
      <c r="H130" s="152"/>
      <c r="I130" s="204"/>
      <c r="J130" s="285"/>
      <c r="K130" s="251"/>
      <c r="L130" s="133" t="str">
        <f>IF(AND(I130&lt;&gt;"",ISERROR(IF(ISERROR(VLOOKUP(I130*1,Summary!$C$8:$C$153,1,0)),VLOOKUP(I130,Summary!$C$8:$C$153,1,0),VLOOKUP(I130*1,Summary!$C$8:$C$153,1,0)))),"Add account Number to Summary","")</f>
        <v/>
      </c>
      <c r="M130" s="131" t="str">
        <f t="shared" si="2"/>
        <v/>
      </c>
      <c r="N130" s="287">
        <f>IF(C130="Sale",SUMIFS($D$4:D130,$B$4:B130,B130,$C$4:C130,"")+SUMIFS($D$4:D130,$B$4:B130,B130,$C$4:C130,"Purch")-SUMIFS($D$4:D130,$B$4:B130,B130,$C$4:C130,"Sale"),0)</f>
        <v>0</v>
      </c>
    </row>
    <row r="131" spans="1:14" x14ac:dyDescent="0.2">
      <c r="A131" s="152"/>
      <c r="B131" s="132"/>
      <c r="C131" s="132"/>
      <c r="D131" s="277"/>
      <c r="E131" s="132"/>
      <c r="F131" s="170"/>
      <c r="G131" s="150"/>
      <c r="H131" s="152"/>
      <c r="I131" s="204"/>
      <c r="J131" s="285"/>
      <c r="K131" s="251"/>
      <c r="L131" s="133" t="str">
        <f>IF(AND(I131&lt;&gt;"",ISERROR(IF(ISERROR(VLOOKUP(I131*1,Summary!$C$8:$C$153,1,0)),VLOOKUP(I131,Summary!$C$8:$C$153,1,0),VLOOKUP(I131*1,Summary!$C$8:$C$153,1,0)))),"Add account Number to Summary","")</f>
        <v/>
      </c>
      <c r="M131" s="131" t="str">
        <f t="shared" si="2"/>
        <v/>
      </c>
      <c r="N131" s="287">
        <f>IF(C131="Sale",SUMIFS($D$4:D131,$B$4:B131,B131,$C$4:C131,"")+SUMIFS($D$4:D131,$B$4:B131,B131,$C$4:C131,"Purch")-SUMIFS($D$4:D131,$B$4:B131,B131,$C$4:C131,"Sale"),0)</f>
        <v>0</v>
      </c>
    </row>
    <row r="132" spans="1:14" x14ac:dyDescent="0.2">
      <c r="A132" s="152"/>
      <c r="B132" s="132"/>
      <c r="C132" s="132"/>
      <c r="D132" s="277"/>
      <c r="E132" s="132"/>
      <c r="F132" s="170"/>
      <c r="G132" s="150"/>
      <c r="H132" s="152"/>
      <c r="I132" s="204"/>
      <c r="J132" s="285"/>
      <c r="K132" s="251"/>
      <c r="L132" s="133" t="str">
        <f>IF(AND(I132&lt;&gt;"",ISERROR(IF(ISERROR(VLOOKUP(I132*1,Summary!$C$8:$C$153,1,0)),VLOOKUP(I132,Summary!$C$8:$C$153,1,0),VLOOKUP(I132*1,Summary!$C$8:$C$153,1,0)))),"Add account Number to Summary","")</f>
        <v/>
      </c>
      <c r="M132" s="131" t="str">
        <f t="shared" si="2"/>
        <v/>
      </c>
      <c r="N132" s="287">
        <f>IF(C132="Sale",SUMIFS($D$4:D132,$B$4:B132,B132,$C$4:C132,"")+SUMIFS($D$4:D132,$B$4:B132,B132,$C$4:C132,"Purch")-SUMIFS($D$4:D132,$B$4:B132,B132,$C$4:C132,"Sale"),0)</f>
        <v>0</v>
      </c>
    </row>
    <row r="133" spans="1:14" x14ac:dyDescent="0.2">
      <c r="A133" s="152"/>
      <c r="B133" s="132"/>
      <c r="C133" s="132"/>
      <c r="D133" s="277"/>
      <c r="E133" s="132"/>
      <c r="F133" s="170"/>
      <c r="G133" s="150"/>
      <c r="H133" s="152"/>
      <c r="I133" s="204"/>
      <c r="J133" s="285"/>
      <c r="K133" s="251"/>
      <c r="L133" s="133" t="str">
        <f>IF(AND(I133&lt;&gt;"",ISERROR(IF(ISERROR(VLOOKUP(I133*1,Summary!$C$8:$C$153,1,0)),VLOOKUP(I133,Summary!$C$8:$C$153,1,0),VLOOKUP(I133*1,Summary!$C$8:$C$153,1,0)))),"Add account Number to Summary","")</f>
        <v/>
      </c>
      <c r="M133" s="131" t="str">
        <f t="shared" si="2"/>
        <v/>
      </c>
      <c r="N133" s="287">
        <f>IF(C133="Sale",SUMIFS($D$4:D133,$B$4:B133,B133,$C$4:C133,"")+SUMIFS($D$4:D133,$B$4:B133,B133,$C$4:C133,"Purch")-SUMIFS($D$4:D133,$B$4:B133,B133,$C$4:C133,"Sale"),0)</f>
        <v>0</v>
      </c>
    </row>
    <row r="134" spans="1:14" x14ac:dyDescent="0.2">
      <c r="A134" s="152"/>
      <c r="B134" s="132"/>
      <c r="C134" s="132"/>
      <c r="D134" s="277"/>
      <c r="E134" s="132"/>
      <c r="F134" s="170"/>
      <c r="G134" s="150"/>
      <c r="H134" s="152"/>
      <c r="I134" s="204"/>
      <c r="J134" s="285"/>
      <c r="K134" s="251"/>
      <c r="L134" s="133" t="str">
        <f>IF(AND(I134&lt;&gt;"",ISERROR(IF(ISERROR(VLOOKUP(I134*1,Summary!$C$8:$C$153,1,0)),VLOOKUP(I134,Summary!$C$8:$C$153,1,0),VLOOKUP(I134*1,Summary!$C$8:$C$153,1,0)))),"Add account Number to Summary","")</f>
        <v/>
      </c>
      <c r="M134" s="131" t="str">
        <f t="shared" si="2"/>
        <v/>
      </c>
      <c r="N134" s="287">
        <f>IF(C134="Sale",SUMIFS($D$4:D134,$B$4:B134,B134,$C$4:C134,"")+SUMIFS($D$4:D134,$B$4:B134,B134,$C$4:C134,"Purch")-SUMIFS($D$4:D134,$B$4:B134,B134,$C$4:C134,"Sale"),0)</f>
        <v>0</v>
      </c>
    </row>
    <row r="135" spans="1:14" x14ac:dyDescent="0.2">
      <c r="A135" s="152"/>
      <c r="B135" s="132"/>
      <c r="C135" s="132"/>
      <c r="D135" s="277"/>
      <c r="E135" s="132"/>
      <c r="F135" s="170"/>
      <c r="G135" s="150"/>
      <c r="H135" s="152"/>
      <c r="I135" s="204"/>
      <c r="J135" s="285"/>
      <c r="K135" s="251"/>
      <c r="L135" s="133" t="str">
        <f>IF(AND(I135&lt;&gt;"",ISERROR(IF(ISERROR(VLOOKUP(I135*1,Summary!$C$8:$C$153,1,0)),VLOOKUP(I135,Summary!$C$8:$C$153,1,0),VLOOKUP(I135*1,Summary!$C$8:$C$153,1,0)))),"Add account Number to Summary","")</f>
        <v/>
      </c>
      <c r="M135" s="131" t="str">
        <f t="shared" si="2"/>
        <v/>
      </c>
      <c r="N135" s="287">
        <f>IF(C135="Sale",SUMIFS($D$4:D135,$B$4:B135,B135,$C$4:C135,"")+SUMIFS($D$4:D135,$B$4:B135,B135,$C$4:C135,"Purch")-SUMIFS($D$4:D135,$B$4:B135,B135,$C$4:C135,"Sale"),0)</f>
        <v>0</v>
      </c>
    </row>
    <row r="136" spans="1:14" x14ac:dyDescent="0.2">
      <c r="A136" s="152"/>
      <c r="B136" s="132"/>
      <c r="C136" s="132"/>
      <c r="D136" s="277"/>
      <c r="E136" s="132"/>
      <c r="F136" s="170"/>
      <c r="G136" s="150"/>
      <c r="H136" s="152"/>
      <c r="I136" s="204"/>
      <c r="J136" s="285"/>
      <c r="K136" s="251"/>
      <c r="L136" s="133" t="str">
        <f>IF(AND(I136&lt;&gt;"",ISERROR(IF(ISERROR(VLOOKUP(I136*1,Summary!$C$8:$C$153,1,0)),VLOOKUP(I136,Summary!$C$8:$C$153,1,0),VLOOKUP(I136*1,Summary!$C$8:$C$153,1,0)))),"Add account Number to Summary","")</f>
        <v/>
      </c>
      <c r="M136" s="131" t="str">
        <f t="shared" si="2"/>
        <v/>
      </c>
      <c r="N136" s="287">
        <f>IF(C136="Sale",SUMIFS($D$4:D136,$B$4:B136,B136,$C$4:C136,"")+SUMIFS($D$4:D136,$B$4:B136,B136,$C$4:C136,"Purch")-SUMIFS($D$4:D136,$B$4:B136,B136,$C$4:C136,"Sale"),0)</f>
        <v>0</v>
      </c>
    </row>
    <row r="137" spans="1:14" x14ac:dyDescent="0.2">
      <c r="A137" s="152"/>
      <c r="B137" s="132"/>
      <c r="C137" s="132"/>
      <c r="D137" s="277"/>
      <c r="E137" s="132"/>
      <c r="F137" s="170"/>
      <c r="G137" s="150"/>
      <c r="H137" s="152"/>
      <c r="I137" s="204"/>
      <c r="J137" s="285"/>
      <c r="K137" s="251"/>
      <c r="L137" s="133" t="str">
        <f>IF(AND(I137&lt;&gt;"",ISERROR(IF(ISERROR(VLOOKUP(I137*1,Summary!$C$8:$C$153,1,0)),VLOOKUP(I137,Summary!$C$8:$C$153,1,0),VLOOKUP(I137*1,Summary!$C$8:$C$153,1,0)))),"Add account Number to Summary","")</f>
        <v/>
      </c>
      <c r="M137" s="131" t="str">
        <f t="shared" si="2"/>
        <v/>
      </c>
      <c r="N137" s="287">
        <f>IF(C137="Sale",SUMIFS($D$4:D137,$B$4:B137,B137,$C$4:C137,"")+SUMIFS($D$4:D137,$B$4:B137,B137,$C$4:C137,"Purch")-SUMIFS($D$4:D137,$B$4:B137,B137,$C$4:C137,"Sale"),0)</f>
        <v>0</v>
      </c>
    </row>
    <row r="138" spans="1:14" x14ac:dyDescent="0.2">
      <c r="A138" s="152"/>
      <c r="B138" s="132"/>
      <c r="C138" s="132"/>
      <c r="D138" s="277"/>
      <c r="E138" s="132"/>
      <c r="F138" s="170"/>
      <c r="G138" s="150"/>
      <c r="H138" s="152"/>
      <c r="I138" s="204"/>
      <c r="J138" s="285"/>
      <c r="K138" s="251"/>
      <c r="L138" s="133" t="str">
        <f>IF(AND(I138&lt;&gt;"",ISERROR(IF(ISERROR(VLOOKUP(I138*1,Summary!$C$8:$C$153,1,0)),VLOOKUP(I138,Summary!$C$8:$C$153,1,0),VLOOKUP(I138*1,Summary!$C$8:$C$153,1,0)))),"Add account Number to Summary","")</f>
        <v/>
      </c>
      <c r="M138" s="131" t="str">
        <f t="shared" si="2"/>
        <v/>
      </c>
      <c r="N138" s="287">
        <f>IF(C138="Sale",SUMIFS($D$4:D138,$B$4:B138,B138,$C$4:C138,"")+SUMIFS($D$4:D138,$B$4:B138,B138,$C$4:C138,"Purch")-SUMIFS($D$4:D138,$B$4:B138,B138,$C$4:C138,"Sale"),0)</f>
        <v>0</v>
      </c>
    </row>
    <row r="139" spans="1:14" x14ac:dyDescent="0.2">
      <c r="A139" s="152"/>
      <c r="B139" s="132"/>
      <c r="C139" s="132"/>
      <c r="D139" s="277"/>
      <c r="E139" s="132"/>
      <c r="F139" s="170"/>
      <c r="G139" s="150"/>
      <c r="H139" s="152"/>
      <c r="I139" s="204"/>
      <c r="J139" s="285"/>
      <c r="K139" s="251"/>
      <c r="L139" s="133" t="str">
        <f>IF(AND(I139&lt;&gt;"",ISERROR(IF(ISERROR(VLOOKUP(I139*1,Summary!$C$8:$C$153,1,0)),VLOOKUP(I139,Summary!$C$8:$C$153,1,0),VLOOKUP(I139*1,Summary!$C$8:$C$153,1,0)))),"Add account Number to Summary","")</f>
        <v/>
      </c>
      <c r="M139" s="131" t="str">
        <f t="shared" si="2"/>
        <v/>
      </c>
      <c r="N139" s="287">
        <f>IF(C139="Sale",SUMIFS($D$4:D139,$B$4:B139,B139,$C$4:C139,"")+SUMIFS($D$4:D139,$B$4:B139,B139,$C$4:C139,"Purch")-SUMIFS($D$4:D139,$B$4:B139,B139,$C$4:C139,"Sale"),0)</f>
        <v>0</v>
      </c>
    </row>
    <row r="140" spans="1:14" x14ac:dyDescent="0.2">
      <c r="A140" s="152"/>
      <c r="B140" s="132"/>
      <c r="C140" s="132"/>
      <c r="D140" s="277"/>
      <c r="E140" s="132"/>
      <c r="F140" s="170"/>
      <c r="G140" s="150"/>
      <c r="H140" s="152"/>
      <c r="I140" s="204"/>
      <c r="J140" s="285"/>
      <c r="K140" s="251"/>
      <c r="L140" s="133" t="str">
        <f>IF(AND(I140&lt;&gt;"",ISERROR(IF(ISERROR(VLOOKUP(I140*1,Summary!$C$8:$C$153,1,0)),VLOOKUP(I140,Summary!$C$8:$C$153,1,0),VLOOKUP(I140*1,Summary!$C$8:$C$153,1,0)))),"Add account Number to Summary","")</f>
        <v/>
      </c>
      <c r="M140" s="131" t="str">
        <f t="shared" si="2"/>
        <v/>
      </c>
      <c r="N140" s="287">
        <f>IF(C140="Sale",SUMIFS($D$4:D140,$B$4:B140,B140,$C$4:C140,"")+SUMIFS($D$4:D140,$B$4:B140,B140,$C$4:C140,"Purch")-SUMIFS($D$4:D140,$B$4:B140,B140,$C$4:C140,"Sale"),0)</f>
        <v>0</v>
      </c>
    </row>
    <row r="141" spans="1:14" x14ac:dyDescent="0.2">
      <c r="A141" s="152"/>
      <c r="B141" s="132"/>
      <c r="C141" s="132"/>
      <c r="D141" s="277"/>
      <c r="E141" s="132"/>
      <c r="F141" s="170"/>
      <c r="G141" s="150"/>
      <c r="H141" s="152"/>
      <c r="I141" s="204"/>
      <c r="J141" s="285"/>
      <c r="K141" s="251"/>
      <c r="L141" s="133" t="str">
        <f>IF(AND(I141&lt;&gt;"",ISERROR(IF(ISERROR(VLOOKUP(I141*1,Summary!$C$8:$C$153,1,0)),VLOOKUP(I141,Summary!$C$8:$C$153,1,0),VLOOKUP(I141*1,Summary!$C$8:$C$153,1,0)))),"Add account Number to Summary","")</f>
        <v/>
      </c>
      <c r="M141" s="131" t="str">
        <f t="shared" si="2"/>
        <v/>
      </c>
      <c r="N141" s="287">
        <f>IF(C141="Sale",SUMIFS($D$4:D141,$B$4:B141,B141,$C$4:C141,"")+SUMIFS($D$4:D141,$B$4:B141,B141,$C$4:C141,"Purch")-SUMIFS($D$4:D141,$B$4:B141,B141,$C$4:C141,"Sale"),0)</f>
        <v>0</v>
      </c>
    </row>
    <row r="142" spans="1:14" x14ac:dyDescent="0.2">
      <c r="A142" s="152"/>
      <c r="B142" s="132"/>
      <c r="C142" s="132"/>
      <c r="D142" s="277"/>
      <c r="E142" s="132"/>
      <c r="F142" s="170"/>
      <c r="G142" s="150"/>
      <c r="H142" s="152"/>
      <c r="I142" s="204"/>
      <c r="J142" s="285"/>
      <c r="K142" s="251"/>
      <c r="L142" s="133" t="str">
        <f>IF(AND(I142&lt;&gt;"",ISERROR(IF(ISERROR(VLOOKUP(I142*1,Summary!$C$8:$C$153,1,0)),VLOOKUP(I142,Summary!$C$8:$C$153,1,0),VLOOKUP(I142*1,Summary!$C$8:$C$153,1,0)))),"Add account Number to Summary","")</f>
        <v/>
      </c>
      <c r="M142" s="131" t="str">
        <f t="shared" si="2"/>
        <v/>
      </c>
      <c r="N142" s="287">
        <f>IF(C142="Sale",SUMIFS($D$4:D142,$B$4:B142,B142,$C$4:C142,"")+SUMIFS($D$4:D142,$B$4:B142,B142,$C$4:C142,"Purch")-SUMIFS($D$4:D142,$B$4:B142,B142,$C$4:C142,"Sale"),0)</f>
        <v>0</v>
      </c>
    </row>
    <row r="143" spans="1:14" x14ac:dyDescent="0.2">
      <c r="A143" s="152"/>
      <c r="B143" s="132"/>
      <c r="C143" s="132"/>
      <c r="D143" s="277"/>
      <c r="E143" s="132"/>
      <c r="F143" s="170"/>
      <c r="G143" s="150"/>
      <c r="H143" s="152"/>
      <c r="I143" s="204"/>
      <c r="J143" s="285"/>
      <c r="K143" s="251"/>
      <c r="L143" s="133" t="str">
        <f>IF(AND(I143&lt;&gt;"",ISERROR(IF(ISERROR(VLOOKUP(I143*1,Summary!$C$8:$C$153,1,0)),VLOOKUP(I143,Summary!$C$8:$C$153,1,0),VLOOKUP(I143*1,Summary!$C$8:$C$153,1,0)))),"Add account Number to Summary","")</f>
        <v/>
      </c>
      <c r="M143" s="131" t="str">
        <f t="shared" si="2"/>
        <v/>
      </c>
      <c r="N143" s="287">
        <f>IF(C143="Sale",SUMIFS($D$4:D143,$B$4:B143,B143,$C$4:C143,"")+SUMIFS($D$4:D143,$B$4:B143,B143,$C$4:C143,"Purch")-SUMIFS($D$4:D143,$B$4:B143,B143,$C$4:C143,"Sale"),0)</f>
        <v>0</v>
      </c>
    </row>
    <row r="144" spans="1:14" x14ac:dyDescent="0.2">
      <c r="A144" s="152"/>
      <c r="B144" s="132"/>
      <c r="C144" s="132"/>
      <c r="D144" s="277"/>
      <c r="E144" s="132"/>
      <c r="F144" s="170"/>
      <c r="G144" s="150"/>
      <c r="H144" s="152"/>
      <c r="I144" s="204"/>
      <c r="J144" s="285"/>
      <c r="K144" s="251"/>
      <c r="L144" s="133" t="str">
        <f>IF(AND(I144&lt;&gt;"",ISERROR(IF(ISERROR(VLOOKUP(I144*1,Summary!$C$8:$C$153,1,0)),VLOOKUP(I144,Summary!$C$8:$C$153,1,0),VLOOKUP(I144*1,Summary!$C$8:$C$153,1,0)))),"Add account Number to Summary","")</f>
        <v/>
      </c>
      <c r="M144" s="131" t="str">
        <f t="shared" si="2"/>
        <v/>
      </c>
      <c r="N144" s="287">
        <f>IF(C144="Sale",SUMIFS($D$4:D144,$B$4:B144,B144,$C$4:C144,"")+SUMIFS($D$4:D144,$B$4:B144,B144,$C$4:C144,"Purch")-SUMIFS($D$4:D144,$B$4:B144,B144,$C$4:C144,"Sale"),0)</f>
        <v>0</v>
      </c>
    </row>
    <row r="145" spans="1:14" x14ac:dyDescent="0.2">
      <c r="A145" s="152"/>
      <c r="B145" s="132"/>
      <c r="C145" s="132"/>
      <c r="D145" s="277"/>
      <c r="E145" s="132"/>
      <c r="F145" s="170"/>
      <c r="G145" s="150"/>
      <c r="H145" s="152"/>
      <c r="I145" s="204"/>
      <c r="J145" s="285"/>
      <c r="K145" s="251"/>
      <c r="L145" s="133" t="str">
        <f>IF(AND(I145&lt;&gt;"",ISERROR(IF(ISERROR(VLOOKUP(I145*1,Summary!$C$8:$C$153,1,0)),VLOOKUP(I145,Summary!$C$8:$C$153,1,0),VLOOKUP(I145*1,Summary!$C$8:$C$153,1,0)))),"Add account Number to Summary","")</f>
        <v/>
      </c>
      <c r="M145" s="131" t="str">
        <f t="shared" si="2"/>
        <v/>
      </c>
      <c r="N145" s="287">
        <f>IF(C145="Sale",SUMIFS($D$4:D145,$B$4:B145,B145,$C$4:C145,"")+SUMIFS($D$4:D145,$B$4:B145,B145,$C$4:C145,"Purch")-SUMIFS($D$4:D145,$B$4:B145,B145,$C$4:C145,"Sale"),0)</f>
        <v>0</v>
      </c>
    </row>
    <row r="146" spans="1:14" x14ac:dyDescent="0.2">
      <c r="A146" s="152"/>
      <c r="B146" s="132"/>
      <c r="C146" s="132"/>
      <c r="D146" s="277"/>
      <c r="E146" s="132"/>
      <c r="F146" s="170"/>
      <c r="G146" s="150"/>
      <c r="H146" s="152"/>
      <c r="I146" s="204"/>
      <c r="J146" s="285"/>
      <c r="K146" s="251"/>
      <c r="L146" s="133" t="str">
        <f>IF(AND(I146&lt;&gt;"",ISERROR(IF(ISERROR(VLOOKUP(I146*1,Summary!$C$8:$C$153,1,0)),VLOOKUP(I146,Summary!$C$8:$C$153,1,0),VLOOKUP(I146*1,Summary!$C$8:$C$153,1,0)))),"Add account Number to Summary","")</f>
        <v/>
      </c>
      <c r="M146" s="131" t="str">
        <f t="shared" si="2"/>
        <v/>
      </c>
      <c r="N146" s="287">
        <f>IF(C146="Sale",SUMIFS($D$4:D146,$B$4:B146,B146,$C$4:C146,"")+SUMIFS($D$4:D146,$B$4:B146,B146,$C$4:C146,"Purch")-SUMIFS($D$4:D146,$B$4:B146,B146,$C$4:C146,"Sale"),0)</f>
        <v>0</v>
      </c>
    </row>
    <row r="147" spans="1:14" x14ac:dyDescent="0.2">
      <c r="A147" s="152"/>
      <c r="B147" s="132"/>
      <c r="C147" s="132"/>
      <c r="D147" s="277"/>
      <c r="E147" s="132"/>
      <c r="F147" s="170"/>
      <c r="G147" s="150"/>
      <c r="H147" s="152"/>
      <c r="I147" s="204"/>
      <c r="J147" s="285"/>
      <c r="K147" s="251"/>
      <c r="L147" s="133" t="str">
        <f>IF(AND(I147&lt;&gt;"",ISERROR(IF(ISERROR(VLOOKUP(I147*1,Summary!$C$8:$C$153,1,0)),VLOOKUP(I147,Summary!$C$8:$C$153,1,0),VLOOKUP(I147*1,Summary!$C$8:$C$153,1,0)))),"Add account Number to Summary","")</f>
        <v/>
      </c>
      <c r="M147" s="131" t="str">
        <f t="shared" si="2"/>
        <v/>
      </c>
      <c r="N147" s="287">
        <f>IF(C147="Sale",SUMIFS($D$4:D147,$B$4:B147,B147,$C$4:C147,"")+SUMIFS($D$4:D147,$B$4:B147,B147,$C$4:C147,"Purch")-SUMIFS($D$4:D147,$B$4:B147,B147,$C$4:C147,"Sale"),0)</f>
        <v>0</v>
      </c>
    </row>
    <row r="148" spans="1:14" x14ac:dyDescent="0.2">
      <c r="A148" s="152"/>
      <c r="B148" s="132"/>
      <c r="C148" s="132"/>
      <c r="D148" s="277"/>
      <c r="E148" s="132"/>
      <c r="F148" s="170"/>
      <c r="G148" s="150"/>
      <c r="H148" s="152"/>
      <c r="I148" s="204"/>
      <c r="J148" s="285"/>
      <c r="K148" s="251"/>
      <c r="L148" s="133" t="str">
        <f>IF(AND(I148&lt;&gt;"",ISERROR(IF(ISERROR(VLOOKUP(I148*1,Summary!$C$8:$C$153,1,0)),VLOOKUP(I148,Summary!$C$8:$C$153,1,0),VLOOKUP(I148*1,Summary!$C$8:$C$153,1,0)))),"Add account Number to Summary","")</f>
        <v/>
      </c>
      <c r="M148" s="131" t="str">
        <f t="shared" si="2"/>
        <v/>
      </c>
      <c r="N148" s="287">
        <f>IF(C148="Sale",SUMIFS($D$4:D148,$B$4:B148,B148,$C$4:C148,"")+SUMIFS($D$4:D148,$B$4:B148,B148,$C$4:C148,"Purch")-SUMIFS($D$4:D148,$B$4:B148,B148,$C$4:C148,"Sale"),0)</f>
        <v>0</v>
      </c>
    </row>
    <row r="149" spans="1:14" x14ac:dyDescent="0.2">
      <c r="A149" s="152"/>
      <c r="B149" s="132"/>
      <c r="C149" s="132"/>
      <c r="D149" s="277"/>
      <c r="E149" s="132"/>
      <c r="F149" s="170"/>
      <c r="G149" s="150"/>
      <c r="H149" s="152"/>
      <c r="I149" s="204"/>
      <c r="J149" s="285"/>
      <c r="K149" s="251"/>
      <c r="L149" s="133" t="str">
        <f>IF(AND(I149&lt;&gt;"",ISERROR(IF(ISERROR(VLOOKUP(I149*1,Summary!$C$8:$C$153,1,0)),VLOOKUP(I149,Summary!$C$8:$C$153,1,0),VLOOKUP(I149*1,Summary!$C$8:$C$153,1,0)))),"Add account Number to Summary","")</f>
        <v/>
      </c>
      <c r="M149" s="131" t="str">
        <f t="shared" si="2"/>
        <v/>
      </c>
      <c r="N149" s="287">
        <f>IF(C149="Sale",SUMIFS($D$4:D149,$B$4:B149,B149,$C$4:C149,"")+SUMIFS($D$4:D149,$B$4:B149,B149,$C$4:C149,"Purch")-SUMIFS($D$4:D149,$B$4:B149,B149,$C$4:C149,"Sale"),0)</f>
        <v>0</v>
      </c>
    </row>
    <row r="150" spans="1:14" x14ac:dyDescent="0.2">
      <c r="A150" s="152"/>
      <c r="B150" s="132"/>
      <c r="C150" s="132"/>
      <c r="D150" s="277"/>
      <c r="E150" s="132"/>
      <c r="F150" s="170"/>
      <c r="G150" s="150"/>
      <c r="H150" s="152"/>
      <c r="I150" s="204"/>
      <c r="J150" s="285"/>
      <c r="K150" s="251"/>
      <c r="L150" s="133" t="str">
        <f>IF(AND(I150&lt;&gt;"",ISERROR(IF(ISERROR(VLOOKUP(I150*1,Summary!$C$8:$C$153,1,0)),VLOOKUP(I150,Summary!$C$8:$C$153,1,0),VLOOKUP(I150*1,Summary!$C$8:$C$153,1,0)))),"Add account Number to Summary","")</f>
        <v/>
      </c>
      <c r="M150" s="131" t="str">
        <f t="shared" si="2"/>
        <v/>
      </c>
      <c r="N150" s="287">
        <f>IF(C150="Sale",SUMIFS($D$4:D150,$B$4:B150,B150,$C$4:C150,"")+SUMIFS($D$4:D150,$B$4:B150,B150,$C$4:C150,"Purch")-SUMIFS($D$4:D150,$B$4:B150,B150,$C$4:C150,"Sale"),0)</f>
        <v>0</v>
      </c>
    </row>
    <row r="151" spans="1:14" x14ac:dyDescent="0.2">
      <c r="A151" s="152"/>
      <c r="B151" s="132"/>
      <c r="C151" s="132"/>
      <c r="D151" s="277"/>
      <c r="E151" s="132"/>
      <c r="F151" s="170"/>
      <c r="G151" s="150"/>
      <c r="H151" s="152"/>
      <c r="I151" s="204"/>
      <c r="J151" s="285"/>
      <c r="K151" s="251"/>
      <c r="L151" s="133" t="str">
        <f>IF(AND(I151&lt;&gt;"",ISERROR(IF(ISERROR(VLOOKUP(I151*1,Summary!$C$8:$C$153,1,0)),VLOOKUP(I151,Summary!$C$8:$C$153,1,0),VLOOKUP(I151*1,Summary!$C$8:$C$153,1,0)))),"Add account Number to Summary","")</f>
        <v/>
      </c>
      <c r="M151" s="131" t="str">
        <f t="shared" si="2"/>
        <v/>
      </c>
      <c r="N151" s="287">
        <f>IF(C151="Sale",SUMIFS($D$4:D151,$B$4:B151,B151,$C$4:C151,"")+SUMIFS($D$4:D151,$B$4:B151,B151,$C$4:C151,"Purch")-SUMIFS($D$4:D151,$B$4:B151,B151,$C$4:C151,"Sale"),0)</f>
        <v>0</v>
      </c>
    </row>
    <row r="152" spans="1:14" x14ac:dyDescent="0.2">
      <c r="A152" s="152"/>
      <c r="B152" s="132"/>
      <c r="C152" s="132"/>
      <c r="D152" s="277"/>
      <c r="E152" s="132"/>
      <c r="F152" s="170"/>
      <c r="G152" s="150"/>
      <c r="H152" s="152"/>
      <c r="I152" s="204"/>
      <c r="J152" s="285"/>
      <c r="K152" s="251"/>
      <c r="L152" s="133" t="str">
        <f>IF(AND(I152&lt;&gt;"",ISERROR(IF(ISERROR(VLOOKUP(I152*1,Summary!$C$8:$C$153,1,0)),VLOOKUP(I152,Summary!$C$8:$C$153,1,0),VLOOKUP(I152*1,Summary!$C$8:$C$153,1,0)))),"Add account Number to Summary","")</f>
        <v/>
      </c>
      <c r="M152" s="131" t="str">
        <f t="shared" si="2"/>
        <v/>
      </c>
      <c r="N152" s="287">
        <f>IF(C152="Sale",SUMIFS($D$4:D152,$B$4:B152,B152,$C$4:C152,"")+SUMIFS($D$4:D152,$B$4:B152,B152,$C$4:C152,"Purch")-SUMIFS($D$4:D152,$B$4:B152,B152,$C$4:C152,"Sale"),0)</f>
        <v>0</v>
      </c>
    </row>
    <row r="153" spans="1:14" x14ac:dyDescent="0.2">
      <c r="A153" s="152"/>
      <c r="B153" s="132"/>
      <c r="C153" s="132"/>
      <c r="D153" s="277"/>
      <c r="E153" s="132"/>
      <c r="F153" s="170"/>
      <c r="G153" s="150"/>
      <c r="H153" s="152"/>
      <c r="I153" s="204"/>
      <c r="J153" s="285"/>
      <c r="K153" s="251"/>
      <c r="L153" s="133" t="str">
        <f>IF(AND(I153&lt;&gt;"",ISERROR(IF(ISERROR(VLOOKUP(I153*1,Summary!$C$8:$C$153,1,0)),VLOOKUP(I153,Summary!$C$8:$C$153,1,0),VLOOKUP(I153*1,Summary!$C$8:$C$153,1,0)))),"Add account Number to Summary","")</f>
        <v/>
      </c>
      <c r="M153" s="131" t="str">
        <f t="shared" si="2"/>
        <v/>
      </c>
      <c r="N153" s="287">
        <f>IF(C153="Sale",SUMIFS($D$4:D153,$B$4:B153,B153,$C$4:C153,"")+SUMIFS($D$4:D153,$B$4:B153,B153,$C$4:C153,"Purch")-SUMIFS($D$4:D153,$B$4:B153,B153,$C$4:C153,"Sale"),0)</f>
        <v>0</v>
      </c>
    </row>
    <row r="154" spans="1:14" x14ac:dyDescent="0.2">
      <c r="A154" s="152"/>
      <c r="B154" s="132"/>
      <c r="C154" s="132"/>
      <c r="D154" s="277"/>
      <c r="E154" s="132"/>
      <c r="F154" s="170"/>
      <c r="G154" s="150"/>
      <c r="H154" s="152"/>
      <c r="I154" s="204"/>
      <c r="J154" s="285"/>
      <c r="K154" s="251"/>
      <c r="L154" s="133" t="str">
        <f>IF(AND(I154&lt;&gt;"",ISERROR(IF(ISERROR(VLOOKUP(I154*1,Summary!$C$8:$C$153,1,0)),VLOOKUP(I154,Summary!$C$8:$C$153,1,0),VLOOKUP(I154*1,Summary!$C$8:$C$153,1,0)))),"Add account Number to Summary","")</f>
        <v/>
      </c>
      <c r="M154" s="131" t="str">
        <f t="shared" si="2"/>
        <v/>
      </c>
      <c r="N154" s="287">
        <f>IF(C154="Sale",SUMIFS($D$4:D154,$B$4:B154,B154,$C$4:C154,"")+SUMIFS($D$4:D154,$B$4:B154,B154,$C$4:C154,"Purch")-SUMIFS($D$4:D154,$B$4:B154,B154,$C$4:C154,"Sale"),0)</f>
        <v>0</v>
      </c>
    </row>
    <row r="155" spans="1:14" x14ac:dyDescent="0.2">
      <c r="A155" s="152"/>
      <c r="B155" s="132"/>
      <c r="C155" s="132"/>
      <c r="D155" s="277"/>
      <c r="E155" s="132"/>
      <c r="F155" s="170"/>
      <c r="G155" s="150"/>
      <c r="H155" s="152"/>
      <c r="I155" s="204"/>
      <c r="J155" s="285"/>
      <c r="K155" s="251"/>
      <c r="L155" s="133" t="str">
        <f>IF(AND(I155&lt;&gt;"",ISERROR(IF(ISERROR(VLOOKUP(I155*1,Summary!$C$8:$C$153,1,0)),VLOOKUP(I155,Summary!$C$8:$C$153,1,0),VLOOKUP(I155*1,Summary!$C$8:$C$153,1,0)))),"Add account Number to Summary","")</f>
        <v/>
      </c>
      <c r="M155" s="131" t="str">
        <f t="shared" si="2"/>
        <v/>
      </c>
      <c r="N155" s="287">
        <f>IF(C155="Sale",SUMIFS($D$4:D155,$B$4:B155,B155,$C$4:C155,"")+SUMIFS($D$4:D155,$B$4:B155,B155,$C$4:C155,"Purch")-SUMIFS($D$4:D155,$B$4:B155,B155,$C$4:C155,"Sale"),0)</f>
        <v>0</v>
      </c>
    </row>
    <row r="156" spans="1:14" x14ac:dyDescent="0.2">
      <c r="A156" s="152"/>
      <c r="B156" s="132"/>
      <c r="C156" s="132"/>
      <c r="D156" s="277"/>
      <c r="E156" s="132"/>
      <c r="F156" s="170"/>
      <c r="G156" s="150"/>
      <c r="H156" s="152"/>
      <c r="I156" s="204"/>
      <c r="J156" s="285"/>
      <c r="K156" s="251"/>
      <c r="L156" s="133" t="str">
        <f>IF(AND(I156&lt;&gt;"",ISERROR(IF(ISERROR(VLOOKUP(I156*1,Summary!$C$8:$C$153,1,0)),VLOOKUP(I156,Summary!$C$8:$C$153,1,0),VLOOKUP(I156*1,Summary!$C$8:$C$153,1,0)))),"Add account Number to Summary","")</f>
        <v/>
      </c>
      <c r="M156" s="131" t="str">
        <f t="shared" si="2"/>
        <v/>
      </c>
      <c r="N156" s="287">
        <f>IF(C156="Sale",SUMIFS($D$4:D156,$B$4:B156,B156,$C$4:C156,"")+SUMIFS($D$4:D156,$B$4:B156,B156,$C$4:C156,"Purch")-SUMIFS($D$4:D156,$B$4:B156,B156,$C$4:C156,"Sale"),0)</f>
        <v>0</v>
      </c>
    </row>
    <row r="157" spans="1:14" x14ac:dyDescent="0.2">
      <c r="A157" s="152"/>
      <c r="B157" s="132"/>
      <c r="C157" s="132"/>
      <c r="D157" s="277"/>
      <c r="E157" s="132"/>
      <c r="F157" s="170"/>
      <c r="G157" s="150"/>
      <c r="H157" s="152"/>
      <c r="I157" s="204"/>
      <c r="J157" s="285"/>
      <c r="K157" s="251"/>
      <c r="L157" s="133" t="str">
        <f>IF(AND(I157&lt;&gt;"",ISERROR(IF(ISERROR(VLOOKUP(I157*1,Summary!$C$8:$C$153,1,0)),VLOOKUP(I157,Summary!$C$8:$C$153,1,0),VLOOKUP(I157*1,Summary!$C$8:$C$153,1,0)))),"Add account Number to Summary","")</f>
        <v/>
      </c>
      <c r="M157" s="131" t="str">
        <f t="shared" si="2"/>
        <v/>
      </c>
      <c r="N157" s="287">
        <f>IF(C157="Sale",SUMIFS($D$4:D157,$B$4:B157,B157,$C$4:C157,"")+SUMIFS($D$4:D157,$B$4:B157,B157,$C$4:C157,"Purch")-SUMIFS($D$4:D157,$B$4:B157,B157,$C$4:C157,"Sale"),0)</f>
        <v>0</v>
      </c>
    </row>
    <row r="158" spans="1:14" x14ac:dyDescent="0.2">
      <c r="A158" s="152"/>
      <c r="B158" s="132"/>
      <c r="C158" s="132"/>
      <c r="D158" s="277"/>
      <c r="E158" s="132"/>
      <c r="F158" s="170"/>
      <c r="G158" s="150"/>
      <c r="H158" s="152"/>
      <c r="I158" s="204"/>
      <c r="J158" s="285"/>
      <c r="K158" s="251"/>
      <c r="L158" s="133" t="str">
        <f>IF(AND(I158&lt;&gt;"",ISERROR(IF(ISERROR(VLOOKUP(I158*1,Summary!$C$8:$C$153,1,0)),VLOOKUP(I158,Summary!$C$8:$C$153,1,0),VLOOKUP(I158*1,Summary!$C$8:$C$153,1,0)))),"Add account Number to Summary","")</f>
        <v/>
      </c>
      <c r="M158" s="131" t="str">
        <f t="shared" si="2"/>
        <v/>
      </c>
      <c r="N158" s="287">
        <f>IF(C158="Sale",SUMIFS($D$4:D158,$B$4:B158,B158,$C$4:C158,"")+SUMIFS($D$4:D158,$B$4:B158,B158,$C$4:C158,"Purch")-SUMIFS($D$4:D158,$B$4:B158,B158,$C$4:C158,"Sale"),0)</f>
        <v>0</v>
      </c>
    </row>
    <row r="159" spans="1:14" x14ac:dyDescent="0.2">
      <c r="A159" s="152"/>
      <c r="B159" s="132"/>
      <c r="C159" s="132"/>
      <c r="D159" s="277"/>
      <c r="E159" s="132"/>
      <c r="F159" s="170"/>
      <c r="G159" s="150"/>
      <c r="H159" s="152"/>
      <c r="I159" s="204"/>
      <c r="J159" s="285"/>
      <c r="K159" s="251"/>
      <c r="L159" s="133" t="str">
        <f>IF(AND(I159&lt;&gt;"",ISERROR(IF(ISERROR(VLOOKUP(I159*1,Summary!$C$8:$C$153,1,0)),VLOOKUP(I159,Summary!$C$8:$C$153,1,0),VLOOKUP(I159*1,Summary!$C$8:$C$153,1,0)))),"Add account Number to Summary","")</f>
        <v/>
      </c>
      <c r="M159" s="131" t="str">
        <f t="shared" si="2"/>
        <v/>
      </c>
      <c r="N159" s="287">
        <f>IF(C159="Sale",SUMIFS($D$4:D159,$B$4:B159,B159,$C$4:C159,"")+SUMIFS($D$4:D159,$B$4:B159,B159,$C$4:C159,"Purch")-SUMIFS($D$4:D159,$B$4:B159,B159,$C$4:C159,"Sale"),0)</f>
        <v>0</v>
      </c>
    </row>
    <row r="160" spans="1:14" x14ac:dyDescent="0.2">
      <c r="A160" s="152"/>
      <c r="B160" s="132"/>
      <c r="C160" s="132"/>
      <c r="D160" s="277"/>
      <c r="E160" s="132"/>
      <c r="F160" s="170"/>
      <c r="G160" s="150"/>
      <c r="H160" s="152"/>
      <c r="I160" s="204"/>
      <c r="J160" s="285"/>
      <c r="K160" s="251"/>
      <c r="L160" s="133" t="str">
        <f>IF(AND(I160&lt;&gt;"",ISERROR(IF(ISERROR(VLOOKUP(I160*1,Summary!$C$8:$C$153,1,0)),VLOOKUP(I160,Summary!$C$8:$C$153,1,0),VLOOKUP(I160*1,Summary!$C$8:$C$153,1,0)))),"Add account Number to Summary","")</f>
        <v/>
      </c>
      <c r="M160" s="131" t="str">
        <f t="shared" si="2"/>
        <v/>
      </c>
      <c r="N160" s="287">
        <f>IF(C160="Sale",SUMIFS($D$4:D160,$B$4:B160,B160,$C$4:C160,"")+SUMIFS($D$4:D160,$B$4:B160,B160,$C$4:C160,"Purch")-SUMIFS($D$4:D160,$B$4:B160,B160,$C$4:C160,"Sale"),0)</f>
        <v>0</v>
      </c>
    </row>
    <row r="161" spans="1:14" x14ac:dyDescent="0.2">
      <c r="A161" s="152"/>
      <c r="B161" s="132"/>
      <c r="C161" s="132"/>
      <c r="D161" s="277"/>
      <c r="E161" s="132"/>
      <c r="F161" s="170"/>
      <c r="G161" s="150"/>
      <c r="H161" s="152"/>
      <c r="I161" s="204"/>
      <c r="J161" s="285"/>
      <c r="K161" s="251"/>
      <c r="L161" s="133" t="str">
        <f>IF(AND(I161&lt;&gt;"",ISERROR(IF(ISERROR(VLOOKUP(I161*1,Summary!$C$8:$C$153,1,0)),VLOOKUP(I161,Summary!$C$8:$C$153,1,0),VLOOKUP(I161*1,Summary!$C$8:$C$153,1,0)))),"Add account Number to Summary","")</f>
        <v/>
      </c>
      <c r="M161" s="131" t="str">
        <f t="shared" si="2"/>
        <v/>
      </c>
      <c r="N161" s="287">
        <f>IF(C161="Sale",SUMIFS($D$4:D161,$B$4:B161,B161,$C$4:C161,"")+SUMIFS($D$4:D161,$B$4:B161,B161,$C$4:C161,"Purch")-SUMIFS($D$4:D161,$B$4:B161,B161,$C$4:C161,"Sale"),0)</f>
        <v>0</v>
      </c>
    </row>
    <row r="162" spans="1:14" x14ac:dyDescent="0.2">
      <c r="A162" s="152"/>
      <c r="B162" s="132"/>
      <c r="C162" s="132"/>
      <c r="D162" s="277"/>
      <c r="E162" s="132"/>
      <c r="F162" s="170"/>
      <c r="G162" s="150"/>
      <c r="H162" s="152"/>
      <c r="I162" s="204"/>
      <c r="J162" s="285"/>
      <c r="K162" s="251"/>
      <c r="L162" s="133" t="str">
        <f>IF(AND(I162&lt;&gt;"",ISERROR(IF(ISERROR(VLOOKUP(I162*1,Summary!$C$8:$C$153,1,0)),VLOOKUP(I162,Summary!$C$8:$C$153,1,0),VLOOKUP(I162*1,Summary!$C$8:$C$153,1,0)))),"Add account Number to Summary","")</f>
        <v/>
      </c>
      <c r="M162" s="131" t="str">
        <f t="shared" si="2"/>
        <v/>
      </c>
      <c r="N162" s="287">
        <f>IF(C162="Sale",SUMIFS($D$4:D162,$B$4:B162,B162,$C$4:C162,"")+SUMIFS($D$4:D162,$B$4:B162,B162,$C$4:C162,"Purch")-SUMIFS($D$4:D162,$B$4:B162,B162,$C$4:C162,"Sale"),0)</f>
        <v>0</v>
      </c>
    </row>
    <row r="163" spans="1:14" x14ac:dyDescent="0.2">
      <c r="A163" s="152"/>
      <c r="B163" s="132"/>
      <c r="C163" s="132"/>
      <c r="D163" s="277"/>
      <c r="E163" s="132"/>
      <c r="F163" s="170"/>
      <c r="G163" s="150"/>
      <c r="H163" s="152"/>
      <c r="I163" s="204"/>
      <c r="J163" s="285"/>
      <c r="K163" s="251"/>
      <c r="L163" s="133" t="str">
        <f>IF(AND(I163&lt;&gt;"",ISERROR(IF(ISERROR(VLOOKUP(I163*1,Summary!$C$8:$C$153,1,0)),VLOOKUP(I163,Summary!$C$8:$C$153,1,0),VLOOKUP(I163*1,Summary!$C$8:$C$153,1,0)))),"Add account Number to Summary","")</f>
        <v/>
      </c>
      <c r="M163" s="131" t="str">
        <f t="shared" si="2"/>
        <v/>
      </c>
      <c r="N163" s="287">
        <f>IF(C163="Sale",SUMIFS($D$4:D163,$B$4:B163,B163,$C$4:C163,"")+SUMIFS($D$4:D163,$B$4:B163,B163,$C$4:C163,"Purch")-SUMIFS($D$4:D163,$B$4:B163,B163,$C$4:C163,"Sale"),0)</f>
        <v>0</v>
      </c>
    </row>
    <row r="164" spans="1:14" x14ac:dyDescent="0.2">
      <c r="A164" s="152"/>
      <c r="B164" s="132"/>
      <c r="C164" s="132"/>
      <c r="D164" s="277"/>
      <c r="E164" s="132"/>
      <c r="F164" s="170"/>
      <c r="G164" s="150"/>
      <c r="H164" s="152"/>
      <c r="I164" s="204"/>
      <c r="J164" s="285"/>
      <c r="K164" s="251"/>
      <c r="L164" s="133" t="str">
        <f>IF(AND(I164&lt;&gt;"",ISERROR(IF(ISERROR(VLOOKUP(I164*1,Summary!$C$8:$C$153,1,0)),VLOOKUP(I164,Summary!$C$8:$C$153,1,0),VLOOKUP(I164*1,Summary!$C$8:$C$153,1,0)))),"Add account Number to Summary","")</f>
        <v/>
      </c>
      <c r="M164" s="131" t="str">
        <f t="shared" si="2"/>
        <v/>
      </c>
      <c r="N164" s="287">
        <f>IF(C164="Sale",SUMIFS($D$4:D164,$B$4:B164,B164,$C$4:C164,"")+SUMIFS($D$4:D164,$B$4:B164,B164,$C$4:C164,"Purch")-SUMIFS($D$4:D164,$B$4:B164,B164,$C$4:C164,"Sale"),0)</f>
        <v>0</v>
      </c>
    </row>
    <row r="165" spans="1:14" x14ac:dyDescent="0.2">
      <c r="A165" s="152"/>
      <c r="B165" s="132"/>
      <c r="C165" s="132"/>
      <c r="D165" s="277"/>
      <c r="E165" s="132"/>
      <c r="F165" s="170"/>
      <c r="G165" s="150"/>
      <c r="H165" s="152"/>
      <c r="I165" s="204"/>
      <c r="J165" s="285"/>
      <c r="K165" s="251"/>
      <c r="L165" s="133" t="str">
        <f>IF(AND(I165&lt;&gt;"",ISERROR(IF(ISERROR(VLOOKUP(I165*1,Summary!$C$8:$C$153,1,0)),VLOOKUP(I165,Summary!$C$8:$C$153,1,0),VLOOKUP(I165*1,Summary!$C$8:$C$153,1,0)))),"Add account Number to Summary","")</f>
        <v/>
      </c>
      <c r="M165" s="131" t="str">
        <f t="shared" si="2"/>
        <v/>
      </c>
      <c r="N165" s="287">
        <f>IF(C165="Sale",SUMIFS($D$4:D165,$B$4:B165,B165,$C$4:C165,"")+SUMIFS($D$4:D165,$B$4:B165,B165,$C$4:C165,"Purch")-SUMIFS($D$4:D165,$B$4:B165,B165,$C$4:C165,"Sale"),0)</f>
        <v>0</v>
      </c>
    </row>
    <row r="166" spans="1:14" x14ac:dyDescent="0.2">
      <c r="A166" s="152"/>
      <c r="B166" s="132"/>
      <c r="C166" s="132"/>
      <c r="D166" s="277"/>
      <c r="E166" s="132"/>
      <c r="F166" s="170"/>
      <c r="G166" s="150"/>
      <c r="H166" s="152"/>
      <c r="I166" s="204"/>
      <c r="J166" s="285"/>
      <c r="K166" s="251"/>
      <c r="L166" s="133" t="str">
        <f>IF(AND(I166&lt;&gt;"",ISERROR(IF(ISERROR(VLOOKUP(I166*1,Summary!$C$8:$C$153,1,0)),VLOOKUP(I166,Summary!$C$8:$C$153,1,0),VLOOKUP(I166*1,Summary!$C$8:$C$153,1,0)))),"Add account Number to Summary","")</f>
        <v/>
      </c>
      <c r="M166" s="131" t="str">
        <f t="shared" si="2"/>
        <v/>
      </c>
      <c r="N166" s="287">
        <f>IF(C166="Sale",SUMIFS($D$4:D166,$B$4:B166,B166,$C$4:C166,"")+SUMIFS($D$4:D166,$B$4:B166,B166,$C$4:C166,"Purch")-SUMIFS($D$4:D166,$B$4:B166,B166,$C$4:C166,"Sale"),0)</f>
        <v>0</v>
      </c>
    </row>
    <row r="167" spans="1:14" x14ac:dyDescent="0.2">
      <c r="A167" s="152"/>
      <c r="B167" s="132"/>
      <c r="C167" s="132"/>
      <c r="D167" s="277"/>
      <c r="E167" s="132"/>
      <c r="F167" s="170"/>
      <c r="G167" s="150"/>
      <c r="H167" s="152"/>
      <c r="I167" s="204"/>
      <c r="J167" s="285"/>
      <c r="K167" s="251"/>
      <c r="L167" s="133" t="str">
        <f>IF(AND(I167&lt;&gt;"",ISERROR(IF(ISERROR(VLOOKUP(I167*1,Summary!$C$8:$C$153,1,0)),VLOOKUP(I167,Summary!$C$8:$C$153,1,0),VLOOKUP(I167*1,Summary!$C$8:$C$153,1,0)))),"Add account Number to Summary","")</f>
        <v/>
      </c>
      <c r="M167" s="131" t="str">
        <f t="shared" si="2"/>
        <v/>
      </c>
      <c r="N167" s="287">
        <f>IF(C167="Sale",SUMIFS($D$4:D167,$B$4:B167,B167,$C$4:C167,"")+SUMIFS($D$4:D167,$B$4:B167,B167,$C$4:C167,"Purch")-SUMIFS($D$4:D167,$B$4:B167,B167,$C$4:C167,"Sale"),0)</f>
        <v>0</v>
      </c>
    </row>
    <row r="168" spans="1:14" x14ac:dyDescent="0.2">
      <c r="A168" s="152"/>
      <c r="B168" s="132"/>
      <c r="C168" s="132"/>
      <c r="D168" s="277"/>
      <c r="E168" s="132"/>
      <c r="F168" s="170"/>
      <c r="G168" s="150"/>
      <c r="H168" s="152"/>
      <c r="I168" s="204"/>
      <c r="J168" s="285"/>
      <c r="K168" s="251"/>
      <c r="L168" s="133" t="str">
        <f>IF(AND(I168&lt;&gt;"",ISERROR(IF(ISERROR(VLOOKUP(I168*1,Summary!$C$8:$C$153,1,0)),VLOOKUP(I168,Summary!$C$8:$C$153,1,0),VLOOKUP(I168*1,Summary!$C$8:$C$153,1,0)))),"Add account Number to Summary","")</f>
        <v/>
      </c>
      <c r="M168" s="131" t="str">
        <f t="shared" si="2"/>
        <v/>
      </c>
      <c r="N168" s="287">
        <f>IF(C168="Sale",SUMIFS($D$4:D168,$B$4:B168,B168,$C$4:C168,"")+SUMIFS($D$4:D168,$B$4:B168,B168,$C$4:C168,"Purch")-SUMIFS($D$4:D168,$B$4:B168,B168,$C$4:C168,"Sale"),0)</f>
        <v>0</v>
      </c>
    </row>
    <row r="169" spans="1:14" x14ac:dyDescent="0.2">
      <c r="A169" s="152"/>
      <c r="B169" s="132"/>
      <c r="C169" s="132"/>
      <c r="D169" s="277"/>
      <c r="E169" s="132"/>
      <c r="F169" s="170"/>
      <c r="G169" s="150"/>
      <c r="H169" s="152"/>
      <c r="I169" s="204"/>
      <c r="J169" s="285"/>
      <c r="K169" s="251"/>
      <c r="L169" s="133" t="str">
        <f>IF(AND(I169&lt;&gt;"",ISERROR(IF(ISERROR(VLOOKUP(I169*1,Summary!$C$8:$C$153,1,0)),VLOOKUP(I169,Summary!$C$8:$C$153,1,0),VLOOKUP(I169*1,Summary!$C$8:$C$153,1,0)))),"Add account Number to Summary","")</f>
        <v/>
      </c>
      <c r="M169" s="131" t="str">
        <f t="shared" si="2"/>
        <v/>
      </c>
      <c r="N169" s="287">
        <f>IF(C169="Sale",SUMIFS($D$4:D169,$B$4:B169,B169,$C$4:C169,"")+SUMIFS($D$4:D169,$B$4:B169,B169,$C$4:C169,"Purch")-SUMIFS($D$4:D169,$B$4:B169,B169,$C$4:C169,"Sale"),0)</f>
        <v>0</v>
      </c>
    </row>
    <row r="170" spans="1:14" x14ac:dyDescent="0.2">
      <c r="A170" s="152"/>
      <c r="B170" s="132"/>
      <c r="C170" s="132"/>
      <c r="D170" s="277"/>
      <c r="E170" s="132"/>
      <c r="F170" s="170"/>
      <c r="G170" s="150"/>
      <c r="H170" s="152"/>
      <c r="I170" s="204"/>
      <c r="J170" s="285"/>
      <c r="K170" s="251"/>
      <c r="L170" s="133" t="str">
        <f>IF(AND(I170&lt;&gt;"",ISERROR(IF(ISERROR(VLOOKUP(I170*1,Summary!$C$8:$C$153,1,0)),VLOOKUP(I170,Summary!$C$8:$C$153,1,0),VLOOKUP(I170*1,Summary!$C$8:$C$153,1,0)))),"Add account Number to Summary","")</f>
        <v/>
      </c>
      <c r="M170" s="131" t="str">
        <f t="shared" si="2"/>
        <v/>
      </c>
      <c r="N170" s="287">
        <f>IF(C170="Sale",SUMIFS($D$4:D170,$B$4:B170,B170,$C$4:C170,"")+SUMIFS($D$4:D170,$B$4:B170,B170,$C$4:C170,"Purch")-SUMIFS($D$4:D170,$B$4:B170,B170,$C$4:C170,"Sale"),0)</f>
        <v>0</v>
      </c>
    </row>
    <row r="171" spans="1:14" x14ac:dyDescent="0.2">
      <c r="A171" s="152"/>
      <c r="B171" s="132"/>
      <c r="C171" s="132"/>
      <c r="D171" s="277"/>
      <c r="E171" s="132"/>
      <c r="F171" s="170"/>
      <c r="G171" s="150"/>
      <c r="H171" s="152"/>
      <c r="I171" s="204"/>
      <c r="J171" s="285"/>
      <c r="K171" s="251"/>
      <c r="L171" s="133" t="str">
        <f>IF(AND(I171&lt;&gt;"",ISERROR(IF(ISERROR(VLOOKUP(I171*1,Summary!$C$8:$C$153,1,0)),VLOOKUP(I171,Summary!$C$8:$C$153,1,0),VLOOKUP(I171*1,Summary!$C$8:$C$153,1,0)))),"Add account Number to Summary","")</f>
        <v/>
      </c>
      <c r="M171" s="131" t="str">
        <f t="shared" si="2"/>
        <v/>
      </c>
      <c r="N171" s="287">
        <f>IF(C171="Sale",SUMIFS($D$4:D171,$B$4:B171,B171,$C$4:C171,"")+SUMIFS($D$4:D171,$B$4:B171,B171,$C$4:C171,"Purch")-SUMIFS($D$4:D171,$B$4:B171,B171,$C$4:C171,"Sale"),0)</f>
        <v>0</v>
      </c>
    </row>
    <row r="172" spans="1:14" x14ac:dyDescent="0.2">
      <c r="A172" s="152"/>
      <c r="B172" s="132"/>
      <c r="C172" s="132"/>
      <c r="D172" s="277"/>
      <c r="E172" s="132"/>
      <c r="F172" s="170"/>
      <c r="G172" s="150"/>
      <c r="H172" s="152"/>
      <c r="I172" s="204"/>
      <c r="J172" s="285"/>
      <c r="K172" s="251"/>
      <c r="L172" s="133" t="str">
        <f>IF(AND(I172&lt;&gt;"",ISERROR(IF(ISERROR(VLOOKUP(I172*1,Summary!$C$8:$C$153,1,0)),VLOOKUP(I172,Summary!$C$8:$C$153,1,0),VLOOKUP(I172*1,Summary!$C$8:$C$153,1,0)))),"Add account Number to Summary","")</f>
        <v/>
      </c>
      <c r="M172" s="131" t="str">
        <f t="shared" ref="M172:M235" si="3">IF(K172="Yes",IF(YEAR(A172)&lt;&gt;YEAR(date),"Check Date",""),"")</f>
        <v/>
      </c>
      <c r="N172" s="287">
        <f>IF(C172="Sale",SUMIFS($D$4:D172,$B$4:B172,B172,$C$4:C172,"")+SUMIFS($D$4:D172,$B$4:B172,B172,$C$4:C172,"Purch")-SUMIFS($D$4:D172,$B$4:B172,B172,$C$4:C172,"Sale"),0)</f>
        <v>0</v>
      </c>
    </row>
    <row r="173" spans="1:14" x14ac:dyDescent="0.2">
      <c r="A173" s="152"/>
      <c r="B173" s="132"/>
      <c r="C173" s="132"/>
      <c r="D173" s="277"/>
      <c r="E173" s="132"/>
      <c r="F173" s="170"/>
      <c r="G173" s="150"/>
      <c r="H173" s="152"/>
      <c r="I173" s="204"/>
      <c r="J173" s="285"/>
      <c r="K173" s="251"/>
      <c r="L173" s="133" t="str">
        <f>IF(AND(I173&lt;&gt;"",ISERROR(IF(ISERROR(VLOOKUP(I173*1,Summary!$C$8:$C$153,1,0)),VLOOKUP(I173,Summary!$C$8:$C$153,1,0),VLOOKUP(I173*1,Summary!$C$8:$C$153,1,0)))),"Add account Number to Summary","")</f>
        <v/>
      </c>
      <c r="M173" s="131" t="str">
        <f t="shared" si="3"/>
        <v/>
      </c>
      <c r="N173" s="287">
        <f>IF(C173="Sale",SUMIFS($D$4:D173,$B$4:B173,B173,$C$4:C173,"")+SUMIFS($D$4:D173,$B$4:B173,B173,$C$4:C173,"Purch")-SUMIFS($D$4:D173,$B$4:B173,B173,$C$4:C173,"Sale"),0)</f>
        <v>0</v>
      </c>
    </row>
    <row r="174" spans="1:14" x14ac:dyDescent="0.2">
      <c r="A174" s="152"/>
      <c r="B174" s="132"/>
      <c r="C174" s="132"/>
      <c r="D174" s="277"/>
      <c r="E174" s="132"/>
      <c r="F174" s="170"/>
      <c r="G174" s="150"/>
      <c r="H174" s="152"/>
      <c r="I174" s="204"/>
      <c r="J174" s="285"/>
      <c r="K174" s="251"/>
      <c r="L174" s="133" t="str">
        <f>IF(AND(I174&lt;&gt;"",ISERROR(IF(ISERROR(VLOOKUP(I174*1,Summary!$C$8:$C$153,1,0)),VLOOKUP(I174,Summary!$C$8:$C$153,1,0),VLOOKUP(I174*1,Summary!$C$8:$C$153,1,0)))),"Add account Number to Summary","")</f>
        <v/>
      </c>
      <c r="M174" s="131" t="str">
        <f t="shared" si="3"/>
        <v/>
      </c>
      <c r="N174" s="287">
        <f>IF(C174="Sale",SUMIFS($D$4:D174,$B$4:B174,B174,$C$4:C174,"")+SUMIFS($D$4:D174,$B$4:B174,B174,$C$4:C174,"Purch")-SUMIFS($D$4:D174,$B$4:B174,B174,$C$4:C174,"Sale"),0)</f>
        <v>0</v>
      </c>
    </row>
    <row r="175" spans="1:14" x14ac:dyDescent="0.2">
      <c r="A175" s="152"/>
      <c r="B175" s="132"/>
      <c r="C175" s="132"/>
      <c r="D175" s="277"/>
      <c r="E175" s="132"/>
      <c r="F175" s="170"/>
      <c r="G175" s="150"/>
      <c r="H175" s="152"/>
      <c r="I175" s="204"/>
      <c r="J175" s="285"/>
      <c r="K175" s="251"/>
      <c r="L175" s="133" t="str">
        <f>IF(AND(I175&lt;&gt;"",ISERROR(IF(ISERROR(VLOOKUP(I175*1,Summary!$C$8:$C$153,1,0)),VLOOKUP(I175,Summary!$C$8:$C$153,1,0),VLOOKUP(I175*1,Summary!$C$8:$C$153,1,0)))),"Add account Number to Summary","")</f>
        <v/>
      </c>
      <c r="M175" s="131" t="str">
        <f t="shared" si="3"/>
        <v/>
      </c>
      <c r="N175" s="287">
        <f>IF(C175="Sale",SUMIFS($D$4:D175,$B$4:B175,B175,$C$4:C175,"")+SUMIFS($D$4:D175,$B$4:B175,B175,$C$4:C175,"Purch")-SUMIFS($D$4:D175,$B$4:B175,B175,$C$4:C175,"Sale"),0)</f>
        <v>0</v>
      </c>
    </row>
    <row r="176" spans="1:14" x14ac:dyDescent="0.2">
      <c r="A176" s="152"/>
      <c r="B176" s="132"/>
      <c r="C176" s="132"/>
      <c r="D176" s="277"/>
      <c r="E176" s="132"/>
      <c r="F176" s="170"/>
      <c r="G176" s="150"/>
      <c r="H176" s="152"/>
      <c r="I176" s="204"/>
      <c r="J176" s="285"/>
      <c r="K176" s="251"/>
      <c r="L176" s="133" t="str">
        <f>IF(AND(I176&lt;&gt;"",ISERROR(IF(ISERROR(VLOOKUP(I176*1,Summary!$C$8:$C$153,1,0)),VLOOKUP(I176,Summary!$C$8:$C$153,1,0),VLOOKUP(I176*1,Summary!$C$8:$C$153,1,0)))),"Add account Number to Summary","")</f>
        <v/>
      </c>
      <c r="M176" s="131" t="str">
        <f t="shared" si="3"/>
        <v/>
      </c>
      <c r="N176" s="287">
        <f>IF(C176="Sale",SUMIFS($D$4:D176,$B$4:B176,B176,$C$4:C176,"")+SUMIFS($D$4:D176,$B$4:B176,B176,$C$4:C176,"Purch")-SUMIFS($D$4:D176,$B$4:B176,B176,$C$4:C176,"Sale"),0)</f>
        <v>0</v>
      </c>
    </row>
    <row r="177" spans="1:14" x14ac:dyDescent="0.2">
      <c r="A177" s="152"/>
      <c r="B177" s="132"/>
      <c r="C177" s="132"/>
      <c r="D177" s="277"/>
      <c r="E177" s="132"/>
      <c r="F177" s="170"/>
      <c r="G177" s="150"/>
      <c r="H177" s="152"/>
      <c r="I177" s="204"/>
      <c r="J177" s="285"/>
      <c r="K177" s="251"/>
      <c r="L177" s="133" t="str">
        <f>IF(AND(I177&lt;&gt;"",ISERROR(IF(ISERROR(VLOOKUP(I177*1,Summary!$C$8:$C$153,1,0)),VLOOKUP(I177,Summary!$C$8:$C$153,1,0),VLOOKUP(I177*1,Summary!$C$8:$C$153,1,0)))),"Add account Number to Summary","")</f>
        <v/>
      </c>
      <c r="M177" s="131" t="str">
        <f t="shared" si="3"/>
        <v/>
      </c>
      <c r="N177" s="287">
        <f>IF(C177="Sale",SUMIFS($D$4:D177,$B$4:B177,B177,$C$4:C177,"")+SUMIFS($D$4:D177,$B$4:B177,B177,$C$4:C177,"Purch")-SUMIFS($D$4:D177,$B$4:B177,B177,$C$4:C177,"Sale"),0)</f>
        <v>0</v>
      </c>
    </row>
    <row r="178" spans="1:14" x14ac:dyDescent="0.2">
      <c r="A178" s="152"/>
      <c r="B178" s="132"/>
      <c r="C178" s="132"/>
      <c r="D178" s="277"/>
      <c r="E178" s="132"/>
      <c r="F178" s="170"/>
      <c r="G178" s="150"/>
      <c r="H178" s="152"/>
      <c r="I178" s="204"/>
      <c r="J178" s="285"/>
      <c r="K178" s="251"/>
      <c r="L178" s="133" t="str">
        <f>IF(AND(I178&lt;&gt;"",ISERROR(IF(ISERROR(VLOOKUP(I178*1,Summary!$C$8:$C$153,1,0)),VLOOKUP(I178,Summary!$C$8:$C$153,1,0),VLOOKUP(I178*1,Summary!$C$8:$C$153,1,0)))),"Add account Number to Summary","")</f>
        <v/>
      </c>
      <c r="M178" s="131" t="str">
        <f t="shared" si="3"/>
        <v/>
      </c>
      <c r="N178" s="287">
        <f>IF(C178="Sale",SUMIFS($D$4:D178,$B$4:B178,B178,$C$4:C178,"")+SUMIFS($D$4:D178,$B$4:B178,B178,$C$4:C178,"Purch")-SUMIFS($D$4:D178,$B$4:B178,B178,$C$4:C178,"Sale"),0)</f>
        <v>0</v>
      </c>
    </row>
    <row r="179" spans="1:14" x14ac:dyDescent="0.2">
      <c r="A179" s="152"/>
      <c r="B179" s="132"/>
      <c r="C179" s="132"/>
      <c r="D179" s="277"/>
      <c r="E179" s="132"/>
      <c r="F179" s="170"/>
      <c r="G179" s="150"/>
      <c r="H179" s="152"/>
      <c r="I179" s="204"/>
      <c r="J179" s="285"/>
      <c r="K179" s="251"/>
      <c r="L179" s="133" t="str">
        <f>IF(AND(I179&lt;&gt;"",ISERROR(IF(ISERROR(VLOOKUP(I179*1,Summary!$C$8:$C$153,1,0)),VLOOKUP(I179,Summary!$C$8:$C$153,1,0),VLOOKUP(I179*1,Summary!$C$8:$C$153,1,0)))),"Add account Number to Summary","")</f>
        <v/>
      </c>
      <c r="M179" s="131" t="str">
        <f t="shared" si="3"/>
        <v/>
      </c>
      <c r="N179" s="287">
        <f>IF(C179="Sale",SUMIFS($D$4:D179,$B$4:B179,B179,$C$4:C179,"")+SUMIFS($D$4:D179,$B$4:B179,B179,$C$4:C179,"Purch")-SUMIFS($D$4:D179,$B$4:B179,B179,$C$4:C179,"Sale"),0)</f>
        <v>0</v>
      </c>
    </row>
    <row r="180" spans="1:14" x14ac:dyDescent="0.2">
      <c r="A180" s="152"/>
      <c r="B180" s="132"/>
      <c r="C180" s="132"/>
      <c r="D180" s="277"/>
      <c r="E180" s="132"/>
      <c r="F180" s="170"/>
      <c r="G180" s="150"/>
      <c r="H180" s="152"/>
      <c r="I180" s="204"/>
      <c r="J180" s="285"/>
      <c r="K180" s="251"/>
      <c r="L180" s="133" t="str">
        <f>IF(AND(I180&lt;&gt;"",ISERROR(IF(ISERROR(VLOOKUP(I180*1,Summary!$C$8:$C$153,1,0)),VLOOKUP(I180,Summary!$C$8:$C$153,1,0),VLOOKUP(I180*1,Summary!$C$8:$C$153,1,0)))),"Add account Number to Summary","")</f>
        <v/>
      </c>
      <c r="M180" s="131" t="str">
        <f t="shared" si="3"/>
        <v/>
      </c>
      <c r="N180" s="287">
        <f>IF(C180="Sale",SUMIFS($D$4:D180,$B$4:B180,B180,$C$4:C180,"")+SUMIFS($D$4:D180,$B$4:B180,B180,$C$4:C180,"Purch")-SUMIFS($D$4:D180,$B$4:B180,B180,$C$4:C180,"Sale"),0)</f>
        <v>0</v>
      </c>
    </row>
    <row r="181" spans="1:14" x14ac:dyDescent="0.2">
      <c r="A181" s="152"/>
      <c r="B181" s="132"/>
      <c r="C181" s="132"/>
      <c r="D181" s="277"/>
      <c r="E181" s="132"/>
      <c r="F181" s="170"/>
      <c r="G181" s="150"/>
      <c r="H181" s="152"/>
      <c r="I181" s="204"/>
      <c r="J181" s="285"/>
      <c r="K181" s="251"/>
      <c r="L181" s="133" t="str">
        <f>IF(AND(I181&lt;&gt;"",ISERROR(IF(ISERROR(VLOOKUP(I181*1,Summary!$C$8:$C$153,1,0)),VLOOKUP(I181,Summary!$C$8:$C$153,1,0),VLOOKUP(I181*1,Summary!$C$8:$C$153,1,0)))),"Add account Number to Summary","")</f>
        <v/>
      </c>
      <c r="M181" s="131" t="str">
        <f t="shared" si="3"/>
        <v/>
      </c>
      <c r="N181" s="287">
        <f>IF(C181="Sale",SUMIFS($D$4:D181,$B$4:B181,B181,$C$4:C181,"")+SUMIFS($D$4:D181,$B$4:B181,B181,$C$4:C181,"Purch")-SUMIFS($D$4:D181,$B$4:B181,B181,$C$4:C181,"Sale"),0)</f>
        <v>0</v>
      </c>
    </row>
    <row r="182" spans="1:14" x14ac:dyDescent="0.2">
      <c r="A182" s="152"/>
      <c r="B182" s="132"/>
      <c r="C182" s="132"/>
      <c r="D182" s="277"/>
      <c r="E182" s="132"/>
      <c r="F182" s="170"/>
      <c r="G182" s="150"/>
      <c r="H182" s="152"/>
      <c r="I182" s="204"/>
      <c r="J182" s="285"/>
      <c r="K182" s="251"/>
      <c r="L182" s="133" t="str">
        <f>IF(AND(I182&lt;&gt;"",ISERROR(IF(ISERROR(VLOOKUP(I182*1,Summary!$C$8:$C$153,1,0)),VLOOKUP(I182,Summary!$C$8:$C$153,1,0),VLOOKUP(I182*1,Summary!$C$8:$C$153,1,0)))),"Add account Number to Summary","")</f>
        <v/>
      </c>
      <c r="M182" s="131" t="str">
        <f t="shared" si="3"/>
        <v/>
      </c>
      <c r="N182" s="287">
        <f>IF(C182="Sale",SUMIFS($D$4:D182,$B$4:B182,B182,$C$4:C182,"")+SUMIFS($D$4:D182,$B$4:B182,B182,$C$4:C182,"Purch")-SUMIFS($D$4:D182,$B$4:B182,B182,$C$4:C182,"Sale"),0)</f>
        <v>0</v>
      </c>
    </row>
    <row r="183" spans="1:14" x14ac:dyDescent="0.2">
      <c r="A183" s="152"/>
      <c r="B183" s="132"/>
      <c r="C183" s="132"/>
      <c r="D183" s="277"/>
      <c r="E183" s="132"/>
      <c r="F183" s="170"/>
      <c r="G183" s="150"/>
      <c r="H183" s="152"/>
      <c r="I183" s="204"/>
      <c r="J183" s="285"/>
      <c r="K183" s="251"/>
      <c r="L183" s="133" t="str">
        <f>IF(AND(I183&lt;&gt;"",ISERROR(IF(ISERROR(VLOOKUP(I183*1,Summary!$C$8:$C$153,1,0)),VLOOKUP(I183,Summary!$C$8:$C$153,1,0),VLOOKUP(I183*1,Summary!$C$8:$C$153,1,0)))),"Add account Number to Summary","")</f>
        <v/>
      </c>
      <c r="M183" s="131" t="str">
        <f t="shared" si="3"/>
        <v/>
      </c>
      <c r="N183" s="287">
        <f>IF(C183="Sale",SUMIFS($D$4:D183,$B$4:B183,B183,$C$4:C183,"")+SUMIFS($D$4:D183,$B$4:B183,B183,$C$4:C183,"Purch")-SUMIFS($D$4:D183,$B$4:B183,B183,$C$4:C183,"Sale"),0)</f>
        <v>0</v>
      </c>
    </row>
    <row r="184" spans="1:14" x14ac:dyDescent="0.2">
      <c r="A184" s="152"/>
      <c r="B184" s="132"/>
      <c r="C184" s="132"/>
      <c r="D184" s="277"/>
      <c r="E184" s="132"/>
      <c r="F184" s="170"/>
      <c r="G184" s="150"/>
      <c r="H184" s="152"/>
      <c r="I184" s="204"/>
      <c r="J184" s="285"/>
      <c r="K184" s="251"/>
      <c r="L184" s="133" t="str">
        <f>IF(AND(I184&lt;&gt;"",ISERROR(IF(ISERROR(VLOOKUP(I184*1,Summary!$C$8:$C$153,1,0)),VLOOKUP(I184,Summary!$C$8:$C$153,1,0),VLOOKUP(I184*1,Summary!$C$8:$C$153,1,0)))),"Add account Number to Summary","")</f>
        <v/>
      </c>
      <c r="M184" s="131" t="str">
        <f t="shared" si="3"/>
        <v/>
      </c>
      <c r="N184" s="287">
        <f>IF(C184="Sale",SUMIFS($D$4:D184,$B$4:B184,B184,$C$4:C184,"")+SUMIFS($D$4:D184,$B$4:B184,B184,$C$4:C184,"Purch")-SUMIFS($D$4:D184,$B$4:B184,B184,$C$4:C184,"Sale"),0)</f>
        <v>0</v>
      </c>
    </row>
    <row r="185" spans="1:14" x14ac:dyDescent="0.2">
      <c r="A185" s="152"/>
      <c r="B185" s="132"/>
      <c r="C185" s="132"/>
      <c r="D185" s="277"/>
      <c r="E185" s="132"/>
      <c r="F185" s="170"/>
      <c r="G185" s="150"/>
      <c r="H185" s="152"/>
      <c r="I185" s="204"/>
      <c r="J185" s="285"/>
      <c r="K185" s="251"/>
      <c r="L185" s="133" t="str">
        <f>IF(AND(I185&lt;&gt;"",ISERROR(IF(ISERROR(VLOOKUP(I185*1,Summary!$C$8:$C$153,1,0)),VLOOKUP(I185,Summary!$C$8:$C$153,1,0),VLOOKUP(I185*1,Summary!$C$8:$C$153,1,0)))),"Add account Number to Summary","")</f>
        <v/>
      </c>
      <c r="M185" s="131" t="str">
        <f t="shared" si="3"/>
        <v/>
      </c>
      <c r="N185" s="287">
        <f>IF(C185="Sale",SUMIFS($D$4:D185,$B$4:B185,B185,$C$4:C185,"")+SUMIFS($D$4:D185,$B$4:B185,B185,$C$4:C185,"Purch")-SUMIFS($D$4:D185,$B$4:B185,B185,$C$4:C185,"Sale"),0)</f>
        <v>0</v>
      </c>
    </row>
    <row r="186" spans="1:14" x14ac:dyDescent="0.2">
      <c r="A186" s="152"/>
      <c r="B186" s="132"/>
      <c r="C186" s="132"/>
      <c r="D186" s="277"/>
      <c r="E186" s="132"/>
      <c r="F186" s="170"/>
      <c r="G186" s="150"/>
      <c r="H186" s="152"/>
      <c r="I186" s="204"/>
      <c r="J186" s="285"/>
      <c r="K186" s="251"/>
      <c r="L186" s="133" t="str">
        <f>IF(AND(I186&lt;&gt;"",ISERROR(IF(ISERROR(VLOOKUP(I186*1,Summary!$C$8:$C$153,1,0)),VLOOKUP(I186,Summary!$C$8:$C$153,1,0),VLOOKUP(I186*1,Summary!$C$8:$C$153,1,0)))),"Add account Number to Summary","")</f>
        <v/>
      </c>
      <c r="M186" s="131" t="str">
        <f t="shared" si="3"/>
        <v/>
      </c>
      <c r="N186" s="287">
        <f>IF(C186="Sale",SUMIFS($D$4:D186,$B$4:B186,B186,$C$4:C186,"")+SUMIFS($D$4:D186,$B$4:B186,B186,$C$4:C186,"Purch")-SUMIFS($D$4:D186,$B$4:B186,B186,$C$4:C186,"Sale"),0)</f>
        <v>0</v>
      </c>
    </row>
    <row r="187" spans="1:14" x14ac:dyDescent="0.2">
      <c r="A187" s="152"/>
      <c r="B187" s="132"/>
      <c r="C187" s="132"/>
      <c r="D187" s="277"/>
      <c r="E187" s="132"/>
      <c r="F187" s="170"/>
      <c r="G187" s="150"/>
      <c r="H187" s="152"/>
      <c r="I187" s="204"/>
      <c r="J187" s="285"/>
      <c r="K187" s="251"/>
      <c r="L187" s="133" t="str">
        <f>IF(AND(I187&lt;&gt;"",ISERROR(IF(ISERROR(VLOOKUP(I187*1,Summary!$C$8:$C$153,1,0)),VLOOKUP(I187,Summary!$C$8:$C$153,1,0),VLOOKUP(I187*1,Summary!$C$8:$C$153,1,0)))),"Add account Number to Summary","")</f>
        <v/>
      </c>
      <c r="M187" s="131" t="str">
        <f t="shared" si="3"/>
        <v/>
      </c>
      <c r="N187" s="287">
        <f>IF(C187="Sale",SUMIFS($D$4:D187,$B$4:B187,B187,$C$4:C187,"")+SUMIFS($D$4:D187,$B$4:B187,B187,$C$4:C187,"Purch")-SUMIFS($D$4:D187,$B$4:B187,B187,$C$4:C187,"Sale"),0)</f>
        <v>0</v>
      </c>
    </row>
    <row r="188" spans="1:14" x14ac:dyDescent="0.2">
      <c r="A188" s="152"/>
      <c r="B188" s="132"/>
      <c r="C188" s="132"/>
      <c r="D188" s="277"/>
      <c r="E188" s="132"/>
      <c r="F188" s="170"/>
      <c r="G188" s="150"/>
      <c r="H188" s="152"/>
      <c r="I188" s="204"/>
      <c r="J188" s="285"/>
      <c r="K188" s="251"/>
      <c r="L188" s="133" t="str">
        <f>IF(AND(I188&lt;&gt;"",ISERROR(IF(ISERROR(VLOOKUP(I188*1,Summary!$C$8:$C$153,1,0)),VLOOKUP(I188,Summary!$C$8:$C$153,1,0),VLOOKUP(I188*1,Summary!$C$8:$C$153,1,0)))),"Add account Number to Summary","")</f>
        <v/>
      </c>
      <c r="M188" s="131" t="str">
        <f t="shared" si="3"/>
        <v/>
      </c>
      <c r="N188" s="287">
        <f>IF(C188="Sale",SUMIFS($D$4:D188,$B$4:B188,B188,$C$4:C188,"")+SUMIFS($D$4:D188,$B$4:B188,B188,$C$4:C188,"Purch")-SUMIFS($D$4:D188,$B$4:B188,B188,$C$4:C188,"Sale"),0)</f>
        <v>0</v>
      </c>
    </row>
    <row r="189" spans="1:14" x14ac:dyDescent="0.2">
      <c r="A189" s="152"/>
      <c r="B189" s="132"/>
      <c r="C189" s="132"/>
      <c r="D189" s="277"/>
      <c r="E189" s="132"/>
      <c r="F189" s="170"/>
      <c r="G189" s="150"/>
      <c r="H189" s="152"/>
      <c r="I189" s="204"/>
      <c r="J189" s="285"/>
      <c r="K189" s="251"/>
      <c r="L189" s="133" t="str">
        <f>IF(AND(I189&lt;&gt;"",ISERROR(IF(ISERROR(VLOOKUP(I189*1,Summary!$C$8:$C$153,1,0)),VLOOKUP(I189,Summary!$C$8:$C$153,1,0),VLOOKUP(I189*1,Summary!$C$8:$C$153,1,0)))),"Add account Number to Summary","")</f>
        <v/>
      </c>
      <c r="M189" s="131" t="str">
        <f t="shared" si="3"/>
        <v/>
      </c>
      <c r="N189" s="287">
        <f>IF(C189="Sale",SUMIFS($D$4:D189,$B$4:B189,B189,$C$4:C189,"")+SUMIFS($D$4:D189,$B$4:B189,B189,$C$4:C189,"Purch")-SUMIFS($D$4:D189,$B$4:B189,B189,$C$4:C189,"Sale"),0)</f>
        <v>0</v>
      </c>
    </row>
    <row r="190" spans="1:14" x14ac:dyDescent="0.2">
      <c r="A190" s="152"/>
      <c r="B190" s="132"/>
      <c r="C190" s="132"/>
      <c r="D190" s="277"/>
      <c r="E190" s="132"/>
      <c r="F190" s="170"/>
      <c r="G190" s="150"/>
      <c r="H190" s="152"/>
      <c r="I190" s="204"/>
      <c r="J190" s="285"/>
      <c r="K190" s="251"/>
      <c r="L190" s="133" t="str">
        <f>IF(AND(I190&lt;&gt;"",ISERROR(IF(ISERROR(VLOOKUP(I190*1,Summary!$C$8:$C$153,1,0)),VLOOKUP(I190,Summary!$C$8:$C$153,1,0),VLOOKUP(I190*1,Summary!$C$8:$C$153,1,0)))),"Add account Number to Summary","")</f>
        <v/>
      </c>
      <c r="M190" s="131" t="str">
        <f t="shared" si="3"/>
        <v/>
      </c>
      <c r="N190" s="287">
        <f>IF(C190="Sale",SUMIFS($D$4:D190,$B$4:B190,B190,$C$4:C190,"")+SUMIFS($D$4:D190,$B$4:B190,B190,$C$4:C190,"Purch")-SUMIFS($D$4:D190,$B$4:B190,B190,$C$4:C190,"Sale"),0)</f>
        <v>0</v>
      </c>
    </row>
    <row r="191" spans="1:14" x14ac:dyDescent="0.2">
      <c r="A191" s="152"/>
      <c r="B191" s="132"/>
      <c r="C191" s="132"/>
      <c r="D191" s="277"/>
      <c r="E191" s="132"/>
      <c r="F191" s="170"/>
      <c r="G191" s="150"/>
      <c r="H191" s="152"/>
      <c r="I191" s="204"/>
      <c r="J191" s="285"/>
      <c r="K191" s="251"/>
      <c r="L191" s="133" t="str">
        <f>IF(AND(I191&lt;&gt;"",ISERROR(IF(ISERROR(VLOOKUP(I191*1,Summary!$C$8:$C$153,1,0)),VLOOKUP(I191,Summary!$C$8:$C$153,1,0),VLOOKUP(I191*1,Summary!$C$8:$C$153,1,0)))),"Add account Number to Summary","")</f>
        <v/>
      </c>
      <c r="M191" s="131" t="str">
        <f t="shared" si="3"/>
        <v/>
      </c>
      <c r="N191" s="287">
        <f>IF(C191="Sale",SUMIFS($D$4:D191,$B$4:B191,B191,$C$4:C191,"")+SUMIFS($D$4:D191,$B$4:B191,B191,$C$4:C191,"Purch")-SUMIFS($D$4:D191,$B$4:B191,B191,$C$4:C191,"Sale"),0)</f>
        <v>0</v>
      </c>
    </row>
    <row r="192" spans="1:14" x14ac:dyDescent="0.2">
      <c r="A192" s="152"/>
      <c r="B192" s="132"/>
      <c r="C192" s="132"/>
      <c r="D192" s="277"/>
      <c r="E192" s="132"/>
      <c r="F192" s="170"/>
      <c r="G192" s="150"/>
      <c r="H192" s="152"/>
      <c r="I192" s="204"/>
      <c r="J192" s="285"/>
      <c r="K192" s="251"/>
      <c r="L192" s="133" t="str">
        <f>IF(AND(I192&lt;&gt;"",ISERROR(IF(ISERROR(VLOOKUP(I192*1,Summary!$C$8:$C$153,1,0)),VLOOKUP(I192,Summary!$C$8:$C$153,1,0),VLOOKUP(I192*1,Summary!$C$8:$C$153,1,0)))),"Add account Number to Summary","")</f>
        <v/>
      </c>
      <c r="M192" s="131" t="str">
        <f t="shared" si="3"/>
        <v/>
      </c>
      <c r="N192" s="287">
        <f>IF(C192="Sale",SUMIFS($D$4:D192,$B$4:B192,B192,$C$4:C192,"")+SUMIFS($D$4:D192,$B$4:B192,B192,$C$4:C192,"Purch")-SUMIFS($D$4:D192,$B$4:B192,B192,$C$4:C192,"Sale"),0)</f>
        <v>0</v>
      </c>
    </row>
    <row r="193" spans="1:14" x14ac:dyDescent="0.2">
      <c r="A193" s="152"/>
      <c r="B193" s="132"/>
      <c r="C193" s="132"/>
      <c r="D193" s="277"/>
      <c r="E193" s="132"/>
      <c r="F193" s="170"/>
      <c r="G193" s="150"/>
      <c r="H193" s="152"/>
      <c r="I193" s="204"/>
      <c r="J193" s="285"/>
      <c r="K193" s="251"/>
      <c r="L193" s="133" t="str">
        <f>IF(AND(I193&lt;&gt;"",ISERROR(IF(ISERROR(VLOOKUP(I193*1,Summary!$C$8:$C$153,1,0)),VLOOKUP(I193,Summary!$C$8:$C$153,1,0),VLOOKUP(I193*1,Summary!$C$8:$C$153,1,0)))),"Add account Number to Summary","")</f>
        <v/>
      </c>
      <c r="M193" s="131" t="str">
        <f t="shared" si="3"/>
        <v/>
      </c>
      <c r="N193" s="287">
        <f>IF(C193="Sale",SUMIFS($D$4:D193,$B$4:B193,B193,$C$4:C193,"")+SUMIFS($D$4:D193,$B$4:B193,B193,$C$4:C193,"Purch")-SUMIFS($D$4:D193,$B$4:B193,B193,$C$4:C193,"Sale"),0)</f>
        <v>0</v>
      </c>
    </row>
    <row r="194" spans="1:14" x14ac:dyDescent="0.2">
      <c r="A194" s="152"/>
      <c r="B194" s="132"/>
      <c r="C194" s="132"/>
      <c r="D194" s="277"/>
      <c r="E194" s="132"/>
      <c r="F194" s="170"/>
      <c r="G194" s="150"/>
      <c r="H194" s="152"/>
      <c r="I194" s="204"/>
      <c r="J194" s="285"/>
      <c r="K194" s="251"/>
      <c r="L194" s="133" t="str">
        <f>IF(AND(I194&lt;&gt;"",ISERROR(IF(ISERROR(VLOOKUP(I194*1,Summary!$C$8:$C$153,1,0)),VLOOKUP(I194,Summary!$C$8:$C$153,1,0),VLOOKUP(I194*1,Summary!$C$8:$C$153,1,0)))),"Add account Number to Summary","")</f>
        <v/>
      </c>
      <c r="M194" s="131" t="str">
        <f t="shared" si="3"/>
        <v/>
      </c>
      <c r="N194" s="287">
        <f>IF(C194="Sale",SUMIFS($D$4:D194,$B$4:B194,B194,$C$4:C194,"")+SUMIFS($D$4:D194,$B$4:B194,B194,$C$4:C194,"Purch")-SUMIFS($D$4:D194,$B$4:B194,B194,$C$4:C194,"Sale"),0)</f>
        <v>0</v>
      </c>
    </row>
    <row r="195" spans="1:14" x14ac:dyDescent="0.2">
      <c r="A195" s="152"/>
      <c r="B195" s="132"/>
      <c r="C195" s="132"/>
      <c r="D195" s="277"/>
      <c r="E195" s="132"/>
      <c r="F195" s="170"/>
      <c r="G195" s="150"/>
      <c r="H195" s="152"/>
      <c r="I195" s="204"/>
      <c r="J195" s="285"/>
      <c r="K195" s="251"/>
      <c r="L195" s="133" t="str">
        <f>IF(AND(I195&lt;&gt;"",ISERROR(IF(ISERROR(VLOOKUP(I195*1,Summary!$C$8:$C$153,1,0)),VLOOKUP(I195,Summary!$C$8:$C$153,1,0),VLOOKUP(I195*1,Summary!$C$8:$C$153,1,0)))),"Add account Number to Summary","")</f>
        <v/>
      </c>
      <c r="M195" s="131" t="str">
        <f t="shared" si="3"/>
        <v/>
      </c>
      <c r="N195" s="287">
        <f>IF(C195="Sale",SUMIFS($D$4:D195,$B$4:B195,B195,$C$4:C195,"")+SUMIFS($D$4:D195,$B$4:B195,B195,$C$4:C195,"Purch")-SUMIFS($D$4:D195,$B$4:B195,B195,$C$4:C195,"Sale"),0)</f>
        <v>0</v>
      </c>
    </row>
    <row r="196" spans="1:14" x14ac:dyDescent="0.2">
      <c r="A196" s="152"/>
      <c r="B196" s="132"/>
      <c r="C196" s="132"/>
      <c r="D196" s="277"/>
      <c r="E196" s="132"/>
      <c r="F196" s="170"/>
      <c r="G196" s="150"/>
      <c r="H196" s="152"/>
      <c r="I196" s="204"/>
      <c r="J196" s="285"/>
      <c r="K196" s="251"/>
      <c r="L196" s="133" t="str">
        <f>IF(AND(I196&lt;&gt;"",ISERROR(IF(ISERROR(VLOOKUP(I196*1,Summary!$C$8:$C$153,1,0)),VLOOKUP(I196,Summary!$C$8:$C$153,1,0),VLOOKUP(I196*1,Summary!$C$8:$C$153,1,0)))),"Add account Number to Summary","")</f>
        <v/>
      </c>
      <c r="M196" s="131" t="str">
        <f t="shared" si="3"/>
        <v/>
      </c>
      <c r="N196" s="287">
        <f>IF(C196="Sale",SUMIFS($D$4:D196,$B$4:B196,B196,$C$4:C196,"")+SUMIFS($D$4:D196,$B$4:B196,B196,$C$4:C196,"Purch")-SUMIFS($D$4:D196,$B$4:B196,B196,$C$4:C196,"Sale"),0)</f>
        <v>0</v>
      </c>
    </row>
    <row r="197" spans="1:14" x14ac:dyDescent="0.2">
      <c r="A197" s="152"/>
      <c r="B197" s="132"/>
      <c r="C197" s="132"/>
      <c r="D197" s="277"/>
      <c r="E197" s="132"/>
      <c r="F197" s="170"/>
      <c r="G197" s="150"/>
      <c r="H197" s="152"/>
      <c r="I197" s="204"/>
      <c r="J197" s="285"/>
      <c r="K197" s="251"/>
      <c r="L197" s="133" t="str">
        <f>IF(AND(I197&lt;&gt;"",ISERROR(IF(ISERROR(VLOOKUP(I197*1,Summary!$C$8:$C$153,1,0)),VLOOKUP(I197,Summary!$C$8:$C$153,1,0),VLOOKUP(I197*1,Summary!$C$8:$C$153,1,0)))),"Add account Number to Summary","")</f>
        <v/>
      </c>
      <c r="M197" s="131" t="str">
        <f t="shared" si="3"/>
        <v/>
      </c>
      <c r="N197" s="287">
        <f>IF(C197="Sale",SUMIFS($D$4:D197,$B$4:B197,B197,$C$4:C197,"")+SUMIFS($D$4:D197,$B$4:B197,B197,$C$4:C197,"Purch")-SUMIFS($D$4:D197,$B$4:B197,B197,$C$4:C197,"Sale"),0)</f>
        <v>0</v>
      </c>
    </row>
    <row r="198" spans="1:14" x14ac:dyDescent="0.2">
      <c r="A198" s="152"/>
      <c r="B198" s="132"/>
      <c r="C198" s="132"/>
      <c r="D198" s="277"/>
      <c r="E198" s="132"/>
      <c r="F198" s="170"/>
      <c r="G198" s="150"/>
      <c r="H198" s="152"/>
      <c r="I198" s="204"/>
      <c r="J198" s="285"/>
      <c r="K198" s="251"/>
      <c r="L198" s="133" t="str">
        <f>IF(AND(I198&lt;&gt;"",ISERROR(IF(ISERROR(VLOOKUP(I198*1,Summary!$C$8:$C$153,1,0)),VLOOKUP(I198,Summary!$C$8:$C$153,1,0),VLOOKUP(I198*1,Summary!$C$8:$C$153,1,0)))),"Add account Number to Summary","")</f>
        <v/>
      </c>
      <c r="M198" s="131" t="str">
        <f t="shared" si="3"/>
        <v/>
      </c>
      <c r="N198" s="287">
        <f>IF(C198="Sale",SUMIFS($D$4:D198,$B$4:B198,B198,$C$4:C198,"")+SUMIFS($D$4:D198,$B$4:B198,B198,$C$4:C198,"Purch")-SUMIFS($D$4:D198,$B$4:B198,B198,$C$4:C198,"Sale"),0)</f>
        <v>0</v>
      </c>
    </row>
    <row r="199" spans="1:14" x14ac:dyDescent="0.2">
      <c r="A199" s="152"/>
      <c r="B199" s="132"/>
      <c r="C199" s="132"/>
      <c r="D199" s="277"/>
      <c r="E199" s="132"/>
      <c r="F199" s="170"/>
      <c r="G199" s="150"/>
      <c r="H199" s="152"/>
      <c r="I199" s="204"/>
      <c r="J199" s="285"/>
      <c r="K199" s="251"/>
      <c r="L199" s="133" t="str">
        <f>IF(AND(I199&lt;&gt;"",ISERROR(IF(ISERROR(VLOOKUP(I199*1,Summary!$C$8:$C$153,1,0)),VLOOKUP(I199,Summary!$C$8:$C$153,1,0),VLOOKUP(I199*1,Summary!$C$8:$C$153,1,0)))),"Add account Number to Summary","")</f>
        <v/>
      </c>
      <c r="M199" s="131" t="str">
        <f t="shared" si="3"/>
        <v/>
      </c>
      <c r="N199" s="287">
        <f>IF(C199="Sale",SUMIFS($D$4:D199,$B$4:B199,B199,$C$4:C199,"")+SUMIFS($D$4:D199,$B$4:B199,B199,$C$4:C199,"Purch")-SUMIFS($D$4:D199,$B$4:B199,B199,$C$4:C199,"Sale"),0)</f>
        <v>0</v>
      </c>
    </row>
    <row r="200" spans="1:14" x14ac:dyDescent="0.2">
      <c r="A200" s="152"/>
      <c r="B200" s="132"/>
      <c r="C200" s="132"/>
      <c r="D200" s="277"/>
      <c r="E200" s="132"/>
      <c r="F200" s="170"/>
      <c r="G200" s="150"/>
      <c r="H200" s="152"/>
      <c r="I200" s="204"/>
      <c r="J200" s="285"/>
      <c r="K200" s="251"/>
      <c r="L200" s="133" t="str">
        <f>IF(AND(I200&lt;&gt;"",ISERROR(IF(ISERROR(VLOOKUP(I200*1,Summary!$C$8:$C$153,1,0)),VLOOKUP(I200,Summary!$C$8:$C$153,1,0),VLOOKUP(I200*1,Summary!$C$8:$C$153,1,0)))),"Add account Number to Summary","")</f>
        <v/>
      </c>
      <c r="M200" s="131" t="str">
        <f t="shared" si="3"/>
        <v/>
      </c>
      <c r="N200" s="287">
        <f>IF(C200="Sale",SUMIFS($D$4:D200,$B$4:B200,B200,$C$4:C200,"")+SUMIFS($D$4:D200,$B$4:B200,B200,$C$4:C200,"Purch")-SUMIFS($D$4:D200,$B$4:B200,B200,$C$4:C200,"Sale"),0)</f>
        <v>0</v>
      </c>
    </row>
    <row r="201" spans="1:14" x14ac:dyDescent="0.2">
      <c r="A201" s="152"/>
      <c r="B201" s="132"/>
      <c r="C201" s="132"/>
      <c r="D201" s="277"/>
      <c r="E201" s="132"/>
      <c r="F201" s="170"/>
      <c r="G201" s="150"/>
      <c r="H201" s="152"/>
      <c r="I201" s="204"/>
      <c r="J201" s="285"/>
      <c r="K201" s="251"/>
      <c r="L201" s="133" t="str">
        <f>IF(AND(I201&lt;&gt;"",ISERROR(IF(ISERROR(VLOOKUP(I201*1,Summary!$C$8:$C$153,1,0)),VLOOKUP(I201,Summary!$C$8:$C$153,1,0),VLOOKUP(I201*1,Summary!$C$8:$C$153,1,0)))),"Add account Number to Summary","")</f>
        <v/>
      </c>
      <c r="M201" s="131" t="str">
        <f t="shared" si="3"/>
        <v/>
      </c>
      <c r="N201" s="287">
        <f>IF(C201="Sale",SUMIFS($D$4:D201,$B$4:B201,B201,$C$4:C201,"")+SUMIFS($D$4:D201,$B$4:B201,B201,$C$4:C201,"Purch")-SUMIFS($D$4:D201,$B$4:B201,B201,$C$4:C201,"Sale"),0)</f>
        <v>0</v>
      </c>
    </row>
    <row r="202" spans="1:14" x14ac:dyDescent="0.2">
      <c r="A202" s="152"/>
      <c r="B202" s="132"/>
      <c r="C202" s="132"/>
      <c r="D202" s="277"/>
      <c r="E202" s="132"/>
      <c r="F202" s="170"/>
      <c r="G202" s="150"/>
      <c r="H202" s="152"/>
      <c r="I202" s="204"/>
      <c r="J202" s="285"/>
      <c r="K202" s="251"/>
      <c r="L202" s="133" t="str">
        <f>IF(AND(I202&lt;&gt;"",ISERROR(IF(ISERROR(VLOOKUP(I202*1,Summary!$C$8:$C$153,1,0)),VLOOKUP(I202,Summary!$C$8:$C$153,1,0),VLOOKUP(I202*1,Summary!$C$8:$C$153,1,0)))),"Add account Number to Summary","")</f>
        <v/>
      </c>
      <c r="M202" s="131" t="str">
        <f t="shared" si="3"/>
        <v/>
      </c>
      <c r="N202" s="287">
        <f>IF(C202="Sale",SUMIFS($D$4:D202,$B$4:B202,B202,$C$4:C202,"")+SUMIFS($D$4:D202,$B$4:B202,B202,$C$4:C202,"Purch")-SUMIFS($D$4:D202,$B$4:B202,B202,$C$4:C202,"Sale"),0)</f>
        <v>0</v>
      </c>
    </row>
    <row r="203" spans="1:14" x14ac:dyDescent="0.2">
      <c r="A203" s="152"/>
      <c r="B203" s="132"/>
      <c r="C203" s="132"/>
      <c r="D203" s="277"/>
      <c r="E203" s="132"/>
      <c r="F203" s="170"/>
      <c r="G203" s="150"/>
      <c r="H203" s="152"/>
      <c r="I203" s="204"/>
      <c r="J203" s="285"/>
      <c r="K203" s="251"/>
      <c r="L203" s="133" t="str">
        <f>IF(AND(I203&lt;&gt;"",ISERROR(IF(ISERROR(VLOOKUP(I203*1,Summary!$C$8:$C$153,1,0)),VLOOKUP(I203,Summary!$C$8:$C$153,1,0),VLOOKUP(I203*1,Summary!$C$8:$C$153,1,0)))),"Add account Number to Summary","")</f>
        <v/>
      </c>
      <c r="M203" s="131" t="str">
        <f t="shared" si="3"/>
        <v/>
      </c>
      <c r="N203" s="287">
        <f>IF(C203="Sale",SUMIFS($D$4:D203,$B$4:B203,B203,$C$4:C203,"")+SUMIFS($D$4:D203,$B$4:B203,B203,$C$4:C203,"Purch")-SUMIFS($D$4:D203,$B$4:B203,B203,$C$4:C203,"Sale"),0)</f>
        <v>0</v>
      </c>
    </row>
    <row r="204" spans="1:14" x14ac:dyDescent="0.2">
      <c r="A204" s="152"/>
      <c r="B204" s="132"/>
      <c r="C204" s="132"/>
      <c r="D204" s="277"/>
      <c r="E204" s="132"/>
      <c r="F204" s="170"/>
      <c r="G204" s="150"/>
      <c r="H204" s="152"/>
      <c r="I204" s="204"/>
      <c r="J204" s="285"/>
      <c r="K204" s="251"/>
      <c r="L204" s="133" t="str">
        <f>IF(AND(I204&lt;&gt;"",ISERROR(IF(ISERROR(VLOOKUP(I204*1,Summary!$C$8:$C$153,1,0)),VLOOKUP(I204,Summary!$C$8:$C$153,1,0),VLOOKUP(I204*1,Summary!$C$8:$C$153,1,0)))),"Add account Number to Summary","")</f>
        <v/>
      </c>
      <c r="M204" s="131" t="str">
        <f t="shared" si="3"/>
        <v/>
      </c>
      <c r="N204" s="287">
        <f>IF(C204="Sale",SUMIFS($D$4:D204,$B$4:B204,B204,$C$4:C204,"")+SUMIFS($D$4:D204,$B$4:B204,B204,$C$4:C204,"Purch")-SUMIFS($D$4:D204,$B$4:B204,B204,$C$4:C204,"Sale"),0)</f>
        <v>0</v>
      </c>
    </row>
    <row r="205" spans="1:14" x14ac:dyDescent="0.2">
      <c r="A205" s="152"/>
      <c r="B205" s="132"/>
      <c r="C205" s="132"/>
      <c r="D205" s="277"/>
      <c r="E205" s="132"/>
      <c r="F205" s="170"/>
      <c r="G205" s="150"/>
      <c r="H205" s="152"/>
      <c r="I205" s="204"/>
      <c r="J205" s="285"/>
      <c r="K205" s="251"/>
      <c r="L205" s="133" t="str">
        <f>IF(AND(I205&lt;&gt;"",ISERROR(IF(ISERROR(VLOOKUP(I205*1,Summary!$C$8:$C$153,1,0)),VLOOKUP(I205,Summary!$C$8:$C$153,1,0),VLOOKUP(I205*1,Summary!$C$8:$C$153,1,0)))),"Add account Number to Summary","")</f>
        <v/>
      </c>
      <c r="M205" s="131" t="str">
        <f t="shared" si="3"/>
        <v/>
      </c>
      <c r="N205" s="287">
        <f>IF(C205="Sale",SUMIFS($D$4:D205,$B$4:B205,B205,$C$4:C205,"")+SUMIFS($D$4:D205,$B$4:B205,B205,$C$4:C205,"Purch")-SUMIFS($D$4:D205,$B$4:B205,B205,$C$4:C205,"Sale"),0)</f>
        <v>0</v>
      </c>
    </row>
    <row r="206" spans="1:14" x14ac:dyDescent="0.2">
      <c r="A206" s="152"/>
      <c r="B206" s="132"/>
      <c r="C206" s="132"/>
      <c r="D206" s="277"/>
      <c r="E206" s="132"/>
      <c r="F206" s="170"/>
      <c r="G206" s="150"/>
      <c r="H206" s="152"/>
      <c r="I206" s="204"/>
      <c r="J206" s="285"/>
      <c r="K206" s="251"/>
      <c r="L206" s="133" t="str">
        <f>IF(AND(I206&lt;&gt;"",ISERROR(IF(ISERROR(VLOOKUP(I206*1,Summary!$C$8:$C$153,1,0)),VLOOKUP(I206,Summary!$C$8:$C$153,1,0),VLOOKUP(I206*1,Summary!$C$8:$C$153,1,0)))),"Add account Number to Summary","")</f>
        <v/>
      </c>
      <c r="M206" s="131" t="str">
        <f t="shared" si="3"/>
        <v/>
      </c>
      <c r="N206" s="287">
        <f>IF(C206="Sale",SUMIFS($D$4:D206,$B$4:B206,B206,$C$4:C206,"")+SUMIFS($D$4:D206,$B$4:B206,B206,$C$4:C206,"Purch")-SUMIFS($D$4:D206,$B$4:B206,B206,$C$4:C206,"Sale"),0)</f>
        <v>0</v>
      </c>
    </row>
    <row r="207" spans="1:14" x14ac:dyDescent="0.2">
      <c r="A207" s="152"/>
      <c r="B207" s="132"/>
      <c r="C207" s="132"/>
      <c r="D207" s="277"/>
      <c r="E207" s="132"/>
      <c r="F207" s="170"/>
      <c r="G207" s="150"/>
      <c r="H207" s="152"/>
      <c r="I207" s="204"/>
      <c r="J207" s="285"/>
      <c r="K207" s="251"/>
      <c r="L207" s="133" t="str">
        <f>IF(AND(I207&lt;&gt;"",ISERROR(IF(ISERROR(VLOOKUP(I207*1,Summary!$C$8:$C$153,1,0)),VLOOKUP(I207,Summary!$C$8:$C$153,1,0),VLOOKUP(I207*1,Summary!$C$8:$C$153,1,0)))),"Add account Number to Summary","")</f>
        <v/>
      </c>
      <c r="M207" s="131" t="str">
        <f t="shared" si="3"/>
        <v/>
      </c>
      <c r="N207" s="287">
        <f>IF(C207="Sale",SUMIFS($D$4:D207,$B$4:B207,B207,$C$4:C207,"")+SUMIFS($D$4:D207,$B$4:B207,B207,$C$4:C207,"Purch")-SUMIFS($D$4:D207,$B$4:B207,B207,$C$4:C207,"Sale"),0)</f>
        <v>0</v>
      </c>
    </row>
    <row r="208" spans="1:14" x14ac:dyDescent="0.2">
      <c r="A208" s="152"/>
      <c r="B208" s="132"/>
      <c r="C208" s="132"/>
      <c r="D208" s="277"/>
      <c r="E208" s="132"/>
      <c r="F208" s="170"/>
      <c r="G208" s="150"/>
      <c r="H208" s="152"/>
      <c r="I208" s="204"/>
      <c r="J208" s="285"/>
      <c r="K208" s="251"/>
      <c r="L208" s="133" t="str">
        <f>IF(AND(I208&lt;&gt;"",ISERROR(IF(ISERROR(VLOOKUP(I208*1,Summary!$C$8:$C$153,1,0)),VLOOKUP(I208,Summary!$C$8:$C$153,1,0),VLOOKUP(I208*1,Summary!$C$8:$C$153,1,0)))),"Add account Number to Summary","")</f>
        <v/>
      </c>
      <c r="M208" s="131" t="str">
        <f t="shared" si="3"/>
        <v/>
      </c>
      <c r="N208" s="287">
        <f>IF(C208="Sale",SUMIFS($D$4:D208,$B$4:B208,B208,$C$4:C208,"")+SUMIFS($D$4:D208,$B$4:B208,B208,$C$4:C208,"Purch")-SUMIFS($D$4:D208,$B$4:B208,B208,$C$4:C208,"Sale"),0)</f>
        <v>0</v>
      </c>
    </row>
    <row r="209" spans="1:14" x14ac:dyDescent="0.2">
      <c r="A209" s="152"/>
      <c r="B209" s="132"/>
      <c r="C209" s="132"/>
      <c r="D209" s="277"/>
      <c r="E209" s="132"/>
      <c r="F209" s="170"/>
      <c r="G209" s="150"/>
      <c r="H209" s="152"/>
      <c r="I209" s="204"/>
      <c r="J209" s="285"/>
      <c r="K209" s="251"/>
      <c r="L209" s="133" t="str">
        <f>IF(AND(I209&lt;&gt;"",ISERROR(IF(ISERROR(VLOOKUP(I209*1,Summary!$C$8:$C$153,1,0)),VLOOKUP(I209,Summary!$C$8:$C$153,1,0),VLOOKUP(I209*1,Summary!$C$8:$C$153,1,0)))),"Add account Number to Summary","")</f>
        <v/>
      </c>
      <c r="M209" s="131" t="str">
        <f t="shared" si="3"/>
        <v/>
      </c>
      <c r="N209" s="287">
        <f>IF(C209="Sale",SUMIFS($D$4:D209,$B$4:B209,B209,$C$4:C209,"")+SUMIFS($D$4:D209,$B$4:B209,B209,$C$4:C209,"Purch")-SUMIFS($D$4:D209,$B$4:B209,B209,$C$4:C209,"Sale"),0)</f>
        <v>0</v>
      </c>
    </row>
    <row r="210" spans="1:14" x14ac:dyDescent="0.2">
      <c r="A210" s="152"/>
      <c r="B210" s="132"/>
      <c r="C210" s="132"/>
      <c r="D210" s="277"/>
      <c r="E210" s="132"/>
      <c r="F210" s="170"/>
      <c r="G210" s="150"/>
      <c r="H210" s="152"/>
      <c r="I210" s="204"/>
      <c r="J210" s="285"/>
      <c r="K210" s="251"/>
      <c r="L210" s="133" t="str">
        <f>IF(AND(I210&lt;&gt;"",ISERROR(IF(ISERROR(VLOOKUP(I210*1,Summary!$C$8:$C$153,1,0)),VLOOKUP(I210,Summary!$C$8:$C$153,1,0),VLOOKUP(I210*1,Summary!$C$8:$C$153,1,0)))),"Add account Number to Summary","")</f>
        <v/>
      </c>
      <c r="M210" s="131" t="str">
        <f t="shared" si="3"/>
        <v/>
      </c>
      <c r="N210" s="287">
        <f>IF(C210="Sale",SUMIFS($D$4:D210,$B$4:B210,B210,$C$4:C210,"")+SUMIFS($D$4:D210,$B$4:B210,B210,$C$4:C210,"Purch")-SUMIFS($D$4:D210,$B$4:B210,B210,$C$4:C210,"Sale"),0)</f>
        <v>0</v>
      </c>
    </row>
    <row r="211" spans="1:14" x14ac:dyDescent="0.2">
      <c r="A211" s="152"/>
      <c r="B211" s="132"/>
      <c r="C211" s="132"/>
      <c r="D211" s="277"/>
      <c r="E211" s="132"/>
      <c r="F211" s="170"/>
      <c r="G211" s="150"/>
      <c r="H211" s="152"/>
      <c r="I211" s="204"/>
      <c r="J211" s="285"/>
      <c r="K211" s="251"/>
      <c r="L211" s="133" t="str">
        <f>IF(AND(I211&lt;&gt;"",ISERROR(IF(ISERROR(VLOOKUP(I211*1,Summary!$C$8:$C$153,1,0)),VLOOKUP(I211,Summary!$C$8:$C$153,1,0),VLOOKUP(I211*1,Summary!$C$8:$C$153,1,0)))),"Add account Number to Summary","")</f>
        <v/>
      </c>
      <c r="M211" s="131" t="str">
        <f t="shared" si="3"/>
        <v/>
      </c>
      <c r="N211" s="287">
        <f>IF(C211="Sale",SUMIFS($D$4:D211,$B$4:B211,B211,$C$4:C211,"")+SUMIFS($D$4:D211,$B$4:B211,B211,$C$4:C211,"Purch")-SUMIFS($D$4:D211,$B$4:B211,B211,$C$4:C211,"Sale"),0)</f>
        <v>0</v>
      </c>
    </row>
    <row r="212" spans="1:14" x14ac:dyDescent="0.2">
      <c r="A212" s="152"/>
      <c r="B212" s="132"/>
      <c r="C212" s="132"/>
      <c r="D212" s="277"/>
      <c r="E212" s="132"/>
      <c r="F212" s="170"/>
      <c r="G212" s="150"/>
      <c r="H212" s="152"/>
      <c r="I212" s="204"/>
      <c r="J212" s="285"/>
      <c r="K212" s="251"/>
      <c r="L212" s="133" t="str">
        <f>IF(AND(I212&lt;&gt;"",ISERROR(IF(ISERROR(VLOOKUP(I212*1,Summary!$C$8:$C$153,1,0)),VLOOKUP(I212,Summary!$C$8:$C$153,1,0),VLOOKUP(I212*1,Summary!$C$8:$C$153,1,0)))),"Add account Number to Summary","")</f>
        <v/>
      </c>
      <c r="M212" s="131" t="str">
        <f t="shared" si="3"/>
        <v/>
      </c>
      <c r="N212" s="287">
        <f>IF(C212="Sale",SUMIFS($D$4:D212,$B$4:B212,B212,$C$4:C212,"")+SUMIFS($D$4:D212,$B$4:B212,B212,$C$4:C212,"Purch")-SUMIFS($D$4:D212,$B$4:B212,B212,$C$4:C212,"Sale"),0)</f>
        <v>0</v>
      </c>
    </row>
    <row r="213" spans="1:14" x14ac:dyDescent="0.2">
      <c r="A213" s="152"/>
      <c r="B213" s="132"/>
      <c r="C213" s="132"/>
      <c r="D213" s="277"/>
      <c r="E213" s="132"/>
      <c r="F213" s="170"/>
      <c r="G213" s="150"/>
      <c r="H213" s="152"/>
      <c r="I213" s="204"/>
      <c r="J213" s="285"/>
      <c r="K213" s="251"/>
      <c r="L213" s="133" t="str">
        <f>IF(AND(I213&lt;&gt;"",ISERROR(IF(ISERROR(VLOOKUP(I213*1,Summary!$C$8:$C$153,1,0)),VLOOKUP(I213,Summary!$C$8:$C$153,1,0),VLOOKUP(I213*1,Summary!$C$8:$C$153,1,0)))),"Add account Number to Summary","")</f>
        <v/>
      </c>
      <c r="M213" s="131" t="str">
        <f t="shared" si="3"/>
        <v/>
      </c>
      <c r="N213" s="287">
        <f>IF(C213="Sale",SUMIFS($D$4:D213,$B$4:B213,B213,$C$4:C213,"")+SUMIFS($D$4:D213,$B$4:B213,B213,$C$4:C213,"Purch")-SUMIFS($D$4:D213,$B$4:B213,B213,$C$4:C213,"Sale"),0)</f>
        <v>0</v>
      </c>
    </row>
    <row r="214" spans="1:14" x14ac:dyDescent="0.2">
      <c r="A214" s="152"/>
      <c r="B214" s="132"/>
      <c r="C214" s="132"/>
      <c r="D214" s="277"/>
      <c r="E214" s="132"/>
      <c r="F214" s="170"/>
      <c r="G214" s="150"/>
      <c r="H214" s="152"/>
      <c r="I214" s="204"/>
      <c r="J214" s="285"/>
      <c r="K214" s="251"/>
      <c r="L214" s="133" t="str">
        <f>IF(AND(I214&lt;&gt;"",ISERROR(IF(ISERROR(VLOOKUP(I214*1,Summary!$C$8:$C$153,1,0)),VLOOKUP(I214,Summary!$C$8:$C$153,1,0),VLOOKUP(I214*1,Summary!$C$8:$C$153,1,0)))),"Add account Number to Summary","")</f>
        <v/>
      </c>
      <c r="M214" s="131" t="str">
        <f t="shared" si="3"/>
        <v/>
      </c>
      <c r="N214" s="287">
        <f>IF(C214="Sale",SUMIFS($D$4:D214,$B$4:B214,B214,$C$4:C214,"")+SUMIFS($D$4:D214,$B$4:B214,B214,$C$4:C214,"Purch")-SUMIFS($D$4:D214,$B$4:B214,B214,$C$4:C214,"Sale"),0)</f>
        <v>0</v>
      </c>
    </row>
    <row r="215" spans="1:14" x14ac:dyDescent="0.2">
      <c r="A215" s="152"/>
      <c r="B215" s="132"/>
      <c r="C215" s="132"/>
      <c r="D215" s="277"/>
      <c r="E215" s="132"/>
      <c r="F215" s="170"/>
      <c r="G215" s="150"/>
      <c r="H215" s="152"/>
      <c r="I215" s="204"/>
      <c r="J215" s="285"/>
      <c r="K215" s="251"/>
      <c r="L215" s="133" t="str">
        <f>IF(AND(I215&lt;&gt;"",ISERROR(IF(ISERROR(VLOOKUP(I215*1,Summary!$C$8:$C$153,1,0)),VLOOKUP(I215,Summary!$C$8:$C$153,1,0),VLOOKUP(I215*1,Summary!$C$8:$C$153,1,0)))),"Add account Number to Summary","")</f>
        <v/>
      </c>
      <c r="M215" s="131" t="str">
        <f t="shared" si="3"/>
        <v/>
      </c>
      <c r="N215" s="287">
        <f>IF(C215="Sale",SUMIFS($D$4:D215,$B$4:B215,B215,$C$4:C215,"")+SUMIFS($D$4:D215,$B$4:B215,B215,$C$4:C215,"Purch")-SUMIFS($D$4:D215,$B$4:B215,B215,$C$4:C215,"Sale"),0)</f>
        <v>0</v>
      </c>
    </row>
    <row r="216" spans="1:14" x14ac:dyDescent="0.2">
      <c r="A216" s="152"/>
      <c r="B216" s="132"/>
      <c r="C216" s="132"/>
      <c r="D216" s="277"/>
      <c r="E216" s="132"/>
      <c r="F216" s="170"/>
      <c r="G216" s="150"/>
      <c r="H216" s="152"/>
      <c r="I216" s="204"/>
      <c r="J216" s="285"/>
      <c r="K216" s="251"/>
      <c r="L216" s="133" t="str">
        <f>IF(AND(I216&lt;&gt;"",ISERROR(IF(ISERROR(VLOOKUP(I216*1,Summary!$C$8:$C$153,1,0)),VLOOKUP(I216,Summary!$C$8:$C$153,1,0),VLOOKUP(I216*1,Summary!$C$8:$C$153,1,0)))),"Add account Number to Summary","")</f>
        <v/>
      </c>
      <c r="M216" s="131" t="str">
        <f t="shared" si="3"/>
        <v/>
      </c>
      <c r="N216" s="287">
        <f>IF(C216="Sale",SUMIFS($D$4:D216,$B$4:B216,B216,$C$4:C216,"")+SUMIFS($D$4:D216,$B$4:B216,B216,$C$4:C216,"Purch")-SUMIFS($D$4:D216,$B$4:B216,B216,$C$4:C216,"Sale"),0)</f>
        <v>0</v>
      </c>
    </row>
    <row r="217" spans="1:14" x14ac:dyDescent="0.2">
      <c r="A217" s="152"/>
      <c r="B217" s="132"/>
      <c r="C217" s="132"/>
      <c r="D217" s="277"/>
      <c r="E217" s="132"/>
      <c r="F217" s="170"/>
      <c r="G217" s="150"/>
      <c r="H217" s="152"/>
      <c r="I217" s="204"/>
      <c r="J217" s="285"/>
      <c r="K217" s="251"/>
      <c r="L217" s="133" t="str">
        <f>IF(AND(I217&lt;&gt;"",ISERROR(IF(ISERROR(VLOOKUP(I217*1,Summary!$C$8:$C$153,1,0)),VLOOKUP(I217,Summary!$C$8:$C$153,1,0),VLOOKUP(I217*1,Summary!$C$8:$C$153,1,0)))),"Add account Number to Summary","")</f>
        <v/>
      </c>
      <c r="M217" s="131" t="str">
        <f t="shared" si="3"/>
        <v/>
      </c>
      <c r="N217" s="287">
        <f>IF(C217="Sale",SUMIFS($D$4:D217,$B$4:B217,B217,$C$4:C217,"")+SUMIFS($D$4:D217,$B$4:B217,B217,$C$4:C217,"Purch")-SUMIFS($D$4:D217,$B$4:B217,B217,$C$4:C217,"Sale"),0)</f>
        <v>0</v>
      </c>
    </row>
    <row r="218" spans="1:14" x14ac:dyDescent="0.2">
      <c r="A218" s="152"/>
      <c r="B218" s="132"/>
      <c r="C218" s="132"/>
      <c r="D218" s="277"/>
      <c r="E218" s="132"/>
      <c r="F218" s="170"/>
      <c r="G218" s="150"/>
      <c r="H218" s="152"/>
      <c r="I218" s="204"/>
      <c r="J218" s="285"/>
      <c r="K218" s="251"/>
      <c r="L218" s="133" t="str">
        <f>IF(AND(I218&lt;&gt;"",ISERROR(IF(ISERROR(VLOOKUP(I218*1,Summary!$C$8:$C$153,1,0)),VLOOKUP(I218,Summary!$C$8:$C$153,1,0),VLOOKUP(I218*1,Summary!$C$8:$C$153,1,0)))),"Add account Number to Summary","")</f>
        <v/>
      </c>
      <c r="M218" s="131" t="str">
        <f t="shared" si="3"/>
        <v/>
      </c>
      <c r="N218" s="287">
        <f>IF(C218="Sale",SUMIFS($D$4:D218,$B$4:B218,B218,$C$4:C218,"")+SUMIFS($D$4:D218,$B$4:B218,B218,$C$4:C218,"Purch")-SUMIFS($D$4:D218,$B$4:B218,B218,$C$4:C218,"Sale"),0)</f>
        <v>0</v>
      </c>
    </row>
    <row r="219" spans="1:14" x14ac:dyDescent="0.2">
      <c r="A219" s="152"/>
      <c r="B219" s="132"/>
      <c r="C219" s="132"/>
      <c r="D219" s="277"/>
      <c r="E219" s="132"/>
      <c r="F219" s="170"/>
      <c r="G219" s="150"/>
      <c r="H219" s="152"/>
      <c r="I219" s="204"/>
      <c r="J219" s="285"/>
      <c r="K219" s="251"/>
      <c r="L219" s="133" t="str">
        <f>IF(AND(I219&lt;&gt;"",ISERROR(IF(ISERROR(VLOOKUP(I219*1,Summary!$C$8:$C$153,1,0)),VLOOKUP(I219,Summary!$C$8:$C$153,1,0),VLOOKUP(I219*1,Summary!$C$8:$C$153,1,0)))),"Add account Number to Summary","")</f>
        <v/>
      </c>
      <c r="M219" s="131" t="str">
        <f t="shared" si="3"/>
        <v/>
      </c>
      <c r="N219" s="287">
        <f>IF(C219="Sale",SUMIFS($D$4:D219,$B$4:B219,B219,$C$4:C219,"")+SUMIFS($D$4:D219,$B$4:B219,B219,$C$4:C219,"Purch")-SUMIFS($D$4:D219,$B$4:B219,B219,$C$4:C219,"Sale"),0)</f>
        <v>0</v>
      </c>
    </row>
    <row r="220" spans="1:14" x14ac:dyDescent="0.2">
      <c r="A220" s="152"/>
      <c r="B220" s="132"/>
      <c r="C220" s="132"/>
      <c r="D220" s="277"/>
      <c r="E220" s="132"/>
      <c r="F220" s="170"/>
      <c r="G220" s="150"/>
      <c r="H220" s="152"/>
      <c r="I220" s="204"/>
      <c r="J220" s="285"/>
      <c r="K220" s="251"/>
      <c r="L220" s="133" t="str">
        <f>IF(AND(I220&lt;&gt;"",ISERROR(IF(ISERROR(VLOOKUP(I220*1,Summary!$C$8:$C$153,1,0)),VLOOKUP(I220,Summary!$C$8:$C$153,1,0),VLOOKUP(I220*1,Summary!$C$8:$C$153,1,0)))),"Add account Number to Summary","")</f>
        <v/>
      </c>
      <c r="M220" s="131" t="str">
        <f t="shared" si="3"/>
        <v/>
      </c>
      <c r="N220" s="287">
        <f>IF(C220="Sale",SUMIFS($D$4:D220,$B$4:B220,B220,$C$4:C220,"")+SUMIFS($D$4:D220,$B$4:B220,B220,$C$4:C220,"Purch")-SUMIFS($D$4:D220,$B$4:B220,B220,$C$4:C220,"Sale"),0)</f>
        <v>0</v>
      </c>
    </row>
    <row r="221" spans="1:14" x14ac:dyDescent="0.2">
      <c r="A221" s="152"/>
      <c r="B221" s="132"/>
      <c r="C221" s="132"/>
      <c r="D221" s="277"/>
      <c r="E221" s="132"/>
      <c r="F221" s="170"/>
      <c r="G221" s="150"/>
      <c r="H221" s="152"/>
      <c r="I221" s="204"/>
      <c r="J221" s="285"/>
      <c r="K221" s="251"/>
      <c r="L221" s="133" t="str">
        <f>IF(AND(I221&lt;&gt;"",ISERROR(IF(ISERROR(VLOOKUP(I221*1,Summary!$C$8:$C$153,1,0)),VLOOKUP(I221,Summary!$C$8:$C$153,1,0),VLOOKUP(I221*1,Summary!$C$8:$C$153,1,0)))),"Add account Number to Summary","")</f>
        <v/>
      </c>
      <c r="M221" s="131" t="str">
        <f t="shared" si="3"/>
        <v/>
      </c>
      <c r="N221" s="287">
        <f>IF(C221="Sale",SUMIFS($D$4:D221,$B$4:B221,B221,$C$4:C221,"")+SUMIFS($D$4:D221,$B$4:B221,B221,$C$4:C221,"Purch")-SUMIFS($D$4:D221,$B$4:B221,B221,$C$4:C221,"Sale"),0)</f>
        <v>0</v>
      </c>
    </row>
    <row r="222" spans="1:14" x14ac:dyDescent="0.2">
      <c r="A222" s="152"/>
      <c r="B222" s="132"/>
      <c r="C222" s="132"/>
      <c r="D222" s="277"/>
      <c r="E222" s="132"/>
      <c r="F222" s="170"/>
      <c r="G222" s="150"/>
      <c r="H222" s="152"/>
      <c r="I222" s="204"/>
      <c r="J222" s="285"/>
      <c r="K222" s="251"/>
      <c r="L222" s="133" t="str">
        <f>IF(AND(I222&lt;&gt;"",ISERROR(IF(ISERROR(VLOOKUP(I222*1,Summary!$C$8:$C$153,1,0)),VLOOKUP(I222,Summary!$C$8:$C$153,1,0),VLOOKUP(I222*1,Summary!$C$8:$C$153,1,0)))),"Add account Number to Summary","")</f>
        <v/>
      </c>
      <c r="M222" s="131" t="str">
        <f t="shared" si="3"/>
        <v/>
      </c>
      <c r="N222" s="287">
        <f>IF(C222="Sale",SUMIFS($D$4:D222,$B$4:B222,B222,$C$4:C222,"")+SUMIFS($D$4:D222,$B$4:B222,B222,$C$4:C222,"Purch")-SUMIFS($D$4:D222,$B$4:B222,B222,$C$4:C222,"Sale"),0)</f>
        <v>0</v>
      </c>
    </row>
    <row r="223" spans="1:14" x14ac:dyDescent="0.2">
      <c r="A223" s="152"/>
      <c r="B223" s="132"/>
      <c r="C223" s="132"/>
      <c r="D223" s="277"/>
      <c r="E223" s="132"/>
      <c r="F223" s="170"/>
      <c r="G223" s="150"/>
      <c r="H223" s="152"/>
      <c r="I223" s="204"/>
      <c r="J223" s="285"/>
      <c r="K223" s="251"/>
      <c r="L223" s="133" t="str">
        <f>IF(AND(I223&lt;&gt;"",ISERROR(IF(ISERROR(VLOOKUP(I223*1,Summary!$C$8:$C$153,1,0)),VLOOKUP(I223,Summary!$C$8:$C$153,1,0),VLOOKUP(I223*1,Summary!$C$8:$C$153,1,0)))),"Add account Number to Summary","")</f>
        <v/>
      </c>
      <c r="M223" s="131" t="str">
        <f t="shared" si="3"/>
        <v/>
      </c>
      <c r="N223" s="287">
        <f>IF(C223="Sale",SUMIFS($D$4:D223,$B$4:B223,B223,$C$4:C223,"")+SUMIFS($D$4:D223,$B$4:B223,B223,$C$4:C223,"Purch")-SUMIFS($D$4:D223,$B$4:B223,B223,$C$4:C223,"Sale"),0)</f>
        <v>0</v>
      </c>
    </row>
    <row r="224" spans="1:14" x14ac:dyDescent="0.2">
      <c r="A224" s="152"/>
      <c r="B224" s="132"/>
      <c r="C224" s="132"/>
      <c r="D224" s="277"/>
      <c r="E224" s="132"/>
      <c r="F224" s="170"/>
      <c r="G224" s="150"/>
      <c r="H224" s="152"/>
      <c r="I224" s="204"/>
      <c r="J224" s="285"/>
      <c r="K224" s="251"/>
      <c r="L224" s="133" t="str">
        <f>IF(AND(I224&lt;&gt;"",ISERROR(IF(ISERROR(VLOOKUP(I224*1,Summary!$C$8:$C$153,1,0)),VLOOKUP(I224,Summary!$C$8:$C$153,1,0),VLOOKUP(I224*1,Summary!$C$8:$C$153,1,0)))),"Add account Number to Summary","")</f>
        <v/>
      </c>
      <c r="M224" s="131" t="str">
        <f t="shared" si="3"/>
        <v/>
      </c>
      <c r="N224" s="287">
        <f>IF(C224="Sale",SUMIFS($D$4:D224,$B$4:B224,B224,$C$4:C224,"")+SUMIFS($D$4:D224,$B$4:B224,B224,$C$4:C224,"Purch")-SUMIFS($D$4:D224,$B$4:B224,B224,$C$4:C224,"Sale"),0)</f>
        <v>0</v>
      </c>
    </row>
    <row r="225" spans="1:14" x14ac:dyDescent="0.2">
      <c r="A225" s="152"/>
      <c r="B225" s="132"/>
      <c r="C225" s="132"/>
      <c r="D225" s="277"/>
      <c r="E225" s="132"/>
      <c r="F225" s="170"/>
      <c r="G225" s="150"/>
      <c r="H225" s="152"/>
      <c r="I225" s="204"/>
      <c r="J225" s="285"/>
      <c r="K225" s="251"/>
      <c r="L225" s="133" t="str">
        <f>IF(AND(I225&lt;&gt;"",ISERROR(IF(ISERROR(VLOOKUP(I225*1,Summary!$C$8:$C$153,1,0)),VLOOKUP(I225,Summary!$C$8:$C$153,1,0),VLOOKUP(I225*1,Summary!$C$8:$C$153,1,0)))),"Add account Number to Summary","")</f>
        <v/>
      </c>
      <c r="M225" s="131" t="str">
        <f t="shared" si="3"/>
        <v/>
      </c>
      <c r="N225" s="287">
        <f>IF(C225="Sale",SUMIFS($D$4:D225,$B$4:B225,B225,$C$4:C225,"")+SUMIFS($D$4:D225,$B$4:B225,B225,$C$4:C225,"Purch")-SUMIFS($D$4:D225,$B$4:B225,B225,$C$4:C225,"Sale"),0)</f>
        <v>0</v>
      </c>
    </row>
    <row r="226" spans="1:14" x14ac:dyDescent="0.2">
      <c r="A226" s="152"/>
      <c r="B226" s="132"/>
      <c r="C226" s="132"/>
      <c r="D226" s="277"/>
      <c r="E226" s="132"/>
      <c r="F226" s="170"/>
      <c r="G226" s="150"/>
      <c r="H226" s="152"/>
      <c r="I226" s="204"/>
      <c r="J226" s="285"/>
      <c r="K226" s="251"/>
      <c r="L226" s="133" t="str">
        <f>IF(AND(I226&lt;&gt;"",ISERROR(IF(ISERROR(VLOOKUP(I226*1,Summary!$C$8:$C$153,1,0)),VLOOKUP(I226,Summary!$C$8:$C$153,1,0),VLOOKUP(I226*1,Summary!$C$8:$C$153,1,0)))),"Add account Number to Summary","")</f>
        <v/>
      </c>
      <c r="M226" s="131" t="str">
        <f t="shared" si="3"/>
        <v/>
      </c>
      <c r="N226" s="287">
        <f>IF(C226="Sale",SUMIFS($D$4:D226,$B$4:B226,B226,$C$4:C226,"")+SUMIFS($D$4:D226,$B$4:B226,B226,$C$4:C226,"Purch")-SUMIFS($D$4:D226,$B$4:B226,B226,$C$4:C226,"Sale"),0)</f>
        <v>0</v>
      </c>
    </row>
    <row r="227" spans="1:14" x14ac:dyDescent="0.2">
      <c r="A227" s="152"/>
      <c r="B227" s="132"/>
      <c r="C227" s="132"/>
      <c r="D227" s="277"/>
      <c r="E227" s="132"/>
      <c r="F227" s="170"/>
      <c r="G227" s="150"/>
      <c r="H227" s="152"/>
      <c r="I227" s="204"/>
      <c r="J227" s="285"/>
      <c r="K227" s="251"/>
      <c r="L227" s="133" t="str">
        <f>IF(AND(I227&lt;&gt;"",ISERROR(IF(ISERROR(VLOOKUP(I227*1,Summary!$C$8:$C$153,1,0)),VLOOKUP(I227,Summary!$C$8:$C$153,1,0),VLOOKUP(I227*1,Summary!$C$8:$C$153,1,0)))),"Add account Number to Summary","")</f>
        <v/>
      </c>
      <c r="M227" s="131" t="str">
        <f t="shared" si="3"/>
        <v/>
      </c>
      <c r="N227" s="287">
        <f>IF(C227="Sale",SUMIFS($D$4:D227,$B$4:B227,B227,$C$4:C227,"")+SUMIFS($D$4:D227,$B$4:B227,B227,$C$4:C227,"Purch")-SUMIFS($D$4:D227,$B$4:B227,B227,$C$4:C227,"Sale"),0)</f>
        <v>0</v>
      </c>
    </row>
    <row r="228" spans="1:14" x14ac:dyDescent="0.2">
      <c r="A228" s="152"/>
      <c r="B228" s="132"/>
      <c r="C228" s="132"/>
      <c r="D228" s="277"/>
      <c r="E228" s="132"/>
      <c r="F228" s="170"/>
      <c r="G228" s="150"/>
      <c r="H228" s="152"/>
      <c r="I228" s="204"/>
      <c r="J228" s="285"/>
      <c r="K228" s="251"/>
      <c r="L228" s="133" t="str">
        <f>IF(AND(I228&lt;&gt;"",ISERROR(IF(ISERROR(VLOOKUP(I228*1,Summary!$C$8:$C$153,1,0)),VLOOKUP(I228,Summary!$C$8:$C$153,1,0),VLOOKUP(I228*1,Summary!$C$8:$C$153,1,0)))),"Add account Number to Summary","")</f>
        <v/>
      </c>
      <c r="M228" s="131" t="str">
        <f t="shared" si="3"/>
        <v/>
      </c>
      <c r="N228" s="287">
        <f>IF(C228="Sale",SUMIFS($D$4:D228,$B$4:B228,B228,$C$4:C228,"")+SUMIFS($D$4:D228,$B$4:B228,B228,$C$4:C228,"Purch")-SUMIFS($D$4:D228,$B$4:B228,B228,$C$4:C228,"Sale"),0)</f>
        <v>0</v>
      </c>
    </row>
    <row r="229" spans="1:14" x14ac:dyDescent="0.2">
      <c r="A229" s="152"/>
      <c r="B229" s="132"/>
      <c r="C229" s="132"/>
      <c r="D229" s="277"/>
      <c r="E229" s="132"/>
      <c r="F229" s="170"/>
      <c r="G229" s="150"/>
      <c r="H229" s="152"/>
      <c r="I229" s="204"/>
      <c r="J229" s="285"/>
      <c r="K229" s="251"/>
      <c r="L229" s="133" t="str">
        <f>IF(AND(I229&lt;&gt;"",ISERROR(IF(ISERROR(VLOOKUP(I229*1,Summary!$C$8:$C$153,1,0)),VLOOKUP(I229,Summary!$C$8:$C$153,1,0),VLOOKUP(I229*1,Summary!$C$8:$C$153,1,0)))),"Add account Number to Summary","")</f>
        <v/>
      </c>
      <c r="M229" s="131" t="str">
        <f t="shared" si="3"/>
        <v/>
      </c>
      <c r="N229" s="287">
        <f>IF(C229="Sale",SUMIFS($D$4:D229,$B$4:B229,B229,$C$4:C229,"")+SUMIFS($D$4:D229,$B$4:B229,B229,$C$4:C229,"Purch")-SUMIFS($D$4:D229,$B$4:B229,B229,$C$4:C229,"Sale"),0)</f>
        <v>0</v>
      </c>
    </row>
    <row r="230" spans="1:14" x14ac:dyDescent="0.2">
      <c r="A230" s="152"/>
      <c r="B230" s="132"/>
      <c r="C230" s="132"/>
      <c r="D230" s="277"/>
      <c r="E230" s="132"/>
      <c r="F230" s="170"/>
      <c r="G230" s="150"/>
      <c r="H230" s="152"/>
      <c r="I230" s="204"/>
      <c r="J230" s="285"/>
      <c r="K230" s="251"/>
      <c r="L230" s="133" t="str">
        <f>IF(AND(I230&lt;&gt;"",ISERROR(IF(ISERROR(VLOOKUP(I230*1,Summary!$C$8:$C$153,1,0)),VLOOKUP(I230,Summary!$C$8:$C$153,1,0),VLOOKUP(I230*1,Summary!$C$8:$C$153,1,0)))),"Add account Number to Summary","")</f>
        <v/>
      </c>
      <c r="M230" s="131" t="str">
        <f t="shared" si="3"/>
        <v/>
      </c>
      <c r="N230" s="287">
        <f>IF(C230="Sale",SUMIFS($D$4:D230,$B$4:B230,B230,$C$4:C230,"")+SUMIFS($D$4:D230,$B$4:B230,B230,$C$4:C230,"Purch")-SUMIFS($D$4:D230,$B$4:B230,B230,$C$4:C230,"Sale"),0)</f>
        <v>0</v>
      </c>
    </row>
    <row r="231" spans="1:14" x14ac:dyDescent="0.2">
      <c r="A231" s="152"/>
      <c r="B231" s="132"/>
      <c r="C231" s="132"/>
      <c r="D231" s="277"/>
      <c r="E231" s="132"/>
      <c r="F231" s="170"/>
      <c r="G231" s="150"/>
      <c r="H231" s="152"/>
      <c r="I231" s="204"/>
      <c r="J231" s="285"/>
      <c r="K231" s="251"/>
      <c r="L231" s="133" t="str">
        <f>IF(AND(I231&lt;&gt;"",ISERROR(IF(ISERROR(VLOOKUP(I231*1,Summary!$C$8:$C$153,1,0)),VLOOKUP(I231,Summary!$C$8:$C$153,1,0),VLOOKUP(I231*1,Summary!$C$8:$C$153,1,0)))),"Add account Number to Summary","")</f>
        <v/>
      </c>
      <c r="M231" s="131" t="str">
        <f t="shared" si="3"/>
        <v/>
      </c>
      <c r="N231" s="287">
        <f>IF(C231="Sale",SUMIFS($D$4:D231,$B$4:B231,B231,$C$4:C231,"")+SUMIFS($D$4:D231,$B$4:B231,B231,$C$4:C231,"Purch")-SUMIFS($D$4:D231,$B$4:B231,B231,$C$4:C231,"Sale"),0)</f>
        <v>0</v>
      </c>
    </row>
    <row r="232" spans="1:14" x14ac:dyDescent="0.2">
      <c r="A232" s="152"/>
      <c r="B232" s="132"/>
      <c r="C232" s="132"/>
      <c r="D232" s="277"/>
      <c r="E232" s="132"/>
      <c r="F232" s="170"/>
      <c r="G232" s="150"/>
      <c r="H232" s="152"/>
      <c r="I232" s="204"/>
      <c r="J232" s="285"/>
      <c r="K232" s="251"/>
      <c r="L232" s="133" t="str">
        <f>IF(AND(I232&lt;&gt;"",ISERROR(IF(ISERROR(VLOOKUP(I232*1,Summary!$C$8:$C$153,1,0)),VLOOKUP(I232,Summary!$C$8:$C$153,1,0),VLOOKUP(I232*1,Summary!$C$8:$C$153,1,0)))),"Add account Number to Summary","")</f>
        <v/>
      </c>
      <c r="M232" s="131" t="str">
        <f t="shared" si="3"/>
        <v/>
      </c>
      <c r="N232" s="287">
        <f>IF(C232="Sale",SUMIFS($D$4:D232,$B$4:B232,B232,$C$4:C232,"")+SUMIFS($D$4:D232,$B$4:B232,B232,$C$4:C232,"Purch")-SUMIFS($D$4:D232,$B$4:B232,B232,$C$4:C232,"Sale"),0)</f>
        <v>0</v>
      </c>
    </row>
    <row r="233" spans="1:14" x14ac:dyDescent="0.2">
      <c r="A233" s="152"/>
      <c r="B233" s="132"/>
      <c r="C233" s="132"/>
      <c r="D233" s="277"/>
      <c r="E233" s="132"/>
      <c r="F233" s="170"/>
      <c r="G233" s="150"/>
      <c r="H233" s="152"/>
      <c r="I233" s="204"/>
      <c r="J233" s="285"/>
      <c r="K233" s="251"/>
      <c r="L233" s="133" t="str">
        <f>IF(AND(I233&lt;&gt;"",ISERROR(IF(ISERROR(VLOOKUP(I233*1,Summary!$C$8:$C$153,1,0)),VLOOKUP(I233,Summary!$C$8:$C$153,1,0),VLOOKUP(I233*1,Summary!$C$8:$C$153,1,0)))),"Add account Number to Summary","")</f>
        <v/>
      </c>
      <c r="M233" s="131" t="str">
        <f t="shared" si="3"/>
        <v/>
      </c>
      <c r="N233" s="287">
        <f>IF(C233="Sale",SUMIFS($D$4:D233,$B$4:B233,B233,$C$4:C233,"")+SUMIFS($D$4:D233,$B$4:B233,B233,$C$4:C233,"Purch")-SUMIFS($D$4:D233,$B$4:B233,B233,$C$4:C233,"Sale"),0)</f>
        <v>0</v>
      </c>
    </row>
    <row r="234" spans="1:14" x14ac:dyDescent="0.2">
      <c r="A234" s="152"/>
      <c r="B234" s="132"/>
      <c r="C234" s="132"/>
      <c r="D234" s="277"/>
      <c r="E234" s="132"/>
      <c r="F234" s="170"/>
      <c r="G234" s="150"/>
      <c r="H234" s="152"/>
      <c r="I234" s="204"/>
      <c r="J234" s="285"/>
      <c r="K234" s="251"/>
      <c r="L234" s="133" t="str">
        <f>IF(AND(I234&lt;&gt;"",ISERROR(IF(ISERROR(VLOOKUP(I234*1,Summary!$C$8:$C$153,1,0)),VLOOKUP(I234,Summary!$C$8:$C$153,1,0),VLOOKUP(I234*1,Summary!$C$8:$C$153,1,0)))),"Add account Number to Summary","")</f>
        <v/>
      </c>
      <c r="M234" s="131" t="str">
        <f t="shared" si="3"/>
        <v/>
      </c>
      <c r="N234" s="287">
        <f>IF(C234="Sale",SUMIFS($D$4:D234,$B$4:B234,B234,$C$4:C234,"")+SUMIFS($D$4:D234,$B$4:B234,B234,$C$4:C234,"Purch")-SUMIFS($D$4:D234,$B$4:B234,B234,$C$4:C234,"Sale"),0)</f>
        <v>0</v>
      </c>
    </row>
    <row r="235" spans="1:14" x14ac:dyDescent="0.2">
      <c r="A235" s="152"/>
      <c r="B235" s="132"/>
      <c r="C235" s="132"/>
      <c r="D235" s="277"/>
      <c r="E235" s="132"/>
      <c r="F235" s="170"/>
      <c r="G235" s="150"/>
      <c r="H235" s="152"/>
      <c r="I235" s="204"/>
      <c r="J235" s="285"/>
      <c r="K235" s="251"/>
      <c r="L235" s="133" t="str">
        <f>IF(AND(I235&lt;&gt;"",ISERROR(IF(ISERROR(VLOOKUP(I235*1,Summary!$C$8:$C$153,1,0)),VLOOKUP(I235,Summary!$C$8:$C$153,1,0),VLOOKUP(I235*1,Summary!$C$8:$C$153,1,0)))),"Add account Number to Summary","")</f>
        <v/>
      </c>
      <c r="M235" s="131" t="str">
        <f t="shared" si="3"/>
        <v/>
      </c>
      <c r="N235" s="287">
        <f>IF(C235="Sale",SUMIFS($D$4:D235,$B$4:B235,B235,$C$4:C235,"")+SUMIFS($D$4:D235,$B$4:B235,B235,$C$4:C235,"Purch")-SUMIFS($D$4:D235,$B$4:B235,B235,$C$4:C235,"Sale"),0)</f>
        <v>0</v>
      </c>
    </row>
    <row r="236" spans="1:14" x14ac:dyDescent="0.2">
      <c r="A236" s="152"/>
      <c r="B236" s="132"/>
      <c r="C236" s="132"/>
      <c r="D236" s="277"/>
      <c r="E236" s="132"/>
      <c r="F236" s="170"/>
      <c r="G236" s="150"/>
      <c r="H236" s="152"/>
      <c r="I236" s="204"/>
      <c r="J236" s="285"/>
      <c r="K236" s="251"/>
      <c r="L236" s="133" t="str">
        <f>IF(AND(I236&lt;&gt;"",ISERROR(IF(ISERROR(VLOOKUP(I236*1,Summary!$C$8:$C$153,1,0)),VLOOKUP(I236,Summary!$C$8:$C$153,1,0),VLOOKUP(I236*1,Summary!$C$8:$C$153,1,0)))),"Add account Number to Summary","")</f>
        <v/>
      </c>
      <c r="M236" s="131" t="str">
        <f t="shared" ref="M236:M299" si="4">IF(K236="Yes",IF(YEAR(A236)&lt;&gt;YEAR(date),"Check Date",""),"")</f>
        <v/>
      </c>
      <c r="N236" s="287">
        <f>IF(C236="Sale",SUMIFS($D$4:D236,$B$4:B236,B236,$C$4:C236,"")+SUMIFS($D$4:D236,$B$4:B236,B236,$C$4:C236,"Purch")-SUMIFS($D$4:D236,$B$4:B236,B236,$C$4:C236,"Sale"),0)</f>
        <v>0</v>
      </c>
    </row>
    <row r="237" spans="1:14" x14ac:dyDescent="0.2">
      <c r="A237" s="152"/>
      <c r="B237" s="132"/>
      <c r="C237" s="132"/>
      <c r="D237" s="277"/>
      <c r="E237" s="132"/>
      <c r="F237" s="170"/>
      <c r="G237" s="150"/>
      <c r="H237" s="152"/>
      <c r="I237" s="204"/>
      <c r="J237" s="285"/>
      <c r="K237" s="251"/>
      <c r="L237" s="133" t="str">
        <f>IF(AND(I237&lt;&gt;"",ISERROR(IF(ISERROR(VLOOKUP(I237*1,Summary!$C$8:$C$153,1,0)),VLOOKUP(I237,Summary!$C$8:$C$153,1,0),VLOOKUP(I237*1,Summary!$C$8:$C$153,1,0)))),"Add account Number to Summary","")</f>
        <v/>
      </c>
      <c r="M237" s="131" t="str">
        <f t="shared" si="4"/>
        <v/>
      </c>
      <c r="N237" s="287">
        <f>IF(C237="Sale",SUMIFS($D$4:D237,$B$4:B237,B237,$C$4:C237,"")+SUMIFS($D$4:D237,$B$4:B237,B237,$C$4:C237,"Purch")-SUMIFS($D$4:D237,$B$4:B237,B237,$C$4:C237,"Sale"),0)</f>
        <v>0</v>
      </c>
    </row>
    <row r="238" spans="1:14" x14ac:dyDescent="0.2">
      <c r="A238" s="152"/>
      <c r="B238" s="132"/>
      <c r="C238" s="132"/>
      <c r="D238" s="277"/>
      <c r="E238" s="132"/>
      <c r="F238" s="170"/>
      <c r="G238" s="150"/>
      <c r="H238" s="152"/>
      <c r="I238" s="204"/>
      <c r="J238" s="285"/>
      <c r="K238" s="251"/>
      <c r="L238" s="133" t="str">
        <f>IF(AND(I238&lt;&gt;"",ISERROR(IF(ISERROR(VLOOKUP(I238*1,Summary!$C$8:$C$153,1,0)),VLOOKUP(I238,Summary!$C$8:$C$153,1,0),VLOOKUP(I238*1,Summary!$C$8:$C$153,1,0)))),"Add account Number to Summary","")</f>
        <v/>
      </c>
      <c r="M238" s="131" t="str">
        <f t="shared" si="4"/>
        <v/>
      </c>
      <c r="N238" s="287">
        <f>IF(C238="Sale",SUMIFS($D$4:D238,$B$4:B238,B238,$C$4:C238,"")+SUMIFS($D$4:D238,$B$4:B238,B238,$C$4:C238,"Purch")-SUMIFS($D$4:D238,$B$4:B238,B238,$C$4:C238,"Sale"),0)</f>
        <v>0</v>
      </c>
    </row>
    <row r="239" spans="1:14" x14ac:dyDescent="0.2">
      <c r="A239" s="152"/>
      <c r="B239" s="132"/>
      <c r="C239" s="132"/>
      <c r="D239" s="277"/>
      <c r="E239" s="132"/>
      <c r="F239" s="170"/>
      <c r="G239" s="150"/>
      <c r="H239" s="152"/>
      <c r="I239" s="204"/>
      <c r="J239" s="285"/>
      <c r="K239" s="251"/>
      <c r="L239" s="133" t="str">
        <f>IF(AND(I239&lt;&gt;"",ISERROR(IF(ISERROR(VLOOKUP(I239*1,Summary!$C$8:$C$153,1,0)),VLOOKUP(I239,Summary!$C$8:$C$153,1,0),VLOOKUP(I239*1,Summary!$C$8:$C$153,1,0)))),"Add account Number to Summary","")</f>
        <v/>
      </c>
      <c r="M239" s="131" t="str">
        <f t="shared" si="4"/>
        <v/>
      </c>
      <c r="N239" s="287">
        <f>IF(C239="Sale",SUMIFS($D$4:D239,$B$4:B239,B239,$C$4:C239,"")+SUMIFS($D$4:D239,$B$4:B239,B239,$C$4:C239,"Purch")-SUMIFS($D$4:D239,$B$4:B239,B239,$C$4:C239,"Sale"),0)</f>
        <v>0</v>
      </c>
    </row>
    <row r="240" spans="1:14" x14ac:dyDescent="0.2">
      <c r="A240" s="152"/>
      <c r="B240" s="132"/>
      <c r="C240" s="132"/>
      <c r="D240" s="277"/>
      <c r="E240" s="132"/>
      <c r="F240" s="170"/>
      <c r="G240" s="150"/>
      <c r="H240" s="152"/>
      <c r="I240" s="204"/>
      <c r="J240" s="285"/>
      <c r="K240" s="251"/>
      <c r="L240" s="133" t="str">
        <f>IF(AND(I240&lt;&gt;"",ISERROR(IF(ISERROR(VLOOKUP(I240*1,Summary!$C$8:$C$153,1,0)),VLOOKUP(I240,Summary!$C$8:$C$153,1,0),VLOOKUP(I240*1,Summary!$C$8:$C$153,1,0)))),"Add account Number to Summary","")</f>
        <v/>
      </c>
      <c r="M240" s="131" t="str">
        <f t="shared" si="4"/>
        <v/>
      </c>
      <c r="N240" s="287">
        <f>IF(C240="Sale",SUMIFS($D$4:D240,$B$4:B240,B240,$C$4:C240,"")+SUMIFS($D$4:D240,$B$4:B240,B240,$C$4:C240,"Purch")-SUMIFS($D$4:D240,$B$4:B240,B240,$C$4:C240,"Sale"),0)</f>
        <v>0</v>
      </c>
    </row>
    <row r="241" spans="1:14" x14ac:dyDescent="0.2">
      <c r="A241" s="152"/>
      <c r="B241" s="132"/>
      <c r="C241" s="132"/>
      <c r="D241" s="277"/>
      <c r="E241" s="132"/>
      <c r="F241" s="170"/>
      <c r="G241" s="150"/>
      <c r="H241" s="152"/>
      <c r="I241" s="204"/>
      <c r="J241" s="285"/>
      <c r="K241" s="251"/>
      <c r="L241" s="133" t="str">
        <f>IF(AND(I241&lt;&gt;"",ISERROR(IF(ISERROR(VLOOKUP(I241*1,Summary!$C$8:$C$153,1,0)),VLOOKUP(I241,Summary!$C$8:$C$153,1,0),VLOOKUP(I241*1,Summary!$C$8:$C$153,1,0)))),"Add account Number to Summary","")</f>
        <v/>
      </c>
      <c r="M241" s="131" t="str">
        <f t="shared" si="4"/>
        <v/>
      </c>
      <c r="N241" s="287">
        <f>IF(C241="Sale",SUMIFS($D$4:D241,$B$4:B241,B241,$C$4:C241,"")+SUMIFS($D$4:D241,$B$4:B241,B241,$C$4:C241,"Purch")-SUMIFS($D$4:D241,$B$4:B241,B241,$C$4:C241,"Sale"),0)</f>
        <v>0</v>
      </c>
    </row>
    <row r="242" spans="1:14" x14ac:dyDescent="0.2">
      <c r="A242" s="152"/>
      <c r="B242" s="132"/>
      <c r="C242" s="132"/>
      <c r="D242" s="277"/>
      <c r="E242" s="132"/>
      <c r="F242" s="170"/>
      <c r="G242" s="150"/>
      <c r="H242" s="152"/>
      <c r="I242" s="204"/>
      <c r="J242" s="285"/>
      <c r="K242" s="251"/>
      <c r="L242" s="133" t="str">
        <f>IF(AND(I242&lt;&gt;"",ISERROR(IF(ISERROR(VLOOKUP(I242*1,Summary!$C$8:$C$153,1,0)),VLOOKUP(I242,Summary!$C$8:$C$153,1,0),VLOOKUP(I242*1,Summary!$C$8:$C$153,1,0)))),"Add account Number to Summary","")</f>
        <v/>
      </c>
      <c r="M242" s="131" t="str">
        <f t="shared" si="4"/>
        <v/>
      </c>
      <c r="N242" s="287">
        <f>IF(C242="Sale",SUMIFS($D$4:D242,$B$4:B242,B242,$C$4:C242,"")+SUMIFS($D$4:D242,$B$4:B242,B242,$C$4:C242,"Purch")-SUMIFS($D$4:D242,$B$4:B242,B242,$C$4:C242,"Sale"),0)</f>
        <v>0</v>
      </c>
    </row>
    <row r="243" spans="1:14" x14ac:dyDescent="0.2">
      <c r="A243" s="152"/>
      <c r="B243" s="132"/>
      <c r="C243" s="132"/>
      <c r="D243" s="277"/>
      <c r="E243" s="132"/>
      <c r="F243" s="170"/>
      <c r="G243" s="150"/>
      <c r="H243" s="152"/>
      <c r="I243" s="204"/>
      <c r="J243" s="285"/>
      <c r="K243" s="251"/>
      <c r="L243" s="133" t="str">
        <f>IF(AND(I243&lt;&gt;"",ISERROR(IF(ISERROR(VLOOKUP(I243*1,Summary!$C$8:$C$153,1,0)),VLOOKUP(I243,Summary!$C$8:$C$153,1,0),VLOOKUP(I243*1,Summary!$C$8:$C$153,1,0)))),"Add account Number to Summary","")</f>
        <v/>
      </c>
      <c r="M243" s="131" t="str">
        <f t="shared" si="4"/>
        <v/>
      </c>
      <c r="N243" s="287">
        <f>IF(C243="Sale",SUMIFS($D$4:D243,$B$4:B243,B243,$C$4:C243,"")+SUMIFS($D$4:D243,$B$4:B243,B243,$C$4:C243,"Purch")-SUMIFS($D$4:D243,$B$4:B243,B243,$C$4:C243,"Sale"),0)</f>
        <v>0</v>
      </c>
    </row>
    <row r="244" spans="1:14" x14ac:dyDescent="0.2">
      <c r="A244" s="152"/>
      <c r="B244" s="132"/>
      <c r="C244" s="132"/>
      <c r="D244" s="277"/>
      <c r="E244" s="132"/>
      <c r="F244" s="170"/>
      <c r="G244" s="150"/>
      <c r="H244" s="152"/>
      <c r="I244" s="204"/>
      <c r="J244" s="285"/>
      <c r="K244" s="251"/>
      <c r="L244" s="133" t="str">
        <f>IF(AND(I244&lt;&gt;"",ISERROR(IF(ISERROR(VLOOKUP(I244*1,Summary!$C$8:$C$153,1,0)),VLOOKUP(I244,Summary!$C$8:$C$153,1,0),VLOOKUP(I244*1,Summary!$C$8:$C$153,1,0)))),"Add account Number to Summary","")</f>
        <v/>
      </c>
      <c r="M244" s="131" t="str">
        <f t="shared" si="4"/>
        <v/>
      </c>
      <c r="N244" s="287">
        <f>IF(C244="Sale",SUMIFS($D$4:D244,$B$4:B244,B244,$C$4:C244,"")+SUMIFS($D$4:D244,$B$4:B244,B244,$C$4:C244,"Purch")-SUMIFS($D$4:D244,$B$4:B244,B244,$C$4:C244,"Sale"),0)</f>
        <v>0</v>
      </c>
    </row>
    <row r="245" spans="1:14" x14ac:dyDescent="0.2">
      <c r="A245" s="152"/>
      <c r="B245" s="132"/>
      <c r="C245" s="132"/>
      <c r="D245" s="277"/>
      <c r="E245" s="132"/>
      <c r="F245" s="170"/>
      <c r="G245" s="150"/>
      <c r="H245" s="152"/>
      <c r="I245" s="204"/>
      <c r="J245" s="285"/>
      <c r="K245" s="251"/>
      <c r="L245" s="133" t="str">
        <f>IF(AND(I245&lt;&gt;"",ISERROR(IF(ISERROR(VLOOKUP(I245*1,Summary!$C$8:$C$153,1,0)),VLOOKUP(I245,Summary!$C$8:$C$153,1,0),VLOOKUP(I245*1,Summary!$C$8:$C$153,1,0)))),"Add account Number to Summary","")</f>
        <v/>
      </c>
      <c r="M245" s="131" t="str">
        <f t="shared" si="4"/>
        <v/>
      </c>
      <c r="N245" s="287">
        <f>IF(C245="Sale",SUMIFS($D$4:D245,$B$4:B245,B245,$C$4:C245,"")+SUMIFS($D$4:D245,$B$4:B245,B245,$C$4:C245,"Purch")-SUMIFS($D$4:D245,$B$4:B245,B245,$C$4:C245,"Sale"),0)</f>
        <v>0</v>
      </c>
    </row>
    <row r="246" spans="1:14" x14ac:dyDescent="0.2">
      <c r="A246" s="152"/>
      <c r="B246" s="132"/>
      <c r="C246" s="132"/>
      <c r="D246" s="277"/>
      <c r="E246" s="132"/>
      <c r="F246" s="170"/>
      <c r="G246" s="150"/>
      <c r="H246" s="152"/>
      <c r="I246" s="204"/>
      <c r="J246" s="285"/>
      <c r="K246" s="251"/>
      <c r="L246" s="133" t="str">
        <f>IF(AND(I246&lt;&gt;"",ISERROR(IF(ISERROR(VLOOKUP(I246*1,Summary!$C$8:$C$153,1,0)),VLOOKUP(I246,Summary!$C$8:$C$153,1,0),VLOOKUP(I246*1,Summary!$C$8:$C$153,1,0)))),"Add account Number to Summary","")</f>
        <v/>
      </c>
      <c r="M246" s="131" t="str">
        <f t="shared" si="4"/>
        <v/>
      </c>
      <c r="N246" s="287">
        <f>IF(C246="Sale",SUMIFS($D$4:D246,$B$4:B246,B246,$C$4:C246,"")+SUMIFS($D$4:D246,$B$4:B246,B246,$C$4:C246,"Purch")-SUMIFS($D$4:D246,$B$4:B246,B246,$C$4:C246,"Sale"),0)</f>
        <v>0</v>
      </c>
    </row>
    <row r="247" spans="1:14" x14ac:dyDescent="0.2">
      <c r="A247" s="152"/>
      <c r="B247" s="132"/>
      <c r="C247" s="132"/>
      <c r="D247" s="277"/>
      <c r="E247" s="132"/>
      <c r="F247" s="170"/>
      <c r="G247" s="150"/>
      <c r="H247" s="152"/>
      <c r="I247" s="204"/>
      <c r="J247" s="285"/>
      <c r="K247" s="251"/>
      <c r="L247" s="133" t="str">
        <f>IF(AND(I247&lt;&gt;"",ISERROR(IF(ISERROR(VLOOKUP(I247*1,Summary!$C$8:$C$153,1,0)),VLOOKUP(I247,Summary!$C$8:$C$153,1,0),VLOOKUP(I247*1,Summary!$C$8:$C$153,1,0)))),"Add account Number to Summary","")</f>
        <v/>
      </c>
      <c r="M247" s="131" t="str">
        <f t="shared" si="4"/>
        <v/>
      </c>
      <c r="N247" s="287">
        <f>IF(C247="Sale",SUMIFS($D$4:D247,$B$4:B247,B247,$C$4:C247,"")+SUMIFS($D$4:D247,$B$4:B247,B247,$C$4:C247,"Purch")-SUMIFS($D$4:D247,$B$4:B247,B247,$C$4:C247,"Sale"),0)</f>
        <v>0</v>
      </c>
    </row>
    <row r="248" spans="1:14" x14ac:dyDescent="0.2">
      <c r="A248" s="152"/>
      <c r="B248" s="132"/>
      <c r="C248" s="132"/>
      <c r="D248" s="277"/>
      <c r="E248" s="132"/>
      <c r="F248" s="170"/>
      <c r="G248" s="150"/>
      <c r="H248" s="152"/>
      <c r="I248" s="204"/>
      <c r="J248" s="285"/>
      <c r="K248" s="251"/>
      <c r="L248" s="133" t="str">
        <f>IF(AND(I248&lt;&gt;"",ISERROR(IF(ISERROR(VLOOKUP(I248*1,Summary!$C$8:$C$153,1,0)),VLOOKUP(I248,Summary!$C$8:$C$153,1,0),VLOOKUP(I248*1,Summary!$C$8:$C$153,1,0)))),"Add account Number to Summary","")</f>
        <v/>
      </c>
      <c r="M248" s="131" t="str">
        <f t="shared" si="4"/>
        <v/>
      </c>
      <c r="N248" s="287">
        <f>IF(C248="Sale",SUMIFS($D$4:D248,$B$4:B248,B248,$C$4:C248,"")+SUMIFS($D$4:D248,$B$4:B248,B248,$C$4:C248,"Purch")-SUMIFS($D$4:D248,$B$4:B248,B248,$C$4:C248,"Sale"),0)</f>
        <v>0</v>
      </c>
    </row>
    <row r="249" spans="1:14" x14ac:dyDescent="0.2">
      <c r="A249" s="152"/>
      <c r="B249" s="132"/>
      <c r="C249" s="132"/>
      <c r="D249" s="277"/>
      <c r="E249" s="132"/>
      <c r="F249" s="170"/>
      <c r="G249" s="150"/>
      <c r="H249" s="152"/>
      <c r="I249" s="204"/>
      <c r="J249" s="285"/>
      <c r="K249" s="251"/>
      <c r="L249" s="133" t="str">
        <f>IF(AND(I249&lt;&gt;"",ISERROR(IF(ISERROR(VLOOKUP(I249*1,Summary!$C$8:$C$153,1,0)),VLOOKUP(I249,Summary!$C$8:$C$153,1,0),VLOOKUP(I249*1,Summary!$C$8:$C$153,1,0)))),"Add account Number to Summary","")</f>
        <v/>
      </c>
      <c r="M249" s="131" t="str">
        <f t="shared" si="4"/>
        <v/>
      </c>
      <c r="N249" s="287">
        <f>IF(C249="Sale",SUMIFS($D$4:D249,$B$4:B249,B249,$C$4:C249,"")+SUMIFS($D$4:D249,$B$4:B249,B249,$C$4:C249,"Purch")-SUMIFS($D$4:D249,$B$4:B249,B249,$C$4:C249,"Sale"),0)</f>
        <v>0</v>
      </c>
    </row>
    <row r="250" spans="1:14" x14ac:dyDescent="0.2">
      <c r="A250" s="152"/>
      <c r="B250" s="132"/>
      <c r="C250" s="132"/>
      <c r="D250" s="277"/>
      <c r="E250" s="132"/>
      <c r="F250" s="170"/>
      <c r="G250" s="150"/>
      <c r="H250" s="152"/>
      <c r="I250" s="204"/>
      <c r="J250" s="285"/>
      <c r="K250" s="251"/>
      <c r="L250" s="133" t="str">
        <f>IF(AND(I250&lt;&gt;"",ISERROR(IF(ISERROR(VLOOKUP(I250*1,Summary!$C$8:$C$153,1,0)),VLOOKUP(I250,Summary!$C$8:$C$153,1,0),VLOOKUP(I250*1,Summary!$C$8:$C$153,1,0)))),"Add account Number to Summary","")</f>
        <v/>
      </c>
      <c r="M250" s="131" t="str">
        <f t="shared" si="4"/>
        <v/>
      </c>
      <c r="N250" s="287">
        <f>IF(C250="Sale",SUMIFS($D$4:D250,$B$4:B250,B250,$C$4:C250,"")+SUMIFS($D$4:D250,$B$4:B250,B250,$C$4:C250,"Purch")-SUMIFS($D$4:D250,$B$4:B250,B250,$C$4:C250,"Sale"),0)</f>
        <v>0</v>
      </c>
    </row>
    <row r="251" spans="1:14" x14ac:dyDescent="0.2">
      <c r="A251" s="152"/>
      <c r="B251" s="132"/>
      <c r="C251" s="132"/>
      <c r="D251" s="277"/>
      <c r="E251" s="132"/>
      <c r="F251" s="170"/>
      <c r="G251" s="150"/>
      <c r="H251" s="152"/>
      <c r="I251" s="204"/>
      <c r="J251" s="285"/>
      <c r="K251" s="251"/>
      <c r="L251" s="133" t="str">
        <f>IF(AND(I251&lt;&gt;"",ISERROR(IF(ISERROR(VLOOKUP(I251*1,Summary!$C$8:$C$153,1,0)),VLOOKUP(I251,Summary!$C$8:$C$153,1,0),VLOOKUP(I251*1,Summary!$C$8:$C$153,1,0)))),"Add account Number to Summary","")</f>
        <v/>
      </c>
      <c r="M251" s="131" t="str">
        <f t="shared" si="4"/>
        <v/>
      </c>
      <c r="N251" s="287">
        <f>IF(C251="Sale",SUMIFS($D$4:D251,$B$4:B251,B251,$C$4:C251,"")+SUMIFS($D$4:D251,$B$4:B251,B251,$C$4:C251,"Purch")-SUMIFS($D$4:D251,$B$4:B251,B251,$C$4:C251,"Sale"),0)</f>
        <v>0</v>
      </c>
    </row>
    <row r="252" spans="1:14" x14ac:dyDescent="0.2">
      <c r="A252" s="152"/>
      <c r="B252" s="132"/>
      <c r="C252" s="132"/>
      <c r="D252" s="277"/>
      <c r="E252" s="132"/>
      <c r="F252" s="170"/>
      <c r="G252" s="150"/>
      <c r="H252" s="152"/>
      <c r="I252" s="204"/>
      <c r="J252" s="285"/>
      <c r="K252" s="251"/>
      <c r="L252" s="133" t="str">
        <f>IF(AND(I252&lt;&gt;"",ISERROR(IF(ISERROR(VLOOKUP(I252*1,Summary!$C$8:$C$153,1,0)),VLOOKUP(I252,Summary!$C$8:$C$153,1,0),VLOOKUP(I252*1,Summary!$C$8:$C$153,1,0)))),"Add account Number to Summary","")</f>
        <v/>
      </c>
      <c r="M252" s="131" t="str">
        <f t="shared" si="4"/>
        <v/>
      </c>
      <c r="N252" s="287">
        <f>IF(C252="Sale",SUMIFS($D$4:D252,$B$4:B252,B252,$C$4:C252,"")+SUMIFS($D$4:D252,$B$4:B252,B252,$C$4:C252,"Purch")-SUMIFS($D$4:D252,$B$4:B252,B252,$C$4:C252,"Sale"),0)</f>
        <v>0</v>
      </c>
    </row>
    <row r="253" spans="1:14" x14ac:dyDescent="0.2">
      <c r="A253" s="152"/>
      <c r="B253" s="132"/>
      <c r="C253" s="132"/>
      <c r="D253" s="277"/>
      <c r="E253" s="132"/>
      <c r="F253" s="170"/>
      <c r="G253" s="150"/>
      <c r="H253" s="152"/>
      <c r="I253" s="204"/>
      <c r="J253" s="285"/>
      <c r="K253" s="251"/>
      <c r="L253" s="133" t="str">
        <f>IF(AND(I253&lt;&gt;"",ISERROR(IF(ISERROR(VLOOKUP(I253*1,Summary!$C$8:$C$153,1,0)),VLOOKUP(I253,Summary!$C$8:$C$153,1,0),VLOOKUP(I253*1,Summary!$C$8:$C$153,1,0)))),"Add account Number to Summary","")</f>
        <v/>
      </c>
      <c r="M253" s="131" t="str">
        <f t="shared" si="4"/>
        <v/>
      </c>
      <c r="N253" s="287">
        <f>IF(C253="Sale",SUMIFS($D$4:D253,$B$4:B253,B253,$C$4:C253,"")+SUMIFS($D$4:D253,$B$4:B253,B253,$C$4:C253,"Purch")-SUMIFS($D$4:D253,$B$4:B253,B253,$C$4:C253,"Sale"),0)</f>
        <v>0</v>
      </c>
    </row>
    <row r="254" spans="1:14" x14ac:dyDescent="0.2">
      <c r="A254" s="152"/>
      <c r="B254" s="132"/>
      <c r="C254" s="132"/>
      <c r="D254" s="277"/>
      <c r="E254" s="132"/>
      <c r="F254" s="170"/>
      <c r="G254" s="150"/>
      <c r="H254" s="152"/>
      <c r="I254" s="204"/>
      <c r="J254" s="285"/>
      <c r="K254" s="251"/>
      <c r="L254" s="133" t="str">
        <f>IF(AND(I254&lt;&gt;"",ISERROR(IF(ISERROR(VLOOKUP(I254*1,Summary!$C$8:$C$153,1,0)),VLOOKUP(I254,Summary!$C$8:$C$153,1,0),VLOOKUP(I254*1,Summary!$C$8:$C$153,1,0)))),"Add account Number to Summary","")</f>
        <v/>
      </c>
      <c r="M254" s="131" t="str">
        <f t="shared" si="4"/>
        <v/>
      </c>
      <c r="N254" s="287">
        <f>IF(C254="Sale",SUMIFS($D$4:D254,$B$4:B254,B254,$C$4:C254,"")+SUMIFS($D$4:D254,$B$4:B254,B254,$C$4:C254,"Purch")-SUMIFS($D$4:D254,$B$4:B254,B254,$C$4:C254,"Sale"),0)</f>
        <v>0</v>
      </c>
    </row>
    <row r="255" spans="1:14" x14ac:dyDescent="0.2">
      <c r="A255" s="152"/>
      <c r="B255" s="132"/>
      <c r="C255" s="132"/>
      <c r="D255" s="277"/>
      <c r="E255" s="132"/>
      <c r="F255" s="170"/>
      <c r="G255" s="150"/>
      <c r="H255" s="152"/>
      <c r="I255" s="204"/>
      <c r="J255" s="285"/>
      <c r="K255" s="251"/>
      <c r="L255" s="133" t="str">
        <f>IF(AND(I255&lt;&gt;"",ISERROR(IF(ISERROR(VLOOKUP(I255*1,Summary!$C$8:$C$153,1,0)),VLOOKUP(I255,Summary!$C$8:$C$153,1,0),VLOOKUP(I255*1,Summary!$C$8:$C$153,1,0)))),"Add account Number to Summary","")</f>
        <v/>
      </c>
      <c r="M255" s="131" t="str">
        <f t="shared" si="4"/>
        <v/>
      </c>
      <c r="N255" s="287">
        <f>IF(C255="Sale",SUMIFS($D$4:D255,$B$4:B255,B255,$C$4:C255,"")+SUMIFS($D$4:D255,$B$4:B255,B255,$C$4:C255,"Purch")-SUMIFS($D$4:D255,$B$4:B255,B255,$C$4:C255,"Sale"),0)</f>
        <v>0</v>
      </c>
    </row>
    <row r="256" spans="1:14" x14ac:dyDescent="0.2">
      <c r="A256" s="152"/>
      <c r="B256" s="132"/>
      <c r="C256" s="132"/>
      <c r="D256" s="277"/>
      <c r="E256" s="132"/>
      <c r="F256" s="170"/>
      <c r="G256" s="150"/>
      <c r="H256" s="152"/>
      <c r="I256" s="204"/>
      <c r="J256" s="285"/>
      <c r="K256" s="251"/>
      <c r="L256" s="133" t="str">
        <f>IF(AND(I256&lt;&gt;"",ISERROR(IF(ISERROR(VLOOKUP(I256*1,Summary!$C$8:$C$153,1,0)),VLOOKUP(I256,Summary!$C$8:$C$153,1,0),VLOOKUP(I256*1,Summary!$C$8:$C$153,1,0)))),"Add account Number to Summary","")</f>
        <v/>
      </c>
      <c r="M256" s="131" t="str">
        <f t="shared" si="4"/>
        <v/>
      </c>
      <c r="N256" s="287">
        <f>IF(C256="Sale",SUMIFS($D$4:D256,$B$4:B256,B256,$C$4:C256,"")+SUMIFS($D$4:D256,$B$4:B256,B256,$C$4:C256,"Purch")-SUMIFS($D$4:D256,$B$4:B256,B256,$C$4:C256,"Sale"),0)</f>
        <v>0</v>
      </c>
    </row>
    <row r="257" spans="1:14" x14ac:dyDescent="0.2">
      <c r="A257" s="152"/>
      <c r="B257" s="132"/>
      <c r="C257" s="132"/>
      <c r="D257" s="277"/>
      <c r="E257" s="132"/>
      <c r="F257" s="170"/>
      <c r="G257" s="150"/>
      <c r="H257" s="152"/>
      <c r="I257" s="204"/>
      <c r="J257" s="285"/>
      <c r="K257" s="251"/>
      <c r="L257" s="133" t="str">
        <f>IF(AND(I257&lt;&gt;"",ISERROR(IF(ISERROR(VLOOKUP(I257*1,Summary!$C$8:$C$153,1,0)),VLOOKUP(I257,Summary!$C$8:$C$153,1,0),VLOOKUP(I257*1,Summary!$C$8:$C$153,1,0)))),"Add account Number to Summary","")</f>
        <v/>
      </c>
      <c r="M257" s="131" t="str">
        <f t="shared" si="4"/>
        <v/>
      </c>
      <c r="N257" s="287">
        <f>IF(C257="Sale",SUMIFS($D$4:D257,$B$4:B257,B257,$C$4:C257,"")+SUMIFS($D$4:D257,$B$4:B257,B257,$C$4:C257,"Purch")-SUMIFS($D$4:D257,$B$4:B257,B257,$C$4:C257,"Sale"),0)</f>
        <v>0</v>
      </c>
    </row>
    <row r="258" spans="1:14" x14ac:dyDescent="0.2">
      <c r="A258" s="152"/>
      <c r="B258" s="132"/>
      <c r="C258" s="132"/>
      <c r="D258" s="277"/>
      <c r="E258" s="132"/>
      <c r="F258" s="170"/>
      <c r="G258" s="150"/>
      <c r="H258" s="152"/>
      <c r="I258" s="204"/>
      <c r="J258" s="285"/>
      <c r="K258" s="251"/>
      <c r="L258" s="133" t="str">
        <f>IF(AND(I258&lt;&gt;"",ISERROR(IF(ISERROR(VLOOKUP(I258*1,Summary!$C$8:$C$153,1,0)),VLOOKUP(I258,Summary!$C$8:$C$153,1,0),VLOOKUP(I258*1,Summary!$C$8:$C$153,1,0)))),"Add account Number to Summary","")</f>
        <v/>
      </c>
      <c r="M258" s="131" t="str">
        <f t="shared" si="4"/>
        <v/>
      </c>
      <c r="N258" s="287">
        <f>IF(C258="Sale",SUMIFS($D$4:D258,$B$4:B258,B258,$C$4:C258,"")+SUMIFS($D$4:D258,$B$4:B258,B258,$C$4:C258,"Purch")-SUMIFS($D$4:D258,$B$4:B258,B258,$C$4:C258,"Sale"),0)</f>
        <v>0</v>
      </c>
    </row>
    <row r="259" spans="1:14" x14ac:dyDescent="0.2">
      <c r="A259" s="152"/>
      <c r="B259" s="132"/>
      <c r="C259" s="132"/>
      <c r="D259" s="277"/>
      <c r="E259" s="132"/>
      <c r="F259" s="170"/>
      <c r="G259" s="150"/>
      <c r="H259" s="152"/>
      <c r="I259" s="204"/>
      <c r="J259" s="285"/>
      <c r="K259" s="251"/>
      <c r="L259" s="133" t="str">
        <f>IF(AND(I259&lt;&gt;"",ISERROR(IF(ISERROR(VLOOKUP(I259*1,Summary!$C$8:$C$153,1,0)),VLOOKUP(I259,Summary!$C$8:$C$153,1,0),VLOOKUP(I259*1,Summary!$C$8:$C$153,1,0)))),"Add account Number to Summary","")</f>
        <v/>
      </c>
      <c r="M259" s="131" t="str">
        <f t="shared" si="4"/>
        <v/>
      </c>
      <c r="N259" s="287">
        <f>IF(C259="Sale",SUMIFS($D$4:D259,$B$4:B259,B259,$C$4:C259,"")+SUMIFS($D$4:D259,$B$4:B259,B259,$C$4:C259,"Purch")-SUMIFS($D$4:D259,$B$4:B259,B259,$C$4:C259,"Sale"),0)</f>
        <v>0</v>
      </c>
    </row>
    <row r="260" spans="1:14" x14ac:dyDescent="0.2">
      <c r="A260" s="152"/>
      <c r="B260" s="132"/>
      <c r="C260" s="132"/>
      <c r="D260" s="277"/>
      <c r="E260" s="132"/>
      <c r="F260" s="170"/>
      <c r="G260" s="150"/>
      <c r="H260" s="152"/>
      <c r="I260" s="204"/>
      <c r="J260" s="285"/>
      <c r="K260" s="251"/>
      <c r="L260" s="133" t="str">
        <f>IF(AND(I260&lt;&gt;"",ISERROR(IF(ISERROR(VLOOKUP(I260*1,Summary!$C$8:$C$153,1,0)),VLOOKUP(I260,Summary!$C$8:$C$153,1,0),VLOOKUP(I260*1,Summary!$C$8:$C$153,1,0)))),"Add account Number to Summary","")</f>
        <v/>
      </c>
      <c r="M260" s="131" t="str">
        <f t="shared" si="4"/>
        <v/>
      </c>
      <c r="N260" s="287">
        <f>IF(C260="Sale",SUMIFS($D$4:D260,$B$4:B260,B260,$C$4:C260,"")+SUMIFS($D$4:D260,$B$4:B260,B260,$C$4:C260,"Purch")-SUMIFS($D$4:D260,$B$4:B260,B260,$C$4:C260,"Sale"),0)</f>
        <v>0</v>
      </c>
    </row>
    <row r="261" spans="1:14" x14ac:dyDescent="0.2">
      <c r="A261" s="152"/>
      <c r="B261" s="132"/>
      <c r="C261" s="132"/>
      <c r="D261" s="277"/>
      <c r="E261" s="132"/>
      <c r="F261" s="170"/>
      <c r="G261" s="150"/>
      <c r="H261" s="152"/>
      <c r="I261" s="204"/>
      <c r="J261" s="285"/>
      <c r="K261" s="251"/>
      <c r="L261" s="133" t="str">
        <f>IF(AND(I261&lt;&gt;"",ISERROR(IF(ISERROR(VLOOKUP(I261*1,Summary!$C$8:$C$153,1,0)),VLOOKUP(I261,Summary!$C$8:$C$153,1,0),VLOOKUP(I261*1,Summary!$C$8:$C$153,1,0)))),"Add account Number to Summary","")</f>
        <v/>
      </c>
      <c r="M261" s="131" t="str">
        <f t="shared" si="4"/>
        <v/>
      </c>
      <c r="N261" s="287">
        <f>IF(C261="Sale",SUMIFS($D$4:D261,$B$4:B261,B261,$C$4:C261,"")+SUMIFS($D$4:D261,$B$4:B261,B261,$C$4:C261,"Purch")-SUMIFS($D$4:D261,$B$4:B261,B261,$C$4:C261,"Sale"),0)</f>
        <v>0</v>
      </c>
    </row>
    <row r="262" spans="1:14" x14ac:dyDescent="0.2">
      <c r="A262" s="152"/>
      <c r="B262" s="132"/>
      <c r="C262" s="132"/>
      <c r="D262" s="277"/>
      <c r="E262" s="132"/>
      <c r="F262" s="170"/>
      <c r="G262" s="150"/>
      <c r="H262" s="152"/>
      <c r="I262" s="204"/>
      <c r="J262" s="285"/>
      <c r="K262" s="251"/>
      <c r="L262" s="133" t="str">
        <f>IF(AND(I262&lt;&gt;"",ISERROR(IF(ISERROR(VLOOKUP(I262*1,Summary!$C$8:$C$153,1,0)),VLOOKUP(I262,Summary!$C$8:$C$153,1,0),VLOOKUP(I262*1,Summary!$C$8:$C$153,1,0)))),"Add account Number to Summary","")</f>
        <v/>
      </c>
      <c r="M262" s="131" t="str">
        <f t="shared" si="4"/>
        <v/>
      </c>
      <c r="N262" s="287">
        <f>IF(C262="Sale",SUMIFS($D$4:D262,$B$4:B262,B262,$C$4:C262,"")+SUMIFS($D$4:D262,$B$4:B262,B262,$C$4:C262,"Purch")-SUMIFS($D$4:D262,$B$4:B262,B262,$C$4:C262,"Sale"),0)</f>
        <v>0</v>
      </c>
    </row>
    <row r="263" spans="1:14" x14ac:dyDescent="0.2">
      <c r="A263" s="152"/>
      <c r="B263" s="132"/>
      <c r="C263" s="132"/>
      <c r="D263" s="277"/>
      <c r="E263" s="132"/>
      <c r="F263" s="170"/>
      <c r="G263" s="150"/>
      <c r="H263" s="152"/>
      <c r="I263" s="204"/>
      <c r="J263" s="285"/>
      <c r="K263" s="251"/>
      <c r="L263" s="133" t="str">
        <f>IF(AND(I263&lt;&gt;"",ISERROR(IF(ISERROR(VLOOKUP(I263*1,Summary!$C$8:$C$153,1,0)),VLOOKUP(I263,Summary!$C$8:$C$153,1,0),VLOOKUP(I263*1,Summary!$C$8:$C$153,1,0)))),"Add account Number to Summary","")</f>
        <v/>
      </c>
      <c r="M263" s="131" t="str">
        <f t="shared" si="4"/>
        <v/>
      </c>
      <c r="N263" s="287">
        <f>IF(C263="Sale",SUMIFS($D$4:D263,$B$4:B263,B263,$C$4:C263,"")+SUMIFS($D$4:D263,$B$4:B263,B263,$C$4:C263,"Purch")-SUMIFS($D$4:D263,$B$4:B263,B263,$C$4:C263,"Sale"),0)</f>
        <v>0</v>
      </c>
    </row>
    <row r="264" spans="1:14" x14ac:dyDescent="0.2">
      <c r="A264" s="152"/>
      <c r="B264" s="132"/>
      <c r="C264" s="132"/>
      <c r="D264" s="277"/>
      <c r="E264" s="132"/>
      <c r="F264" s="170"/>
      <c r="G264" s="150"/>
      <c r="H264" s="152"/>
      <c r="I264" s="204"/>
      <c r="J264" s="285"/>
      <c r="K264" s="251"/>
      <c r="L264" s="133" t="str">
        <f>IF(AND(I264&lt;&gt;"",ISERROR(IF(ISERROR(VLOOKUP(I264*1,Summary!$C$8:$C$153,1,0)),VLOOKUP(I264,Summary!$C$8:$C$153,1,0),VLOOKUP(I264*1,Summary!$C$8:$C$153,1,0)))),"Add account Number to Summary","")</f>
        <v/>
      </c>
      <c r="M264" s="131" t="str">
        <f t="shared" si="4"/>
        <v/>
      </c>
      <c r="N264" s="287">
        <f>IF(C264="Sale",SUMIFS($D$4:D264,$B$4:B264,B264,$C$4:C264,"")+SUMIFS($D$4:D264,$B$4:B264,B264,$C$4:C264,"Purch")-SUMIFS($D$4:D264,$B$4:B264,B264,$C$4:C264,"Sale"),0)</f>
        <v>0</v>
      </c>
    </row>
    <row r="265" spans="1:14" x14ac:dyDescent="0.2">
      <c r="A265" s="152"/>
      <c r="B265" s="132"/>
      <c r="C265" s="132"/>
      <c r="D265" s="277"/>
      <c r="E265" s="132"/>
      <c r="F265" s="170"/>
      <c r="G265" s="150"/>
      <c r="H265" s="152"/>
      <c r="I265" s="204"/>
      <c r="J265" s="285"/>
      <c r="K265" s="251"/>
      <c r="L265" s="133" t="str">
        <f>IF(AND(I265&lt;&gt;"",ISERROR(IF(ISERROR(VLOOKUP(I265*1,Summary!$C$8:$C$153,1,0)),VLOOKUP(I265,Summary!$C$8:$C$153,1,0),VLOOKUP(I265*1,Summary!$C$8:$C$153,1,0)))),"Add account Number to Summary","")</f>
        <v/>
      </c>
      <c r="M265" s="131" t="str">
        <f t="shared" si="4"/>
        <v/>
      </c>
      <c r="N265" s="287">
        <f>IF(C265="Sale",SUMIFS($D$4:D265,$B$4:B265,B265,$C$4:C265,"")+SUMIFS($D$4:D265,$B$4:B265,B265,$C$4:C265,"Purch")-SUMIFS($D$4:D265,$B$4:B265,B265,$C$4:C265,"Sale"),0)</f>
        <v>0</v>
      </c>
    </row>
    <row r="266" spans="1:14" x14ac:dyDescent="0.2">
      <c r="A266" s="152"/>
      <c r="B266" s="132"/>
      <c r="C266" s="132"/>
      <c r="D266" s="277"/>
      <c r="E266" s="132"/>
      <c r="F266" s="170"/>
      <c r="G266" s="150"/>
      <c r="H266" s="152"/>
      <c r="I266" s="204"/>
      <c r="J266" s="285"/>
      <c r="K266" s="251"/>
      <c r="L266" s="133" t="str">
        <f>IF(AND(I266&lt;&gt;"",ISERROR(IF(ISERROR(VLOOKUP(I266*1,Summary!$C$8:$C$153,1,0)),VLOOKUP(I266,Summary!$C$8:$C$153,1,0),VLOOKUP(I266*1,Summary!$C$8:$C$153,1,0)))),"Add account Number to Summary","")</f>
        <v/>
      </c>
      <c r="M266" s="131" t="str">
        <f t="shared" si="4"/>
        <v/>
      </c>
      <c r="N266" s="287">
        <f>IF(C266="Sale",SUMIFS($D$4:D266,$B$4:B266,B266,$C$4:C266,"")+SUMIFS($D$4:D266,$B$4:B266,B266,$C$4:C266,"Purch")-SUMIFS($D$4:D266,$B$4:B266,B266,$C$4:C266,"Sale"),0)</f>
        <v>0</v>
      </c>
    </row>
    <row r="267" spans="1:14" x14ac:dyDescent="0.2">
      <c r="A267" s="152"/>
      <c r="B267" s="132"/>
      <c r="C267" s="132"/>
      <c r="D267" s="277"/>
      <c r="E267" s="132"/>
      <c r="F267" s="170"/>
      <c r="G267" s="150"/>
      <c r="H267" s="152"/>
      <c r="I267" s="204"/>
      <c r="J267" s="285"/>
      <c r="K267" s="251"/>
      <c r="L267" s="133" t="str">
        <f>IF(AND(I267&lt;&gt;"",ISERROR(IF(ISERROR(VLOOKUP(I267*1,Summary!$C$8:$C$153,1,0)),VLOOKUP(I267,Summary!$C$8:$C$153,1,0),VLOOKUP(I267*1,Summary!$C$8:$C$153,1,0)))),"Add account Number to Summary","")</f>
        <v/>
      </c>
      <c r="M267" s="131" t="str">
        <f t="shared" si="4"/>
        <v/>
      </c>
      <c r="N267" s="287">
        <f>IF(C267="Sale",SUMIFS($D$4:D267,$B$4:B267,B267,$C$4:C267,"")+SUMIFS($D$4:D267,$B$4:B267,B267,$C$4:C267,"Purch")-SUMIFS($D$4:D267,$B$4:B267,B267,$C$4:C267,"Sale"),0)</f>
        <v>0</v>
      </c>
    </row>
    <row r="268" spans="1:14" x14ac:dyDescent="0.2">
      <c r="A268" s="152"/>
      <c r="B268" s="132"/>
      <c r="C268" s="132"/>
      <c r="D268" s="277"/>
      <c r="E268" s="132"/>
      <c r="F268" s="170"/>
      <c r="G268" s="150"/>
      <c r="H268" s="152"/>
      <c r="I268" s="204"/>
      <c r="J268" s="285"/>
      <c r="K268" s="251"/>
      <c r="L268" s="133" t="str">
        <f>IF(AND(I268&lt;&gt;"",ISERROR(IF(ISERROR(VLOOKUP(I268*1,Summary!$C$8:$C$153,1,0)),VLOOKUP(I268,Summary!$C$8:$C$153,1,0),VLOOKUP(I268*1,Summary!$C$8:$C$153,1,0)))),"Add account Number to Summary","")</f>
        <v/>
      </c>
      <c r="M268" s="131" t="str">
        <f t="shared" si="4"/>
        <v/>
      </c>
      <c r="N268" s="287">
        <f>IF(C268="Sale",SUMIFS($D$4:D268,$B$4:B268,B268,$C$4:C268,"")+SUMIFS($D$4:D268,$B$4:B268,B268,$C$4:C268,"Purch")-SUMIFS($D$4:D268,$B$4:B268,B268,$C$4:C268,"Sale"),0)</f>
        <v>0</v>
      </c>
    </row>
    <row r="269" spans="1:14" x14ac:dyDescent="0.2">
      <c r="A269" s="152"/>
      <c r="B269" s="132"/>
      <c r="C269" s="132"/>
      <c r="D269" s="277"/>
      <c r="E269" s="132"/>
      <c r="F269" s="170"/>
      <c r="G269" s="150"/>
      <c r="H269" s="152"/>
      <c r="I269" s="204"/>
      <c r="J269" s="285"/>
      <c r="K269" s="251"/>
      <c r="L269" s="133" t="str">
        <f>IF(AND(I269&lt;&gt;"",ISERROR(IF(ISERROR(VLOOKUP(I269*1,Summary!$C$8:$C$153,1,0)),VLOOKUP(I269,Summary!$C$8:$C$153,1,0),VLOOKUP(I269*1,Summary!$C$8:$C$153,1,0)))),"Add account Number to Summary","")</f>
        <v/>
      </c>
      <c r="M269" s="131" t="str">
        <f t="shared" si="4"/>
        <v/>
      </c>
      <c r="N269" s="287">
        <f>IF(C269="Sale",SUMIFS($D$4:D269,$B$4:B269,B269,$C$4:C269,"")+SUMIFS($D$4:D269,$B$4:B269,B269,$C$4:C269,"Purch")-SUMIFS($D$4:D269,$B$4:B269,B269,$C$4:C269,"Sale"),0)</f>
        <v>0</v>
      </c>
    </row>
    <row r="270" spans="1:14" x14ac:dyDescent="0.2">
      <c r="A270" s="152"/>
      <c r="B270" s="132"/>
      <c r="C270" s="132"/>
      <c r="D270" s="277"/>
      <c r="E270" s="132"/>
      <c r="F270" s="170"/>
      <c r="G270" s="150"/>
      <c r="H270" s="152"/>
      <c r="I270" s="204"/>
      <c r="J270" s="285"/>
      <c r="K270" s="251"/>
      <c r="L270" s="133" t="str">
        <f>IF(AND(I270&lt;&gt;"",ISERROR(IF(ISERROR(VLOOKUP(I270*1,Summary!$C$8:$C$153,1,0)),VLOOKUP(I270,Summary!$C$8:$C$153,1,0),VLOOKUP(I270*1,Summary!$C$8:$C$153,1,0)))),"Add account Number to Summary","")</f>
        <v/>
      </c>
      <c r="M270" s="131" t="str">
        <f t="shared" si="4"/>
        <v/>
      </c>
      <c r="N270" s="287">
        <f>IF(C270="Sale",SUMIFS($D$4:D270,$B$4:B270,B270,$C$4:C270,"")+SUMIFS($D$4:D270,$B$4:B270,B270,$C$4:C270,"Purch")-SUMIFS($D$4:D270,$B$4:B270,B270,$C$4:C270,"Sale"),0)</f>
        <v>0</v>
      </c>
    </row>
    <row r="271" spans="1:14" x14ac:dyDescent="0.2">
      <c r="A271" s="152"/>
      <c r="B271" s="132"/>
      <c r="C271" s="132"/>
      <c r="D271" s="277"/>
      <c r="E271" s="132"/>
      <c r="F271" s="170"/>
      <c r="G271" s="150"/>
      <c r="H271" s="152"/>
      <c r="I271" s="204"/>
      <c r="J271" s="285"/>
      <c r="K271" s="251"/>
      <c r="L271" s="133" t="str">
        <f>IF(AND(I271&lt;&gt;"",ISERROR(IF(ISERROR(VLOOKUP(I271*1,Summary!$C$8:$C$153,1,0)),VLOOKUP(I271,Summary!$C$8:$C$153,1,0),VLOOKUP(I271*1,Summary!$C$8:$C$153,1,0)))),"Add account Number to Summary","")</f>
        <v/>
      </c>
      <c r="M271" s="131" t="str">
        <f t="shared" si="4"/>
        <v/>
      </c>
      <c r="N271" s="287">
        <f>IF(C271="Sale",SUMIFS($D$4:D271,$B$4:B271,B271,$C$4:C271,"")+SUMIFS($D$4:D271,$B$4:B271,B271,$C$4:C271,"Purch")-SUMIFS($D$4:D271,$B$4:B271,B271,$C$4:C271,"Sale"),0)</f>
        <v>0</v>
      </c>
    </row>
    <row r="272" spans="1:14" x14ac:dyDescent="0.2">
      <c r="A272" s="152"/>
      <c r="B272" s="132"/>
      <c r="C272" s="132"/>
      <c r="D272" s="277"/>
      <c r="E272" s="132"/>
      <c r="F272" s="170"/>
      <c r="G272" s="150"/>
      <c r="H272" s="152"/>
      <c r="I272" s="204"/>
      <c r="J272" s="285"/>
      <c r="K272" s="251"/>
      <c r="L272" s="133" t="str">
        <f>IF(AND(I272&lt;&gt;"",ISERROR(IF(ISERROR(VLOOKUP(I272*1,Summary!$C$8:$C$153,1,0)),VLOOKUP(I272,Summary!$C$8:$C$153,1,0),VLOOKUP(I272*1,Summary!$C$8:$C$153,1,0)))),"Add account Number to Summary","")</f>
        <v/>
      </c>
      <c r="M272" s="131" t="str">
        <f t="shared" si="4"/>
        <v/>
      </c>
      <c r="N272" s="287">
        <f>IF(C272="Sale",SUMIFS($D$4:D272,$B$4:B272,B272,$C$4:C272,"")+SUMIFS($D$4:D272,$B$4:B272,B272,$C$4:C272,"Purch")-SUMIFS($D$4:D272,$B$4:B272,B272,$C$4:C272,"Sale"),0)</f>
        <v>0</v>
      </c>
    </row>
    <row r="273" spans="1:14" x14ac:dyDescent="0.2">
      <c r="A273" s="152"/>
      <c r="B273" s="132"/>
      <c r="C273" s="132"/>
      <c r="D273" s="277"/>
      <c r="E273" s="132"/>
      <c r="F273" s="170"/>
      <c r="G273" s="150"/>
      <c r="H273" s="152"/>
      <c r="I273" s="204"/>
      <c r="J273" s="285"/>
      <c r="K273" s="251"/>
      <c r="L273" s="133" t="str">
        <f>IF(AND(I273&lt;&gt;"",ISERROR(IF(ISERROR(VLOOKUP(I273*1,Summary!$C$8:$C$153,1,0)),VLOOKUP(I273,Summary!$C$8:$C$153,1,0),VLOOKUP(I273*1,Summary!$C$8:$C$153,1,0)))),"Add account Number to Summary","")</f>
        <v/>
      </c>
      <c r="M273" s="131" t="str">
        <f t="shared" si="4"/>
        <v/>
      </c>
      <c r="N273" s="287">
        <f>IF(C273="Sale",SUMIFS($D$4:D273,$B$4:B273,B273,$C$4:C273,"")+SUMIFS($D$4:D273,$B$4:B273,B273,$C$4:C273,"Purch")-SUMIFS($D$4:D273,$B$4:B273,B273,$C$4:C273,"Sale"),0)</f>
        <v>0</v>
      </c>
    </row>
    <row r="274" spans="1:14" x14ac:dyDescent="0.2">
      <c r="A274" s="152"/>
      <c r="B274" s="132"/>
      <c r="C274" s="132"/>
      <c r="D274" s="277"/>
      <c r="E274" s="132"/>
      <c r="F274" s="170"/>
      <c r="G274" s="150"/>
      <c r="H274" s="152"/>
      <c r="I274" s="204"/>
      <c r="J274" s="285"/>
      <c r="K274" s="251"/>
      <c r="L274" s="133" t="str">
        <f>IF(AND(I274&lt;&gt;"",ISERROR(IF(ISERROR(VLOOKUP(I274*1,Summary!$C$8:$C$153,1,0)),VLOOKUP(I274,Summary!$C$8:$C$153,1,0),VLOOKUP(I274*1,Summary!$C$8:$C$153,1,0)))),"Add account Number to Summary","")</f>
        <v/>
      </c>
      <c r="M274" s="131" t="str">
        <f t="shared" si="4"/>
        <v/>
      </c>
      <c r="N274" s="287">
        <f>IF(C274="Sale",SUMIFS($D$4:D274,$B$4:B274,B274,$C$4:C274,"")+SUMIFS($D$4:D274,$B$4:B274,B274,$C$4:C274,"Purch")-SUMIFS($D$4:D274,$B$4:B274,B274,$C$4:C274,"Sale"),0)</f>
        <v>0</v>
      </c>
    </row>
    <row r="275" spans="1:14" x14ac:dyDescent="0.2">
      <c r="A275" s="152"/>
      <c r="B275" s="132"/>
      <c r="C275" s="132"/>
      <c r="D275" s="277"/>
      <c r="E275" s="132"/>
      <c r="F275" s="170"/>
      <c r="G275" s="150"/>
      <c r="H275" s="152"/>
      <c r="I275" s="204"/>
      <c r="J275" s="285"/>
      <c r="K275" s="251"/>
      <c r="L275" s="133" t="str">
        <f>IF(AND(I275&lt;&gt;"",ISERROR(IF(ISERROR(VLOOKUP(I275*1,Summary!$C$8:$C$153,1,0)),VLOOKUP(I275,Summary!$C$8:$C$153,1,0),VLOOKUP(I275*1,Summary!$C$8:$C$153,1,0)))),"Add account Number to Summary","")</f>
        <v/>
      </c>
      <c r="M275" s="131" t="str">
        <f t="shared" si="4"/>
        <v/>
      </c>
      <c r="N275" s="287">
        <f>IF(C275="Sale",SUMIFS($D$4:D275,$B$4:B275,B275,$C$4:C275,"")+SUMIFS($D$4:D275,$B$4:B275,B275,$C$4:C275,"Purch")-SUMIFS($D$4:D275,$B$4:B275,B275,$C$4:C275,"Sale"),0)</f>
        <v>0</v>
      </c>
    </row>
    <row r="276" spans="1:14" x14ac:dyDescent="0.2">
      <c r="A276" s="152"/>
      <c r="B276" s="132"/>
      <c r="C276" s="132"/>
      <c r="D276" s="277"/>
      <c r="E276" s="132"/>
      <c r="F276" s="170"/>
      <c r="G276" s="150"/>
      <c r="H276" s="152"/>
      <c r="I276" s="204"/>
      <c r="J276" s="285"/>
      <c r="K276" s="251"/>
      <c r="L276" s="133" t="str">
        <f>IF(AND(I276&lt;&gt;"",ISERROR(IF(ISERROR(VLOOKUP(I276*1,Summary!$C$8:$C$153,1,0)),VLOOKUP(I276,Summary!$C$8:$C$153,1,0),VLOOKUP(I276*1,Summary!$C$8:$C$153,1,0)))),"Add account Number to Summary","")</f>
        <v/>
      </c>
      <c r="M276" s="131" t="str">
        <f t="shared" si="4"/>
        <v/>
      </c>
      <c r="N276" s="287">
        <f>IF(C276="Sale",SUMIFS($D$4:D276,$B$4:B276,B276,$C$4:C276,"")+SUMIFS($D$4:D276,$B$4:B276,B276,$C$4:C276,"Purch")-SUMIFS($D$4:D276,$B$4:B276,B276,$C$4:C276,"Sale"),0)</f>
        <v>0</v>
      </c>
    </row>
    <row r="277" spans="1:14" x14ac:dyDescent="0.2">
      <c r="A277" s="152"/>
      <c r="B277" s="132"/>
      <c r="C277" s="132"/>
      <c r="D277" s="277"/>
      <c r="E277" s="132"/>
      <c r="F277" s="170"/>
      <c r="G277" s="150"/>
      <c r="H277" s="152"/>
      <c r="I277" s="204"/>
      <c r="J277" s="285"/>
      <c r="K277" s="251"/>
      <c r="L277" s="133" t="str">
        <f>IF(AND(I277&lt;&gt;"",ISERROR(IF(ISERROR(VLOOKUP(I277*1,Summary!$C$8:$C$153,1,0)),VLOOKUP(I277,Summary!$C$8:$C$153,1,0),VLOOKUP(I277*1,Summary!$C$8:$C$153,1,0)))),"Add account Number to Summary","")</f>
        <v/>
      </c>
      <c r="M277" s="131" t="str">
        <f t="shared" si="4"/>
        <v/>
      </c>
      <c r="N277" s="287">
        <f>IF(C277="Sale",SUMIFS($D$4:D277,$B$4:B277,B277,$C$4:C277,"")+SUMIFS($D$4:D277,$B$4:B277,B277,$C$4:C277,"Purch")-SUMIFS($D$4:D277,$B$4:B277,B277,$C$4:C277,"Sale"),0)</f>
        <v>0</v>
      </c>
    </row>
    <row r="278" spans="1:14" x14ac:dyDescent="0.2">
      <c r="A278" s="152"/>
      <c r="B278" s="132"/>
      <c r="C278" s="132"/>
      <c r="D278" s="277"/>
      <c r="E278" s="132"/>
      <c r="F278" s="170"/>
      <c r="G278" s="150"/>
      <c r="H278" s="152"/>
      <c r="I278" s="204"/>
      <c r="J278" s="285"/>
      <c r="K278" s="251"/>
      <c r="L278" s="133" t="str">
        <f>IF(AND(I278&lt;&gt;"",ISERROR(IF(ISERROR(VLOOKUP(I278*1,Summary!$C$8:$C$153,1,0)),VLOOKUP(I278,Summary!$C$8:$C$153,1,0),VLOOKUP(I278*1,Summary!$C$8:$C$153,1,0)))),"Add account Number to Summary","")</f>
        <v/>
      </c>
      <c r="M278" s="131" t="str">
        <f t="shared" si="4"/>
        <v/>
      </c>
      <c r="N278" s="287">
        <f>IF(C278="Sale",SUMIFS($D$4:D278,$B$4:B278,B278,$C$4:C278,"")+SUMIFS($D$4:D278,$B$4:B278,B278,$C$4:C278,"Purch")-SUMIFS($D$4:D278,$B$4:B278,B278,$C$4:C278,"Sale"),0)</f>
        <v>0</v>
      </c>
    </row>
    <row r="279" spans="1:14" x14ac:dyDescent="0.2">
      <c r="A279" s="152"/>
      <c r="B279" s="132"/>
      <c r="C279" s="132"/>
      <c r="D279" s="277"/>
      <c r="E279" s="132"/>
      <c r="F279" s="170"/>
      <c r="G279" s="150"/>
      <c r="H279" s="152"/>
      <c r="I279" s="204"/>
      <c r="J279" s="285"/>
      <c r="K279" s="251"/>
      <c r="L279" s="133" t="str">
        <f>IF(AND(I279&lt;&gt;"",ISERROR(IF(ISERROR(VLOOKUP(I279*1,Summary!$C$8:$C$153,1,0)),VLOOKUP(I279,Summary!$C$8:$C$153,1,0),VLOOKUP(I279*1,Summary!$C$8:$C$153,1,0)))),"Add account Number to Summary","")</f>
        <v/>
      </c>
      <c r="M279" s="131" t="str">
        <f t="shared" si="4"/>
        <v/>
      </c>
      <c r="N279" s="287">
        <f>IF(C279="Sale",SUMIFS($D$4:D279,$B$4:B279,B279,$C$4:C279,"")+SUMIFS($D$4:D279,$B$4:B279,B279,$C$4:C279,"Purch")-SUMIFS($D$4:D279,$B$4:B279,B279,$C$4:C279,"Sale"),0)</f>
        <v>0</v>
      </c>
    </row>
    <row r="280" spans="1:14" x14ac:dyDescent="0.2">
      <c r="A280" s="152"/>
      <c r="B280" s="132"/>
      <c r="C280" s="132"/>
      <c r="D280" s="277"/>
      <c r="E280" s="132"/>
      <c r="F280" s="170"/>
      <c r="G280" s="150"/>
      <c r="H280" s="152"/>
      <c r="I280" s="204"/>
      <c r="J280" s="285"/>
      <c r="K280" s="251"/>
      <c r="L280" s="133" t="str">
        <f>IF(AND(I280&lt;&gt;"",ISERROR(IF(ISERROR(VLOOKUP(I280*1,Summary!$C$8:$C$153,1,0)),VLOOKUP(I280,Summary!$C$8:$C$153,1,0),VLOOKUP(I280*1,Summary!$C$8:$C$153,1,0)))),"Add account Number to Summary","")</f>
        <v/>
      </c>
      <c r="M280" s="131" t="str">
        <f t="shared" si="4"/>
        <v/>
      </c>
      <c r="N280" s="287">
        <f>IF(C280="Sale",SUMIFS($D$4:D280,$B$4:B280,B280,$C$4:C280,"")+SUMIFS($D$4:D280,$B$4:B280,B280,$C$4:C280,"Purch")-SUMIFS($D$4:D280,$B$4:B280,B280,$C$4:C280,"Sale"),0)</f>
        <v>0</v>
      </c>
    </row>
    <row r="281" spans="1:14" x14ac:dyDescent="0.2">
      <c r="A281" s="152"/>
      <c r="B281" s="132"/>
      <c r="C281" s="132"/>
      <c r="D281" s="277"/>
      <c r="E281" s="132"/>
      <c r="F281" s="170"/>
      <c r="G281" s="150"/>
      <c r="H281" s="152"/>
      <c r="I281" s="204"/>
      <c r="J281" s="285"/>
      <c r="K281" s="251"/>
      <c r="L281" s="133" t="str">
        <f>IF(AND(I281&lt;&gt;"",ISERROR(IF(ISERROR(VLOOKUP(I281*1,Summary!$C$8:$C$153,1,0)),VLOOKUP(I281,Summary!$C$8:$C$153,1,0),VLOOKUP(I281*1,Summary!$C$8:$C$153,1,0)))),"Add account Number to Summary","")</f>
        <v/>
      </c>
      <c r="M281" s="131" t="str">
        <f t="shared" si="4"/>
        <v/>
      </c>
      <c r="N281" s="287">
        <f>IF(C281="Sale",SUMIFS($D$4:D281,$B$4:B281,B281,$C$4:C281,"")+SUMIFS($D$4:D281,$B$4:B281,B281,$C$4:C281,"Purch")-SUMIFS($D$4:D281,$B$4:B281,B281,$C$4:C281,"Sale"),0)</f>
        <v>0</v>
      </c>
    </row>
    <row r="282" spans="1:14" x14ac:dyDescent="0.2">
      <c r="A282" s="152"/>
      <c r="B282" s="132"/>
      <c r="C282" s="132"/>
      <c r="D282" s="277"/>
      <c r="E282" s="132"/>
      <c r="F282" s="170"/>
      <c r="G282" s="150"/>
      <c r="H282" s="152"/>
      <c r="I282" s="204"/>
      <c r="J282" s="285"/>
      <c r="K282" s="251"/>
      <c r="L282" s="133" t="str">
        <f>IF(AND(I282&lt;&gt;"",ISERROR(IF(ISERROR(VLOOKUP(I282*1,Summary!$C$8:$C$153,1,0)),VLOOKUP(I282,Summary!$C$8:$C$153,1,0),VLOOKUP(I282*1,Summary!$C$8:$C$153,1,0)))),"Add account Number to Summary","")</f>
        <v/>
      </c>
      <c r="M282" s="131" t="str">
        <f t="shared" si="4"/>
        <v/>
      </c>
      <c r="N282" s="287">
        <f>IF(C282="Sale",SUMIFS($D$4:D282,$B$4:B282,B282,$C$4:C282,"")+SUMIFS($D$4:D282,$B$4:B282,B282,$C$4:C282,"Purch")-SUMIFS($D$4:D282,$B$4:B282,B282,$C$4:C282,"Sale"),0)</f>
        <v>0</v>
      </c>
    </row>
    <row r="283" spans="1:14" x14ac:dyDescent="0.2">
      <c r="A283" s="152"/>
      <c r="B283" s="132"/>
      <c r="C283" s="132"/>
      <c r="D283" s="277"/>
      <c r="E283" s="132"/>
      <c r="F283" s="170"/>
      <c r="G283" s="150"/>
      <c r="H283" s="152"/>
      <c r="I283" s="204"/>
      <c r="J283" s="285"/>
      <c r="K283" s="251"/>
      <c r="L283" s="133" t="str">
        <f>IF(AND(I283&lt;&gt;"",ISERROR(IF(ISERROR(VLOOKUP(I283*1,Summary!$C$8:$C$153,1,0)),VLOOKUP(I283,Summary!$C$8:$C$153,1,0),VLOOKUP(I283*1,Summary!$C$8:$C$153,1,0)))),"Add account Number to Summary","")</f>
        <v/>
      </c>
      <c r="M283" s="131" t="str">
        <f t="shared" si="4"/>
        <v/>
      </c>
      <c r="N283" s="287">
        <f>IF(C283="Sale",SUMIFS($D$4:D283,$B$4:B283,B283,$C$4:C283,"")+SUMIFS($D$4:D283,$B$4:B283,B283,$C$4:C283,"Purch")-SUMIFS($D$4:D283,$B$4:B283,B283,$C$4:C283,"Sale"),0)</f>
        <v>0</v>
      </c>
    </row>
    <row r="284" spans="1:14" x14ac:dyDescent="0.2">
      <c r="A284" s="152"/>
      <c r="B284" s="132"/>
      <c r="C284" s="132"/>
      <c r="D284" s="277"/>
      <c r="E284" s="132"/>
      <c r="F284" s="170"/>
      <c r="G284" s="150"/>
      <c r="H284" s="152"/>
      <c r="I284" s="204"/>
      <c r="J284" s="285"/>
      <c r="K284" s="251"/>
      <c r="L284" s="133" t="str">
        <f>IF(AND(I284&lt;&gt;"",ISERROR(IF(ISERROR(VLOOKUP(I284*1,Summary!$C$8:$C$153,1,0)),VLOOKUP(I284,Summary!$C$8:$C$153,1,0),VLOOKUP(I284*1,Summary!$C$8:$C$153,1,0)))),"Add account Number to Summary","")</f>
        <v/>
      </c>
      <c r="M284" s="131" t="str">
        <f t="shared" si="4"/>
        <v/>
      </c>
      <c r="N284" s="287">
        <f>IF(C284="Sale",SUMIFS($D$4:D284,$B$4:B284,B284,$C$4:C284,"")+SUMIFS($D$4:D284,$B$4:B284,B284,$C$4:C284,"Purch")-SUMIFS($D$4:D284,$B$4:B284,B284,$C$4:C284,"Sale"),0)</f>
        <v>0</v>
      </c>
    </row>
    <row r="285" spans="1:14" x14ac:dyDescent="0.2">
      <c r="A285" s="152"/>
      <c r="B285" s="132"/>
      <c r="C285" s="132"/>
      <c r="D285" s="277"/>
      <c r="E285" s="132"/>
      <c r="F285" s="170"/>
      <c r="G285" s="150"/>
      <c r="H285" s="152"/>
      <c r="I285" s="204"/>
      <c r="J285" s="285"/>
      <c r="K285" s="251"/>
      <c r="L285" s="133" t="str">
        <f>IF(AND(I285&lt;&gt;"",ISERROR(IF(ISERROR(VLOOKUP(I285*1,Summary!$C$8:$C$153,1,0)),VLOOKUP(I285,Summary!$C$8:$C$153,1,0),VLOOKUP(I285*1,Summary!$C$8:$C$153,1,0)))),"Add account Number to Summary","")</f>
        <v/>
      </c>
      <c r="M285" s="131" t="str">
        <f t="shared" si="4"/>
        <v/>
      </c>
      <c r="N285" s="287">
        <f>IF(C285="Sale",SUMIFS($D$4:D285,$B$4:B285,B285,$C$4:C285,"")+SUMIFS($D$4:D285,$B$4:B285,B285,$C$4:C285,"Purch")-SUMIFS($D$4:D285,$B$4:B285,B285,$C$4:C285,"Sale"),0)</f>
        <v>0</v>
      </c>
    </row>
    <row r="286" spans="1:14" x14ac:dyDescent="0.2">
      <c r="A286" s="152"/>
      <c r="B286" s="132"/>
      <c r="C286" s="132"/>
      <c r="D286" s="277"/>
      <c r="E286" s="132"/>
      <c r="F286" s="170"/>
      <c r="G286" s="150"/>
      <c r="H286" s="152"/>
      <c r="I286" s="204"/>
      <c r="J286" s="285"/>
      <c r="K286" s="251"/>
      <c r="L286" s="133" t="str">
        <f>IF(AND(I286&lt;&gt;"",ISERROR(IF(ISERROR(VLOOKUP(I286*1,Summary!$C$8:$C$153,1,0)),VLOOKUP(I286,Summary!$C$8:$C$153,1,0),VLOOKUP(I286*1,Summary!$C$8:$C$153,1,0)))),"Add account Number to Summary","")</f>
        <v/>
      </c>
      <c r="M286" s="131" t="str">
        <f t="shared" si="4"/>
        <v/>
      </c>
      <c r="N286" s="287">
        <f>IF(C286="Sale",SUMIFS($D$4:D286,$B$4:B286,B286,$C$4:C286,"")+SUMIFS($D$4:D286,$B$4:B286,B286,$C$4:C286,"Purch")-SUMIFS($D$4:D286,$B$4:B286,B286,$C$4:C286,"Sale"),0)</f>
        <v>0</v>
      </c>
    </row>
    <row r="287" spans="1:14" x14ac:dyDescent="0.2">
      <c r="A287" s="152"/>
      <c r="B287" s="132"/>
      <c r="C287" s="132"/>
      <c r="D287" s="277"/>
      <c r="E287" s="132"/>
      <c r="F287" s="170"/>
      <c r="G287" s="150"/>
      <c r="H287" s="152"/>
      <c r="I287" s="204"/>
      <c r="J287" s="285"/>
      <c r="K287" s="251"/>
      <c r="L287" s="133" t="str">
        <f>IF(AND(I287&lt;&gt;"",ISERROR(IF(ISERROR(VLOOKUP(I287*1,Summary!$C$8:$C$153,1,0)),VLOOKUP(I287,Summary!$C$8:$C$153,1,0),VLOOKUP(I287*1,Summary!$C$8:$C$153,1,0)))),"Add account Number to Summary","")</f>
        <v/>
      </c>
      <c r="M287" s="131" t="str">
        <f t="shared" si="4"/>
        <v/>
      </c>
      <c r="N287" s="287">
        <f>IF(C287="Sale",SUMIFS($D$4:D287,$B$4:B287,B287,$C$4:C287,"")+SUMIFS($D$4:D287,$B$4:B287,B287,$C$4:C287,"Purch")-SUMIFS($D$4:D287,$B$4:B287,B287,$C$4:C287,"Sale"),0)</f>
        <v>0</v>
      </c>
    </row>
    <row r="288" spans="1:14" x14ac:dyDescent="0.2">
      <c r="A288" s="152"/>
      <c r="B288" s="132"/>
      <c r="C288" s="132"/>
      <c r="D288" s="277"/>
      <c r="E288" s="132"/>
      <c r="F288" s="170"/>
      <c r="G288" s="150"/>
      <c r="H288" s="152"/>
      <c r="I288" s="204"/>
      <c r="J288" s="285"/>
      <c r="K288" s="251"/>
      <c r="L288" s="133" t="str">
        <f>IF(AND(I288&lt;&gt;"",ISERROR(IF(ISERROR(VLOOKUP(I288*1,Summary!$C$8:$C$153,1,0)),VLOOKUP(I288,Summary!$C$8:$C$153,1,0),VLOOKUP(I288*1,Summary!$C$8:$C$153,1,0)))),"Add account Number to Summary","")</f>
        <v/>
      </c>
      <c r="M288" s="131" t="str">
        <f t="shared" si="4"/>
        <v/>
      </c>
      <c r="N288" s="287">
        <f>IF(C288="Sale",SUMIFS($D$4:D288,$B$4:B288,B288,$C$4:C288,"")+SUMIFS($D$4:D288,$B$4:B288,B288,$C$4:C288,"Purch")-SUMIFS($D$4:D288,$B$4:B288,B288,$C$4:C288,"Sale"),0)</f>
        <v>0</v>
      </c>
    </row>
    <row r="289" spans="1:14" x14ac:dyDescent="0.2">
      <c r="A289" s="152"/>
      <c r="B289" s="132"/>
      <c r="C289" s="132"/>
      <c r="D289" s="277"/>
      <c r="E289" s="132"/>
      <c r="F289" s="170"/>
      <c r="G289" s="150"/>
      <c r="H289" s="152"/>
      <c r="I289" s="204"/>
      <c r="J289" s="285"/>
      <c r="K289" s="251"/>
      <c r="L289" s="133" t="str">
        <f>IF(AND(I289&lt;&gt;"",ISERROR(IF(ISERROR(VLOOKUP(I289*1,Summary!$C$8:$C$153,1,0)),VLOOKUP(I289,Summary!$C$8:$C$153,1,0),VLOOKUP(I289*1,Summary!$C$8:$C$153,1,0)))),"Add account Number to Summary","")</f>
        <v/>
      </c>
      <c r="M289" s="131" t="str">
        <f t="shared" si="4"/>
        <v/>
      </c>
      <c r="N289" s="287">
        <f>IF(C289="Sale",SUMIFS($D$4:D289,$B$4:B289,B289,$C$4:C289,"")+SUMIFS($D$4:D289,$B$4:B289,B289,$C$4:C289,"Purch")-SUMIFS($D$4:D289,$B$4:B289,B289,$C$4:C289,"Sale"),0)</f>
        <v>0</v>
      </c>
    </row>
    <row r="290" spans="1:14" x14ac:dyDescent="0.2">
      <c r="A290" s="152"/>
      <c r="B290" s="132"/>
      <c r="C290" s="132"/>
      <c r="D290" s="277"/>
      <c r="E290" s="132"/>
      <c r="F290" s="170"/>
      <c r="G290" s="150"/>
      <c r="H290" s="152"/>
      <c r="I290" s="204"/>
      <c r="J290" s="285"/>
      <c r="K290" s="251"/>
      <c r="L290" s="133" t="str">
        <f>IF(AND(I290&lt;&gt;"",ISERROR(IF(ISERROR(VLOOKUP(I290*1,Summary!$C$8:$C$153,1,0)),VLOOKUP(I290,Summary!$C$8:$C$153,1,0),VLOOKUP(I290*1,Summary!$C$8:$C$153,1,0)))),"Add account Number to Summary","")</f>
        <v/>
      </c>
      <c r="M290" s="131" t="str">
        <f t="shared" si="4"/>
        <v/>
      </c>
      <c r="N290" s="287">
        <f>IF(C290="Sale",SUMIFS($D$4:D290,$B$4:B290,B290,$C$4:C290,"")+SUMIFS($D$4:D290,$B$4:B290,B290,$C$4:C290,"Purch")-SUMIFS($D$4:D290,$B$4:B290,B290,$C$4:C290,"Sale"),0)</f>
        <v>0</v>
      </c>
    </row>
    <row r="291" spans="1:14" x14ac:dyDescent="0.2">
      <c r="A291" s="152"/>
      <c r="B291" s="132"/>
      <c r="C291" s="132"/>
      <c r="D291" s="277"/>
      <c r="E291" s="132"/>
      <c r="F291" s="170"/>
      <c r="G291" s="150"/>
      <c r="H291" s="152"/>
      <c r="I291" s="204"/>
      <c r="J291" s="285"/>
      <c r="K291" s="251"/>
      <c r="L291" s="133" t="str">
        <f>IF(AND(I291&lt;&gt;"",ISERROR(IF(ISERROR(VLOOKUP(I291*1,Summary!$C$8:$C$153,1,0)),VLOOKUP(I291,Summary!$C$8:$C$153,1,0),VLOOKUP(I291*1,Summary!$C$8:$C$153,1,0)))),"Add account Number to Summary","")</f>
        <v/>
      </c>
      <c r="M291" s="131" t="str">
        <f t="shared" si="4"/>
        <v/>
      </c>
      <c r="N291" s="287">
        <f>IF(C291="Sale",SUMIFS($D$4:D291,$B$4:B291,B291,$C$4:C291,"")+SUMIFS($D$4:D291,$B$4:B291,B291,$C$4:C291,"Purch")-SUMIFS($D$4:D291,$B$4:B291,B291,$C$4:C291,"Sale"),0)</f>
        <v>0</v>
      </c>
    </row>
    <row r="292" spans="1:14" x14ac:dyDescent="0.2">
      <c r="A292" s="152"/>
      <c r="B292" s="132"/>
      <c r="C292" s="132"/>
      <c r="D292" s="277"/>
      <c r="E292" s="132"/>
      <c r="F292" s="170"/>
      <c r="G292" s="150"/>
      <c r="H292" s="152"/>
      <c r="I292" s="204"/>
      <c r="J292" s="285"/>
      <c r="K292" s="251"/>
      <c r="L292" s="133" t="str">
        <f>IF(AND(I292&lt;&gt;"",ISERROR(IF(ISERROR(VLOOKUP(I292*1,Summary!$C$8:$C$153,1,0)),VLOOKUP(I292,Summary!$C$8:$C$153,1,0),VLOOKUP(I292*1,Summary!$C$8:$C$153,1,0)))),"Add account Number to Summary","")</f>
        <v/>
      </c>
      <c r="M292" s="131" t="str">
        <f t="shared" si="4"/>
        <v/>
      </c>
      <c r="N292" s="287">
        <f>IF(C292="Sale",SUMIFS($D$4:D292,$B$4:B292,B292,$C$4:C292,"")+SUMIFS($D$4:D292,$B$4:B292,B292,$C$4:C292,"Purch")-SUMIFS($D$4:D292,$B$4:B292,B292,$C$4:C292,"Sale"),0)</f>
        <v>0</v>
      </c>
    </row>
    <row r="293" spans="1:14" x14ac:dyDescent="0.2">
      <c r="A293" s="152"/>
      <c r="B293" s="132"/>
      <c r="C293" s="132"/>
      <c r="D293" s="277"/>
      <c r="E293" s="132"/>
      <c r="F293" s="170"/>
      <c r="G293" s="150"/>
      <c r="H293" s="152"/>
      <c r="I293" s="204"/>
      <c r="J293" s="285"/>
      <c r="K293" s="251"/>
      <c r="L293" s="133" t="str">
        <f>IF(AND(I293&lt;&gt;"",ISERROR(IF(ISERROR(VLOOKUP(I293*1,Summary!$C$8:$C$153,1,0)),VLOOKUP(I293,Summary!$C$8:$C$153,1,0),VLOOKUP(I293*1,Summary!$C$8:$C$153,1,0)))),"Add account Number to Summary","")</f>
        <v/>
      </c>
      <c r="M293" s="131" t="str">
        <f t="shared" si="4"/>
        <v/>
      </c>
      <c r="N293" s="287">
        <f>IF(C293="Sale",SUMIFS($D$4:D293,$B$4:B293,B293,$C$4:C293,"")+SUMIFS($D$4:D293,$B$4:B293,B293,$C$4:C293,"Purch")-SUMIFS($D$4:D293,$B$4:B293,B293,$C$4:C293,"Sale"),0)</f>
        <v>0</v>
      </c>
    </row>
    <row r="294" spans="1:14" x14ac:dyDescent="0.2">
      <c r="A294" s="152"/>
      <c r="B294" s="132"/>
      <c r="C294" s="132"/>
      <c r="D294" s="277"/>
      <c r="E294" s="132"/>
      <c r="F294" s="170"/>
      <c r="G294" s="150"/>
      <c r="H294" s="152"/>
      <c r="I294" s="204"/>
      <c r="J294" s="285"/>
      <c r="K294" s="251"/>
      <c r="L294" s="133" t="str">
        <f>IF(AND(I294&lt;&gt;"",ISERROR(IF(ISERROR(VLOOKUP(I294*1,Summary!$C$8:$C$153,1,0)),VLOOKUP(I294,Summary!$C$8:$C$153,1,0),VLOOKUP(I294*1,Summary!$C$8:$C$153,1,0)))),"Add account Number to Summary","")</f>
        <v/>
      </c>
      <c r="M294" s="131" t="str">
        <f t="shared" si="4"/>
        <v/>
      </c>
      <c r="N294" s="287">
        <f>IF(C294="Sale",SUMIFS($D$4:D294,$B$4:B294,B294,$C$4:C294,"")+SUMIFS($D$4:D294,$B$4:B294,B294,$C$4:C294,"Purch")-SUMIFS($D$4:D294,$B$4:B294,B294,$C$4:C294,"Sale"),0)</f>
        <v>0</v>
      </c>
    </row>
    <row r="295" spans="1:14" x14ac:dyDescent="0.2">
      <c r="A295" s="152"/>
      <c r="B295" s="132"/>
      <c r="C295" s="132"/>
      <c r="D295" s="277"/>
      <c r="E295" s="132"/>
      <c r="F295" s="170"/>
      <c r="G295" s="150"/>
      <c r="H295" s="152"/>
      <c r="I295" s="204"/>
      <c r="J295" s="285"/>
      <c r="K295" s="251"/>
      <c r="L295" s="133" t="str">
        <f>IF(AND(I295&lt;&gt;"",ISERROR(IF(ISERROR(VLOOKUP(I295*1,Summary!$C$8:$C$153,1,0)),VLOOKUP(I295,Summary!$C$8:$C$153,1,0),VLOOKUP(I295*1,Summary!$C$8:$C$153,1,0)))),"Add account Number to Summary","")</f>
        <v/>
      </c>
      <c r="M295" s="131" t="str">
        <f t="shared" si="4"/>
        <v/>
      </c>
      <c r="N295" s="287">
        <f>IF(C295="Sale",SUMIFS($D$4:D295,$B$4:B295,B295,$C$4:C295,"")+SUMIFS($D$4:D295,$B$4:B295,B295,$C$4:C295,"Purch")-SUMIFS($D$4:D295,$B$4:B295,B295,$C$4:C295,"Sale"),0)</f>
        <v>0</v>
      </c>
    </row>
    <row r="296" spans="1:14" x14ac:dyDescent="0.2">
      <c r="A296" s="152"/>
      <c r="B296" s="132"/>
      <c r="C296" s="132"/>
      <c r="D296" s="277"/>
      <c r="E296" s="132"/>
      <c r="F296" s="170"/>
      <c r="G296" s="150"/>
      <c r="H296" s="152"/>
      <c r="I296" s="204"/>
      <c r="J296" s="285"/>
      <c r="K296" s="251"/>
      <c r="L296" s="133" t="str">
        <f>IF(AND(I296&lt;&gt;"",ISERROR(IF(ISERROR(VLOOKUP(I296*1,Summary!$C$8:$C$153,1,0)),VLOOKUP(I296,Summary!$C$8:$C$153,1,0),VLOOKUP(I296*1,Summary!$C$8:$C$153,1,0)))),"Add account Number to Summary","")</f>
        <v/>
      </c>
      <c r="M296" s="131" t="str">
        <f t="shared" si="4"/>
        <v/>
      </c>
      <c r="N296" s="287">
        <f>IF(C296="Sale",SUMIFS($D$4:D296,$B$4:B296,B296,$C$4:C296,"")+SUMIFS($D$4:D296,$B$4:B296,B296,$C$4:C296,"Purch")-SUMIFS($D$4:D296,$B$4:B296,B296,$C$4:C296,"Sale"),0)</f>
        <v>0</v>
      </c>
    </row>
    <row r="297" spans="1:14" x14ac:dyDescent="0.2">
      <c r="A297" s="152"/>
      <c r="B297" s="132"/>
      <c r="C297" s="132"/>
      <c r="D297" s="277"/>
      <c r="E297" s="132"/>
      <c r="F297" s="170"/>
      <c r="G297" s="150"/>
      <c r="H297" s="152"/>
      <c r="I297" s="204"/>
      <c r="J297" s="285"/>
      <c r="K297" s="251"/>
      <c r="L297" s="133" t="str">
        <f>IF(AND(I297&lt;&gt;"",ISERROR(IF(ISERROR(VLOOKUP(I297*1,Summary!$C$8:$C$153,1,0)),VLOOKUP(I297,Summary!$C$8:$C$153,1,0),VLOOKUP(I297*1,Summary!$C$8:$C$153,1,0)))),"Add account Number to Summary","")</f>
        <v/>
      </c>
      <c r="M297" s="131" t="str">
        <f t="shared" si="4"/>
        <v/>
      </c>
      <c r="N297" s="287">
        <f>IF(C297="Sale",SUMIFS($D$4:D297,$B$4:B297,B297,$C$4:C297,"")+SUMIFS($D$4:D297,$B$4:B297,B297,$C$4:C297,"Purch")-SUMIFS($D$4:D297,$B$4:B297,B297,$C$4:C297,"Sale"),0)</f>
        <v>0</v>
      </c>
    </row>
    <row r="298" spans="1:14" x14ac:dyDescent="0.2">
      <c r="A298" s="152"/>
      <c r="B298" s="132"/>
      <c r="C298" s="132"/>
      <c r="D298" s="277"/>
      <c r="E298" s="132"/>
      <c r="F298" s="170"/>
      <c r="G298" s="150"/>
      <c r="H298" s="152"/>
      <c r="I298" s="204"/>
      <c r="J298" s="285"/>
      <c r="K298" s="251"/>
      <c r="L298" s="133" t="str">
        <f>IF(AND(I298&lt;&gt;"",ISERROR(IF(ISERROR(VLOOKUP(I298*1,Summary!$C$8:$C$153,1,0)),VLOOKUP(I298,Summary!$C$8:$C$153,1,0),VLOOKUP(I298*1,Summary!$C$8:$C$153,1,0)))),"Add account Number to Summary","")</f>
        <v/>
      </c>
      <c r="M298" s="131" t="str">
        <f t="shared" si="4"/>
        <v/>
      </c>
      <c r="N298" s="287">
        <f>IF(C298="Sale",SUMIFS($D$4:D298,$B$4:B298,B298,$C$4:C298,"")+SUMIFS($D$4:D298,$B$4:B298,B298,$C$4:C298,"Purch")-SUMIFS($D$4:D298,$B$4:B298,B298,$C$4:C298,"Sale"),0)</f>
        <v>0</v>
      </c>
    </row>
    <row r="299" spans="1:14" x14ac:dyDescent="0.2">
      <c r="A299" s="152"/>
      <c r="B299" s="132"/>
      <c r="C299" s="132"/>
      <c r="D299" s="277"/>
      <c r="E299" s="132"/>
      <c r="F299" s="170"/>
      <c r="G299" s="150"/>
      <c r="H299" s="152"/>
      <c r="I299" s="204"/>
      <c r="J299" s="285"/>
      <c r="K299" s="251"/>
      <c r="L299" s="133" t="str">
        <f>IF(AND(I299&lt;&gt;"",ISERROR(IF(ISERROR(VLOOKUP(I299*1,Summary!$C$8:$C$153,1,0)),VLOOKUP(I299,Summary!$C$8:$C$153,1,0),VLOOKUP(I299*1,Summary!$C$8:$C$153,1,0)))),"Add account Number to Summary","")</f>
        <v/>
      </c>
      <c r="M299" s="131" t="str">
        <f t="shared" si="4"/>
        <v/>
      </c>
      <c r="N299" s="287">
        <f>IF(C299="Sale",SUMIFS($D$4:D299,$B$4:B299,B299,$C$4:C299,"")+SUMIFS($D$4:D299,$B$4:B299,B299,$C$4:C299,"Purch")-SUMIFS($D$4:D299,$B$4:B299,B299,$C$4:C299,"Sale"),0)</f>
        <v>0</v>
      </c>
    </row>
    <row r="300" spans="1:14" x14ac:dyDescent="0.2">
      <c r="A300" s="152"/>
      <c r="B300" s="132"/>
      <c r="C300" s="132"/>
      <c r="D300" s="277"/>
      <c r="E300" s="132"/>
      <c r="F300" s="170"/>
      <c r="G300" s="150"/>
      <c r="H300" s="152"/>
      <c r="I300" s="204"/>
      <c r="J300" s="285"/>
      <c r="K300" s="251"/>
      <c r="L300" s="133" t="str">
        <f>IF(AND(I300&lt;&gt;"",ISERROR(IF(ISERROR(VLOOKUP(I300*1,Summary!$C$8:$C$153,1,0)),VLOOKUP(I300,Summary!$C$8:$C$153,1,0),VLOOKUP(I300*1,Summary!$C$8:$C$153,1,0)))),"Add account Number to Summary","")</f>
        <v/>
      </c>
      <c r="M300" s="131" t="str">
        <f t="shared" ref="M300:M363" si="5">IF(K300="Yes",IF(YEAR(A300)&lt;&gt;YEAR(date),"Check Date",""),"")</f>
        <v/>
      </c>
      <c r="N300" s="287">
        <f>IF(C300="Sale",SUMIFS($D$4:D300,$B$4:B300,B300,$C$4:C300,"")+SUMIFS($D$4:D300,$B$4:B300,B300,$C$4:C300,"Purch")-SUMIFS($D$4:D300,$B$4:B300,B300,$C$4:C300,"Sale"),0)</f>
        <v>0</v>
      </c>
    </row>
    <row r="301" spans="1:14" x14ac:dyDescent="0.2">
      <c r="A301" s="152"/>
      <c r="B301" s="132"/>
      <c r="C301" s="132"/>
      <c r="D301" s="277"/>
      <c r="E301" s="132"/>
      <c r="F301" s="170"/>
      <c r="G301" s="150"/>
      <c r="H301" s="152"/>
      <c r="I301" s="204"/>
      <c r="J301" s="285"/>
      <c r="K301" s="251"/>
      <c r="L301" s="133" t="str">
        <f>IF(AND(I301&lt;&gt;"",ISERROR(IF(ISERROR(VLOOKUP(I301*1,Summary!$C$8:$C$153,1,0)),VLOOKUP(I301,Summary!$C$8:$C$153,1,0),VLOOKUP(I301*1,Summary!$C$8:$C$153,1,0)))),"Add account Number to Summary","")</f>
        <v/>
      </c>
      <c r="M301" s="131" t="str">
        <f t="shared" si="5"/>
        <v/>
      </c>
      <c r="N301" s="287">
        <f>IF(C301="Sale",SUMIFS($D$4:D301,$B$4:B301,B301,$C$4:C301,"")+SUMIFS($D$4:D301,$B$4:B301,B301,$C$4:C301,"Purch")-SUMIFS($D$4:D301,$B$4:B301,B301,$C$4:C301,"Sale"),0)</f>
        <v>0</v>
      </c>
    </row>
    <row r="302" spans="1:14" x14ac:dyDescent="0.2">
      <c r="A302" s="152"/>
      <c r="B302" s="132"/>
      <c r="C302" s="132"/>
      <c r="D302" s="277"/>
      <c r="E302" s="132"/>
      <c r="F302" s="170"/>
      <c r="G302" s="150"/>
      <c r="H302" s="152"/>
      <c r="I302" s="204"/>
      <c r="J302" s="285"/>
      <c r="K302" s="251"/>
      <c r="L302" s="133" t="str">
        <f>IF(AND(I302&lt;&gt;"",ISERROR(IF(ISERROR(VLOOKUP(I302*1,Summary!$C$8:$C$153,1,0)),VLOOKUP(I302,Summary!$C$8:$C$153,1,0),VLOOKUP(I302*1,Summary!$C$8:$C$153,1,0)))),"Add account Number to Summary","")</f>
        <v/>
      </c>
      <c r="M302" s="131" t="str">
        <f t="shared" si="5"/>
        <v/>
      </c>
      <c r="N302" s="287">
        <f>IF(C302="Sale",SUMIFS($D$4:D302,$B$4:B302,B302,$C$4:C302,"")+SUMIFS($D$4:D302,$B$4:B302,B302,$C$4:C302,"Purch")-SUMIFS($D$4:D302,$B$4:B302,B302,$C$4:C302,"Sale"),0)</f>
        <v>0</v>
      </c>
    </row>
    <row r="303" spans="1:14" x14ac:dyDescent="0.2">
      <c r="A303" s="152"/>
      <c r="B303" s="132"/>
      <c r="C303" s="132"/>
      <c r="D303" s="277"/>
      <c r="E303" s="132"/>
      <c r="F303" s="170"/>
      <c r="G303" s="150"/>
      <c r="H303" s="152"/>
      <c r="I303" s="204"/>
      <c r="J303" s="285"/>
      <c r="K303" s="251"/>
      <c r="L303" s="133" t="str">
        <f>IF(AND(I303&lt;&gt;"",ISERROR(IF(ISERROR(VLOOKUP(I303*1,Summary!$C$8:$C$153,1,0)),VLOOKUP(I303,Summary!$C$8:$C$153,1,0),VLOOKUP(I303*1,Summary!$C$8:$C$153,1,0)))),"Add account Number to Summary","")</f>
        <v/>
      </c>
      <c r="M303" s="131" t="str">
        <f t="shared" si="5"/>
        <v/>
      </c>
      <c r="N303" s="287">
        <f>IF(C303="Sale",SUMIFS($D$4:D303,$B$4:B303,B303,$C$4:C303,"")+SUMIFS($D$4:D303,$B$4:B303,B303,$C$4:C303,"Purch")-SUMIFS($D$4:D303,$B$4:B303,B303,$C$4:C303,"Sale"),0)</f>
        <v>0</v>
      </c>
    </row>
    <row r="304" spans="1:14" x14ac:dyDescent="0.2">
      <c r="A304" s="152"/>
      <c r="B304" s="132"/>
      <c r="C304" s="132"/>
      <c r="D304" s="277"/>
      <c r="E304" s="132"/>
      <c r="F304" s="170"/>
      <c r="G304" s="150"/>
      <c r="H304" s="152"/>
      <c r="I304" s="204"/>
      <c r="J304" s="285"/>
      <c r="K304" s="251"/>
      <c r="L304" s="133" t="str">
        <f>IF(AND(I304&lt;&gt;"",ISERROR(IF(ISERROR(VLOOKUP(I304*1,Summary!$C$8:$C$153,1,0)),VLOOKUP(I304,Summary!$C$8:$C$153,1,0),VLOOKUP(I304*1,Summary!$C$8:$C$153,1,0)))),"Add account Number to Summary","")</f>
        <v/>
      </c>
      <c r="M304" s="131" t="str">
        <f t="shared" si="5"/>
        <v/>
      </c>
      <c r="N304" s="287">
        <f>IF(C304="Sale",SUMIFS($D$4:D304,$B$4:B304,B304,$C$4:C304,"")+SUMIFS($D$4:D304,$B$4:B304,B304,$C$4:C304,"Purch")-SUMIFS($D$4:D304,$B$4:B304,B304,$C$4:C304,"Sale"),0)</f>
        <v>0</v>
      </c>
    </row>
    <row r="305" spans="1:14" x14ac:dyDescent="0.2">
      <c r="A305" s="152"/>
      <c r="B305" s="132"/>
      <c r="C305" s="132"/>
      <c r="D305" s="277"/>
      <c r="E305" s="132"/>
      <c r="F305" s="170"/>
      <c r="G305" s="150"/>
      <c r="H305" s="152"/>
      <c r="I305" s="204"/>
      <c r="J305" s="285"/>
      <c r="K305" s="251"/>
      <c r="L305" s="133" t="str">
        <f>IF(AND(I305&lt;&gt;"",ISERROR(IF(ISERROR(VLOOKUP(I305*1,Summary!$C$8:$C$153,1,0)),VLOOKUP(I305,Summary!$C$8:$C$153,1,0),VLOOKUP(I305*1,Summary!$C$8:$C$153,1,0)))),"Add account Number to Summary","")</f>
        <v/>
      </c>
      <c r="M305" s="131" t="str">
        <f t="shared" si="5"/>
        <v/>
      </c>
      <c r="N305" s="287">
        <f>IF(C305="Sale",SUMIFS($D$4:D305,$B$4:B305,B305,$C$4:C305,"")+SUMIFS($D$4:D305,$B$4:B305,B305,$C$4:C305,"Purch")-SUMIFS($D$4:D305,$B$4:B305,B305,$C$4:C305,"Sale"),0)</f>
        <v>0</v>
      </c>
    </row>
    <row r="306" spans="1:14" x14ac:dyDescent="0.2">
      <c r="A306" s="152"/>
      <c r="B306" s="132"/>
      <c r="C306" s="132"/>
      <c r="D306" s="277"/>
      <c r="E306" s="132"/>
      <c r="F306" s="170"/>
      <c r="G306" s="150"/>
      <c r="H306" s="152"/>
      <c r="I306" s="204"/>
      <c r="J306" s="285"/>
      <c r="K306" s="251"/>
      <c r="L306" s="133" t="str">
        <f>IF(AND(I306&lt;&gt;"",ISERROR(IF(ISERROR(VLOOKUP(I306*1,Summary!$C$8:$C$153,1,0)),VLOOKUP(I306,Summary!$C$8:$C$153,1,0),VLOOKUP(I306*1,Summary!$C$8:$C$153,1,0)))),"Add account Number to Summary","")</f>
        <v/>
      </c>
      <c r="M306" s="131" t="str">
        <f t="shared" si="5"/>
        <v/>
      </c>
      <c r="N306" s="287">
        <f>IF(C306="Sale",SUMIFS($D$4:D306,$B$4:B306,B306,$C$4:C306,"")+SUMIFS($D$4:D306,$B$4:B306,B306,$C$4:C306,"Purch")-SUMIFS($D$4:D306,$B$4:B306,B306,$C$4:C306,"Sale"),0)</f>
        <v>0</v>
      </c>
    </row>
    <row r="307" spans="1:14" x14ac:dyDescent="0.2">
      <c r="A307" s="152"/>
      <c r="B307" s="132"/>
      <c r="C307" s="132"/>
      <c r="D307" s="277"/>
      <c r="E307" s="132"/>
      <c r="F307" s="170"/>
      <c r="G307" s="150"/>
      <c r="H307" s="152"/>
      <c r="I307" s="204"/>
      <c r="J307" s="285"/>
      <c r="K307" s="251"/>
      <c r="L307" s="133" t="str">
        <f>IF(AND(I307&lt;&gt;"",ISERROR(IF(ISERROR(VLOOKUP(I307*1,Summary!$C$8:$C$153,1,0)),VLOOKUP(I307,Summary!$C$8:$C$153,1,0),VLOOKUP(I307*1,Summary!$C$8:$C$153,1,0)))),"Add account Number to Summary","")</f>
        <v/>
      </c>
      <c r="M307" s="131" t="str">
        <f t="shared" si="5"/>
        <v/>
      </c>
      <c r="N307" s="287">
        <f>IF(C307="Sale",SUMIFS($D$4:D307,$B$4:B307,B307,$C$4:C307,"")+SUMIFS($D$4:D307,$B$4:B307,B307,$C$4:C307,"Purch")-SUMIFS($D$4:D307,$B$4:B307,B307,$C$4:C307,"Sale"),0)</f>
        <v>0</v>
      </c>
    </row>
    <row r="308" spans="1:14" x14ac:dyDescent="0.2">
      <c r="A308" s="152"/>
      <c r="B308" s="132"/>
      <c r="C308" s="132"/>
      <c r="D308" s="277"/>
      <c r="E308" s="132"/>
      <c r="F308" s="170"/>
      <c r="G308" s="150"/>
      <c r="H308" s="152"/>
      <c r="I308" s="204"/>
      <c r="J308" s="285"/>
      <c r="K308" s="251"/>
      <c r="L308" s="133" t="str">
        <f>IF(AND(I308&lt;&gt;"",ISERROR(IF(ISERROR(VLOOKUP(I308*1,Summary!$C$8:$C$153,1,0)),VLOOKUP(I308,Summary!$C$8:$C$153,1,0),VLOOKUP(I308*1,Summary!$C$8:$C$153,1,0)))),"Add account Number to Summary","")</f>
        <v/>
      </c>
      <c r="M308" s="131" t="str">
        <f t="shared" si="5"/>
        <v/>
      </c>
      <c r="N308" s="287">
        <f>IF(C308="Sale",SUMIFS($D$4:D308,$B$4:B308,B308,$C$4:C308,"")+SUMIFS($D$4:D308,$B$4:B308,B308,$C$4:C308,"Purch")-SUMIFS($D$4:D308,$B$4:B308,B308,$C$4:C308,"Sale"),0)</f>
        <v>0</v>
      </c>
    </row>
    <row r="309" spans="1:14" x14ac:dyDescent="0.2">
      <c r="A309" s="152"/>
      <c r="B309" s="132"/>
      <c r="C309" s="132"/>
      <c r="D309" s="277"/>
      <c r="E309" s="132"/>
      <c r="F309" s="170"/>
      <c r="G309" s="150"/>
      <c r="H309" s="152"/>
      <c r="I309" s="204"/>
      <c r="J309" s="285"/>
      <c r="K309" s="251"/>
      <c r="L309" s="133" t="str">
        <f>IF(AND(I309&lt;&gt;"",ISERROR(IF(ISERROR(VLOOKUP(I309*1,Summary!$C$8:$C$153,1,0)),VLOOKUP(I309,Summary!$C$8:$C$153,1,0),VLOOKUP(I309*1,Summary!$C$8:$C$153,1,0)))),"Add account Number to Summary","")</f>
        <v/>
      </c>
      <c r="M309" s="131" t="str">
        <f t="shared" si="5"/>
        <v/>
      </c>
      <c r="N309" s="287">
        <f>IF(C309="Sale",SUMIFS($D$4:D309,$B$4:B309,B309,$C$4:C309,"")+SUMIFS($D$4:D309,$B$4:B309,B309,$C$4:C309,"Purch")-SUMIFS($D$4:D309,$B$4:B309,B309,$C$4:C309,"Sale"),0)</f>
        <v>0</v>
      </c>
    </row>
    <row r="310" spans="1:14" x14ac:dyDescent="0.2">
      <c r="A310" s="152"/>
      <c r="B310" s="132"/>
      <c r="C310" s="132"/>
      <c r="D310" s="277"/>
      <c r="E310" s="132"/>
      <c r="F310" s="170"/>
      <c r="G310" s="150"/>
      <c r="H310" s="152"/>
      <c r="I310" s="204"/>
      <c r="J310" s="285"/>
      <c r="K310" s="251"/>
      <c r="L310" s="133" t="str">
        <f>IF(AND(I310&lt;&gt;"",ISERROR(IF(ISERROR(VLOOKUP(I310*1,Summary!$C$8:$C$153,1,0)),VLOOKUP(I310,Summary!$C$8:$C$153,1,0),VLOOKUP(I310*1,Summary!$C$8:$C$153,1,0)))),"Add account Number to Summary","")</f>
        <v/>
      </c>
      <c r="M310" s="131" t="str">
        <f t="shared" si="5"/>
        <v/>
      </c>
      <c r="N310" s="287">
        <f>IF(C310="Sale",SUMIFS($D$4:D310,$B$4:B310,B310,$C$4:C310,"")+SUMIFS($D$4:D310,$B$4:B310,B310,$C$4:C310,"Purch")-SUMIFS($D$4:D310,$B$4:B310,B310,$C$4:C310,"Sale"),0)</f>
        <v>0</v>
      </c>
    </row>
    <row r="311" spans="1:14" x14ac:dyDescent="0.2">
      <c r="A311" s="152"/>
      <c r="B311" s="132"/>
      <c r="C311" s="132"/>
      <c r="D311" s="277"/>
      <c r="E311" s="132"/>
      <c r="F311" s="170"/>
      <c r="G311" s="150"/>
      <c r="H311" s="152"/>
      <c r="I311" s="204"/>
      <c r="J311" s="285"/>
      <c r="K311" s="251"/>
      <c r="L311" s="133" t="str">
        <f>IF(AND(I311&lt;&gt;"",ISERROR(IF(ISERROR(VLOOKUP(I311*1,Summary!$C$8:$C$153,1,0)),VLOOKUP(I311,Summary!$C$8:$C$153,1,0),VLOOKUP(I311*1,Summary!$C$8:$C$153,1,0)))),"Add account Number to Summary","")</f>
        <v/>
      </c>
      <c r="M311" s="131" t="str">
        <f t="shared" si="5"/>
        <v/>
      </c>
      <c r="N311" s="287">
        <f>IF(C311="Sale",SUMIFS($D$4:D311,$B$4:B311,B311,$C$4:C311,"")+SUMIFS($D$4:D311,$B$4:B311,B311,$C$4:C311,"Purch")-SUMIFS($D$4:D311,$B$4:B311,B311,$C$4:C311,"Sale"),0)</f>
        <v>0</v>
      </c>
    </row>
    <row r="312" spans="1:14" x14ac:dyDescent="0.2">
      <c r="A312" s="152"/>
      <c r="B312" s="132"/>
      <c r="C312" s="132"/>
      <c r="D312" s="277"/>
      <c r="E312" s="132"/>
      <c r="F312" s="170"/>
      <c r="G312" s="150"/>
      <c r="H312" s="152"/>
      <c r="I312" s="204"/>
      <c r="J312" s="285"/>
      <c r="K312" s="251"/>
      <c r="L312" s="133" t="str">
        <f>IF(AND(I312&lt;&gt;"",ISERROR(IF(ISERROR(VLOOKUP(I312*1,Summary!$C$8:$C$153,1,0)),VLOOKUP(I312,Summary!$C$8:$C$153,1,0),VLOOKUP(I312*1,Summary!$C$8:$C$153,1,0)))),"Add account Number to Summary","")</f>
        <v/>
      </c>
      <c r="M312" s="131" t="str">
        <f t="shared" si="5"/>
        <v/>
      </c>
      <c r="N312" s="287">
        <f>IF(C312="Sale",SUMIFS($D$4:D312,$B$4:B312,B312,$C$4:C312,"")+SUMIFS($D$4:D312,$B$4:B312,B312,$C$4:C312,"Purch")-SUMIFS($D$4:D312,$B$4:B312,B312,$C$4:C312,"Sale"),0)</f>
        <v>0</v>
      </c>
    </row>
    <row r="313" spans="1:14" x14ac:dyDescent="0.2">
      <c r="A313" s="152"/>
      <c r="B313" s="132"/>
      <c r="C313" s="132"/>
      <c r="D313" s="277"/>
      <c r="E313" s="132"/>
      <c r="F313" s="170"/>
      <c r="G313" s="150"/>
      <c r="H313" s="152"/>
      <c r="I313" s="204"/>
      <c r="J313" s="285"/>
      <c r="K313" s="251"/>
      <c r="L313" s="133" t="str">
        <f>IF(AND(I313&lt;&gt;"",ISERROR(IF(ISERROR(VLOOKUP(I313*1,Summary!$C$8:$C$153,1,0)),VLOOKUP(I313,Summary!$C$8:$C$153,1,0),VLOOKUP(I313*1,Summary!$C$8:$C$153,1,0)))),"Add account Number to Summary","")</f>
        <v/>
      </c>
      <c r="M313" s="131" t="str">
        <f t="shared" si="5"/>
        <v/>
      </c>
      <c r="N313" s="287">
        <f>IF(C313="Sale",SUMIFS($D$4:D313,$B$4:B313,B313,$C$4:C313,"")+SUMIFS($D$4:D313,$B$4:B313,B313,$C$4:C313,"Purch")-SUMIFS($D$4:D313,$B$4:B313,B313,$C$4:C313,"Sale"),0)</f>
        <v>0</v>
      </c>
    </row>
    <row r="314" spans="1:14" x14ac:dyDescent="0.2">
      <c r="A314" s="152"/>
      <c r="B314" s="132"/>
      <c r="C314" s="132"/>
      <c r="D314" s="277"/>
      <c r="E314" s="132"/>
      <c r="F314" s="170"/>
      <c r="G314" s="150"/>
      <c r="H314" s="152"/>
      <c r="I314" s="204"/>
      <c r="J314" s="285"/>
      <c r="K314" s="251"/>
      <c r="L314" s="133" t="str">
        <f>IF(AND(I314&lt;&gt;"",ISERROR(IF(ISERROR(VLOOKUP(I314*1,Summary!$C$8:$C$153,1,0)),VLOOKUP(I314,Summary!$C$8:$C$153,1,0),VLOOKUP(I314*1,Summary!$C$8:$C$153,1,0)))),"Add account Number to Summary","")</f>
        <v/>
      </c>
      <c r="M314" s="131" t="str">
        <f t="shared" si="5"/>
        <v/>
      </c>
      <c r="N314" s="287">
        <f>IF(C314="Sale",SUMIFS($D$4:D314,$B$4:B314,B314,$C$4:C314,"")+SUMIFS($D$4:D314,$B$4:B314,B314,$C$4:C314,"Purch")-SUMIFS($D$4:D314,$B$4:B314,B314,$C$4:C314,"Sale"),0)</f>
        <v>0</v>
      </c>
    </row>
    <row r="315" spans="1:14" x14ac:dyDescent="0.2">
      <c r="A315" s="152"/>
      <c r="B315" s="132"/>
      <c r="C315" s="132"/>
      <c r="D315" s="277"/>
      <c r="E315" s="132"/>
      <c r="F315" s="170"/>
      <c r="G315" s="150"/>
      <c r="H315" s="152"/>
      <c r="I315" s="204"/>
      <c r="J315" s="285"/>
      <c r="K315" s="251"/>
      <c r="L315" s="133" t="str">
        <f>IF(AND(I315&lt;&gt;"",ISERROR(IF(ISERROR(VLOOKUP(I315*1,Summary!$C$8:$C$153,1,0)),VLOOKUP(I315,Summary!$C$8:$C$153,1,0),VLOOKUP(I315*1,Summary!$C$8:$C$153,1,0)))),"Add account Number to Summary","")</f>
        <v/>
      </c>
      <c r="M315" s="131" t="str">
        <f t="shared" si="5"/>
        <v/>
      </c>
      <c r="N315" s="287">
        <f>IF(C315="Sale",SUMIFS($D$4:D315,$B$4:B315,B315,$C$4:C315,"")+SUMIFS($D$4:D315,$B$4:B315,B315,$C$4:C315,"Purch")-SUMIFS($D$4:D315,$B$4:B315,B315,$C$4:C315,"Sale"),0)</f>
        <v>0</v>
      </c>
    </row>
    <row r="316" spans="1:14" x14ac:dyDescent="0.2">
      <c r="A316" s="152"/>
      <c r="B316" s="132"/>
      <c r="C316" s="132"/>
      <c r="D316" s="277"/>
      <c r="E316" s="132"/>
      <c r="F316" s="170"/>
      <c r="G316" s="150"/>
      <c r="H316" s="152"/>
      <c r="I316" s="204"/>
      <c r="J316" s="285"/>
      <c r="K316" s="251"/>
      <c r="L316" s="133" t="str">
        <f>IF(AND(I316&lt;&gt;"",ISERROR(IF(ISERROR(VLOOKUP(I316*1,Summary!$C$8:$C$153,1,0)),VLOOKUP(I316,Summary!$C$8:$C$153,1,0),VLOOKUP(I316*1,Summary!$C$8:$C$153,1,0)))),"Add account Number to Summary","")</f>
        <v/>
      </c>
      <c r="M316" s="131" t="str">
        <f t="shared" si="5"/>
        <v/>
      </c>
      <c r="N316" s="287">
        <f>IF(C316="Sale",SUMIFS($D$4:D316,$B$4:B316,B316,$C$4:C316,"")+SUMIFS($D$4:D316,$B$4:B316,B316,$C$4:C316,"Purch")-SUMIFS($D$4:D316,$B$4:B316,B316,$C$4:C316,"Sale"),0)</f>
        <v>0</v>
      </c>
    </row>
    <row r="317" spans="1:14" x14ac:dyDescent="0.2">
      <c r="A317" s="152"/>
      <c r="B317" s="132"/>
      <c r="C317" s="132"/>
      <c r="D317" s="277"/>
      <c r="E317" s="132"/>
      <c r="F317" s="170"/>
      <c r="G317" s="150"/>
      <c r="H317" s="152"/>
      <c r="I317" s="204"/>
      <c r="J317" s="285"/>
      <c r="K317" s="251"/>
      <c r="L317" s="133" t="str">
        <f>IF(AND(I317&lt;&gt;"",ISERROR(IF(ISERROR(VLOOKUP(I317*1,Summary!$C$8:$C$153,1,0)),VLOOKUP(I317,Summary!$C$8:$C$153,1,0),VLOOKUP(I317*1,Summary!$C$8:$C$153,1,0)))),"Add account Number to Summary","")</f>
        <v/>
      </c>
      <c r="M317" s="131" t="str">
        <f t="shared" si="5"/>
        <v/>
      </c>
      <c r="N317" s="287">
        <f>IF(C317="Sale",SUMIFS($D$4:D317,$B$4:B317,B317,$C$4:C317,"")+SUMIFS($D$4:D317,$B$4:B317,B317,$C$4:C317,"Purch")-SUMIFS($D$4:D317,$B$4:B317,B317,$C$4:C317,"Sale"),0)</f>
        <v>0</v>
      </c>
    </row>
    <row r="318" spans="1:14" x14ac:dyDescent="0.2">
      <c r="A318" s="152"/>
      <c r="B318" s="132"/>
      <c r="C318" s="132"/>
      <c r="D318" s="277"/>
      <c r="E318" s="132"/>
      <c r="F318" s="170"/>
      <c r="G318" s="150"/>
      <c r="H318" s="152"/>
      <c r="I318" s="204"/>
      <c r="J318" s="285"/>
      <c r="K318" s="251"/>
      <c r="L318" s="133" t="str">
        <f>IF(AND(I318&lt;&gt;"",ISERROR(IF(ISERROR(VLOOKUP(I318*1,Summary!$C$8:$C$153,1,0)),VLOOKUP(I318,Summary!$C$8:$C$153,1,0),VLOOKUP(I318*1,Summary!$C$8:$C$153,1,0)))),"Add account Number to Summary","")</f>
        <v/>
      </c>
      <c r="M318" s="131" t="str">
        <f t="shared" si="5"/>
        <v/>
      </c>
      <c r="N318" s="287">
        <f>IF(C318="Sale",SUMIFS($D$4:D318,$B$4:B318,B318,$C$4:C318,"")+SUMIFS($D$4:D318,$B$4:B318,B318,$C$4:C318,"Purch")-SUMIFS($D$4:D318,$B$4:B318,B318,$C$4:C318,"Sale"),0)</f>
        <v>0</v>
      </c>
    </row>
    <row r="319" spans="1:14" x14ac:dyDescent="0.2">
      <c r="A319" s="152"/>
      <c r="B319" s="132"/>
      <c r="C319" s="132"/>
      <c r="D319" s="277"/>
      <c r="E319" s="132"/>
      <c r="F319" s="170"/>
      <c r="G319" s="150"/>
      <c r="H319" s="152"/>
      <c r="I319" s="204"/>
      <c r="J319" s="285"/>
      <c r="K319" s="251"/>
      <c r="L319" s="133" t="str">
        <f>IF(AND(I319&lt;&gt;"",ISERROR(IF(ISERROR(VLOOKUP(I319*1,Summary!$C$8:$C$153,1,0)),VLOOKUP(I319,Summary!$C$8:$C$153,1,0),VLOOKUP(I319*1,Summary!$C$8:$C$153,1,0)))),"Add account Number to Summary","")</f>
        <v/>
      </c>
      <c r="M319" s="131" t="str">
        <f t="shared" si="5"/>
        <v/>
      </c>
      <c r="N319" s="287">
        <f>IF(C319="Sale",SUMIFS($D$4:D319,$B$4:B319,B319,$C$4:C319,"")+SUMIFS($D$4:D319,$B$4:B319,B319,$C$4:C319,"Purch")-SUMIFS($D$4:D319,$B$4:B319,B319,$C$4:C319,"Sale"),0)</f>
        <v>0</v>
      </c>
    </row>
    <row r="320" spans="1:14" x14ac:dyDescent="0.2">
      <c r="A320" s="152"/>
      <c r="B320" s="132"/>
      <c r="C320" s="132"/>
      <c r="D320" s="277"/>
      <c r="E320" s="132"/>
      <c r="F320" s="170"/>
      <c r="G320" s="150"/>
      <c r="H320" s="152"/>
      <c r="I320" s="204"/>
      <c r="J320" s="285"/>
      <c r="K320" s="251"/>
      <c r="L320" s="133" t="str">
        <f>IF(AND(I320&lt;&gt;"",ISERROR(IF(ISERROR(VLOOKUP(I320*1,Summary!$C$8:$C$153,1,0)),VLOOKUP(I320,Summary!$C$8:$C$153,1,0),VLOOKUP(I320*1,Summary!$C$8:$C$153,1,0)))),"Add account Number to Summary","")</f>
        <v/>
      </c>
      <c r="M320" s="131" t="str">
        <f t="shared" si="5"/>
        <v/>
      </c>
      <c r="N320" s="287">
        <f>IF(C320="Sale",SUMIFS($D$4:D320,$B$4:B320,B320,$C$4:C320,"")+SUMIFS($D$4:D320,$B$4:B320,B320,$C$4:C320,"Purch")-SUMIFS($D$4:D320,$B$4:B320,B320,$C$4:C320,"Sale"),0)</f>
        <v>0</v>
      </c>
    </row>
    <row r="321" spans="1:14" x14ac:dyDescent="0.2">
      <c r="A321" s="152"/>
      <c r="B321" s="132"/>
      <c r="C321" s="132"/>
      <c r="D321" s="277"/>
      <c r="E321" s="132"/>
      <c r="F321" s="170"/>
      <c r="G321" s="150"/>
      <c r="H321" s="152"/>
      <c r="I321" s="204"/>
      <c r="J321" s="285"/>
      <c r="K321" s="251"/>
      <c r="L321" s="133" t="str">
        <f>IF(AND(I321&lt;&gt;"",ISERROR(IF(ISERROR(VLOOKUP(I321*1,Summary!$C$8:$C$153,1,0)),VLOOKUP(I321,Summary!$C$8:$C$153,1,0),VLOOKUP(I321*1,Summary!$C$8:$C$153,1,0)))),"Add account Number to Summary","")</f>
        <v/>
      </c>
      <c r="M321" s="131" t="str">
        <f t="shared" si="5"/>
        <v/>
      </c>
      <c r="N321" s="287">
        <f>IF(C321="Sale",SUMIFS($D$4:D321,$B$4:B321,B321,$C$4:C321,"")+SUMIFS($D$4:D321,$B$4:B321,B321,$C$4:C321,"Purch")-SUMIFS($D$4:D321,$B$4:B321,B321,$C$4:C321,"Sale"),0)</f>
        <v>0</v>
      </c>
    </row>
    <row r="322" spans="1:14" x14ac:dyDescent="0.2">
      <c r="A322" s="152"/>
      <c r="B322" s="132"/>
      <c r="C322" s="132"/>
      <c r="D322" s="277"/>
      <c r="E322" s="132"/>
      <c r="F322" s="170"/>
      <c r="G322" s="150"/>
      <c r="H322" s="152"/>
      <c r="I322" s="204"/>
      <c r="J322" s="285"/>
      <c r="K322" s="251"/>
      <c r="L322" s="133" t="str">
        <f>IF(AND(I322&lt;&gt;"",ISERROR(IF(ISERROR(VLOOKUP(I322*1,Summary!$C$8:$C$153,1,0)),VLOOKUP(I322,Summary!$C$8:$C$153,1,0),VLOOKUP(I322*1,Summary!$C$8:$C$153,1,0)))),"Add account Number to Summary","")</f>
        <v/>
      </c>
      <c r="M322" s="131" t="str">
        <f t="shared" si="5"/>
        <v/>
      </c>
      <c r="N322" s="287">
        <f>IF(C322="Sale",SUMIFS($D$4:D322,$B$4:B322,B322,$C$4:C322,"")+SUMIFS($D$4:D322,$B$4:B322,B322,$C$4:C322,"Purch")-SUMIFS($D$4:D322,$B$4:B322,B322,$C$4:C322,"Sale"),0)</f>
        <v>0</v>
      </c>
    </row>
    <row r="323" spans="1:14" x14ac:dyDescent="0.2">
      <c r="A323" s="152"/>
      <c r="B323" s="132"/>
      <c r="C323" s="132"/>
      <c r="D323" s="277"/>
      <c r="E323" s="132"/>
      <c r="F323" s="170"/>
      <c r="G323" s="150"/>
      <c r="H323" s="152"/>
      <c r="I323" s="204"/>
      <c r="J323" s="285"/>
      <c r="K323" s="251"/>
      <c r="L323" s="133" t="str">
        <f>IF(AND(I323&lt;&gt;"",ISERROR(IF(ISERROR(VLOOKUP(I323*1,Summary!$C$8:$C$153,1,0)),VLOOKUP(I323,Summary!$C$8:$C$153,1,0),VLOOKUP(I323*1,Summary!$C$8:$C$153,1,0)))),"Add account Number to Summary","")</f>
        <v/>
      </c>
      <c r="M323" s="131" t="str">
        <f t="shared" si="5"/>
        <v/>
      </c>
      <c r="N323" s="287">
        <f>IF(C323="Sale",SUMIFS($D$4:D323,$B$4:B323,B323,$C$4:C323,"")+SUMIFS($D$4:D323,$B$4:B323,B323,$C$4:C323,"Purch")-SUMIFS($D$4:D323,$B$4:B323,B323,$C$4:C323,"Sale"),0)</f>
        <v>0</v>
      </c>
    </row>
    <row r="324" spans="1:14" x14ac:dyDescent="0.2">
      <c r="A324" s="152"/>
      <c r="B324" s="132"/>
      <c r="C324" s="132"/>
      <c r="D324" s="277"/>
      <c r="E324" s="132"/>
      <c r="F324" s="170"/>
      <c r="G324" s="150"/>
      <c r="H324" s="152"/>
      <c r="I324" s="204"/>
      <c r="J324" s="285"/>
      <c r="K324" s="251"/>
      <c r="L324" s="133" t="str">
        <f>IF(AND(I324&lt;&gt;"",ISERROR(IF(ISERROR(VLOOKUP(I324*1,Summary!$C$8:$C$153,1,0)),VLOOKUP(I324,Summary!$C$8:$C$153,1,0),VLOOKUP(I324*1,Summary!$C$8:$C$153,1,0)))),"Add account Number to Summary","")</f>
        <v/>
      </c>
      <c r="M324" s="131" t="str">
        <f t="shared" si="5"/>
        <v/>
      </c>
      <c r="N324" s="287">
        <f>IF(C324="Sale",SUMIFS($D$4:D324,$B$4:B324,B324,$C$4:C324,"")+SUMIFS($D$4:D324,$B$4:B324,B324,$C$4:C324,"Purch")-SUMIFS($D$4:D324,$B$4:B324,B324,$C$4:C324,"Sale"),0)</f>
        <v>0</v>
      </c>
    </row>
    <row r="325" spans="1:14" x14ac:dyDescent="0.2">
      <c r="A325" s="152"/>
      <c r="B325" s="132"/>
      <c r="C325" s="132"/>
      <c r="D325" s="277"/>
      <c r="E325" s="132"/>
      <c r="F325" s="170"/>
      <c r="G325" s="150"/>
      <c r="H325" s="152"/>
      <c r="I325" s="204"/>
      <c r="J325" s="285"/>
      <c r="K325" s="251"/>
      <c r="L325" s="133" t="str">
        <f>IF(AND(I325&lt;&gt;"",ISERROR(IF(ISERROR(VLOOKUP(I325*1,Summary!$C$8:$C$153,1,0)),VLOOKUP(I325,Summary!$C$8:$C$153,1,0),VLOOKUP(I325*1,Summary!$C$8:$C$153,1,0)))),"Add account Number to Summary","")</f>
        <v/>
      </c>
      <c r="M325" s="131" t="str">
        <f t="shared" si="5"/>
        <v/>
      </c>
      <c r="N325" s="287">
        <f>IF(C325="Sale",SUMIFS($D$4:D325,$B$4:B325,B325,$C$4:C325,"")+SUMIFS($D$4:D325,$B$4:B325,B325,$C$4:C325,"Purch")-SUMIFS($D$4:D325,$B$4:B325,B325,$C$4:C325,"Sale"),0)</f>
        <v>0</v>
      </c>
    </row>
    <row r="326" spans="1:14" x14ac:dyDescent="0.2">
      <c r="A326" s="152"/>
      <c r="B326" s="132"/>
      <c r="C326" s="132"/>
      <c r="D326" s="277"/>
      <c r="E326" s="132"/>
      <c r="F326" s="170"/>
      <c r="G326" s="150"/>
      <c r="H326" s="152"/>
      <c r="I326" s="204"/>
      <c r="J326" s="285"/>
      <c r="K326" s="251"/>
      <c r="L326" s="133" t="str">
        <f>IF(AND(I326&lt;&gt;"",ISERROR(IF(ISERROR(VLOOKUP(I326*1,Summary!$C$8:$C$153,1,0)),VLOOKUP(I326,Summary!$C$8:$C$153,1,0),VLOOKUP(I326*1,Summary!$C$8:$C$153,1,0)))),"Add account Number to Summary","")</f>
        <v/>
      </c>
      <c r="M326" s="131" t="str">
        <f t="shared" si="5"/>
        <v/>
      </c>
      <c r="N326" s="287">
        <f>IF(C326="Sale",SUMIFS($D$4:D326,$B$4:B326,B326,$C$4:C326,"")+SUMIFS($D$4:D326,$B$4:B326,B326,$C$4:C326,"Purch")-SUMIFS($D$4:D326,$B$4:B326,B326,$C$4:C326,"Sale"),0)</f>
        <v>0</v>
      </c>
    </row>
    <row r="327" spans="1:14" x14ac:dyDescent="0.2">
      <c r="A327" s="152"/>
      <c r="B327" s="132"/>
      <c r="C327" s="132"/>
      <c r="D327" s="277"/>
      <c r="E327" s="132"/>
      <c r="F327" s="170"/>
      <c r="G327" s="150"/>
      <c r="H327" s="152"/>
      <c r="I327" s="204"/>
      <c r="J327" s="285"/>
      <c r="K327" s="251"/>
      <c r="L327" s="133" t="str">
        <f>IF(AND(I327&lt;&gt;"",ISERROR(IF(ISERROR(VLOOKUP(I327*1,Summary!$C$8:$C$153,1,0)),VLOOKUP(I327,Summary!$C$8:$C$153,1,0),VLOOKUP(I327*1,Summary!$C$8:$C$153,1,0)))),"Add account Number to Summary","")</f>
        <v/>
      </c>
      <c r="M327" s="131" t="str">
        <f t="shared" si="5"/>
        <v/>
      </c>
      <c r="N327" s="287">
        <f>IF(C327="Sale",SUMIFS($D$4:D327,$B$4:B327,B327,$C$4:C327,"")+SUMIFS($D$4:D327,$B$4:B327,B327,$C$4:C327,"Purch")-SUMIFS($D$4:D327,$B$4:B327,B327,$C$4:C327,"Sale"),0)</f>
        <v>0</v>
      </c>
    </row>
    <row r="328" spans="1:14" x14ac:dyDescent="0.2">
      <c r="A328" s="152"/>
      <c r="B328" s="132"/>
      <c r="C328" s="132"/>
      <c r="D328" s="277"/>
      <c r="E328" s="132"/>
      <c r="F328" s="170"/>
      <c r="G328" s="150"/>
      <c r="H328" s="152"/>
      <c r="I328" s="204"/>
      <c r="J328" s="285"/>
      <c r="K328" s="251"/>
      <c r="L328" s="133" t="str">
        <f>IF(AND(I328&lt;&gt;"",ISERROR(IF(ISERROR(VLOOKUP(I328*1,Summary!$C$8:$C$153,1,0)),VLOOKUP(I328,Summary!$C$8:$C$153,1,0),VLOOKUP(I328*1,Summary!$C$8:$C$153,1,0)))),"Add account Number to Summary","")</f>
        <v/>
      </c>
      <c r="M328" s="131" t="str">
        <f t="shared" si="5"/>
        <v/>
      </c>
      <c r="N328" s="287">
        <f>IF(C328="Sale",SUMIFS($D$4:D328,$B$4:B328,B328,$C$4:C328,"")+SUMIFS($D$4:D328,$B$4:B328,B328,$C$4:C328,"Purch")-SUMIFS($D$4:D328,$B$4:B328,B328,$C$4:C328,"Sale"),0)</f>
        <v>0</v>
      </c>
    </row>
    <row r="329" spans="1:14" x14ac:dyDescent="0.2">
      <c r="A329" s="152"/>
      <c r="B329" s="132"/>
      <c r="C329" s="132"/>
      <c r="D329" s="277"/>
      <c r="E329" s="132"/>
      <c r="F329" s="170"/>
      <c r="G329" s="150"/>
      <c r="H329" s="152"/>
      <c r="I329" s="204"/>
      <c r="J329" s="285"/>
      <c r="K329" s="251"/>
      <c r="L329" s="133" t="str">
        <f>IF(AND(I329&lt;&gt;"",ISERROR(IF(ISERROR(VLOOKUP(I329*1,Summary!$C$8:$C$153,1,0)),VLOOKUP(I329,Summary!$C$8:$C$153,1,0),VLOOKUP(I329*1,Summary!$C$8:$C$153,1,0)))),"Add account Number to Summary","")</f>
        <v/>
      </c>
      <c r="M329" s="131" t="str">
        <f t="shared" si="5"/>
        <v/>
      </c>
      <c r="N329" s="287">
        <f>IF(C329="Sale",SUMIFS($D$4:D329,$B$4:B329,B329,$C$4:C329,"")+SUMIFS($D$4:D329,$B$4:B329,B329,$C$4:C329,"Purch")-SUMIFS($D$4:D329,$B$4:B329,B329,$C$4:C329,"Sale"),0)</f>
        <v>0</v>
      </c>
    </row>
    <row r="330" spans="1:14" x14ac:dyDescent="0.2">
      <c r="A330" s="152"/>
      <c r="B330" s="132"/>
      <c r="C330" s="132"/>
      <c r="D330" s="277"/>
      <c r="E330" s="132"/>
      <c r="F330" s="170"/>
      <c r="G330" s="150"/>
      <c r="H330" s="152"/>
      <c r="I330" s="204"/>
      <c r="J330" s="285"/>
      <c r="K330" s="251"/>
      <c r="L330" s="133" t="str">
        <f>IF(AND(I330&lt;&gt;"",ISERROR(IF(ISERROR(VLOOKUP(I330*1,Summary!$C$8:$C$153,1,0)),VLOOKUP(I330,Summary!$C$8:$C$153,1,0),VLOOKUP(I330*1,Summary!$C$8:$C$153,1,0)))),"Add account Number to Summary","")</f>
        <v/>
      </c>
      <c r="M330" s="131" t="str">
        <f t="shared" si="5"/>
        <v/>
      </c>
      <c r="N330" s="287">
        <f>IF(C330="Sale",SUMIFS($D$4:D330,$B$4:B330,B330,$C$4:C330,"")+SUMIFS($D$4:D330,$B$4:B330,B330,$C$4:C330,"Purch")-SUMIFS($D$4:D330,$B$4:B330,B330,$C$4:C330,"Sale"),0)</f>
        <v>0</v>
      </c>
    </row>
    <row r="331" spans="1:14" x14ac:dyDescent="0.2">
      <c r="A331" s="152"/>
      <c r="B331" s="132"/>
      <c r="C331" s="132"/>
      <c r="D331" s="277"/>
      <c r="E331" s="132"/>
      <c r="F331" s="170"/>
      <c r="G331" s="150"/>
      <c r="H331" s="152"/>
      <c r="I331" s="204"/>
      <c r="J331" s="285"/>
      <c r="K331" s="251"/>
      <c r="L331" s="133" t="str">
        <f>IF(AND(I331&lt;&gt;"",ISERROR(IF(ISERROR(VLOOKUP(I331*1,Summary!$C$8:$C$153,1,0)),VLOOKUP(I331,Summary!$C$8:$C$153,1,0),VLOOKUP(I331*1,Summary!$C$8:$C$153,1,0)))),"Add account Number to Summary","")</f>
        <v/>
      </c>
      <c r="M331" s="131" t="str">
        <f t="shared" si="5"/>
        <v/>
      </c>
      <c r="N331" s="287">
        <f>IF(C331="Sale",SUMIFS($D$4:D331,$B$4:B331,B331,$C$4:C331,"")+SUMIFS($D$4:D331,$B$4:B331,B331,$C$4:C331,"Purch")-SUMIFS($D$4:D331,$B$4:B331,B331,$C$4:C331,"Sale"),0)</f>
        <v>0</v>
      </c>
    </row>
    <row r="332" spans="1:14" x14ac:dyDescent="0.2">
      <c r="A332" s="152"/>
      <c r="B332" s="132"/>
      <c r="C332" s="132"/>
      <c r="D332" s="277"/>
      <c r="E332" s="132"/>
      <c r="F332" s="170"/>
      <c r="G332" s="150"/>
      <c r="H332" s="152"/>
      <c r="I332" s="204"/>
      <c r="J332" s="285"/>
      <c r="K332" s="251"/>
      <c r="L332" s="133" t="str">
        <f>IF(AND(I332&lt;&gt;"",ISERROR(IF(ISERROR(VLOOKUP(I332*1,Summary!$C$8:$C$153,1,0)),VLOOKUP(I332,Summary!$C$8:$C$153,1,0),VLOOKUP(I332*1,Summary!$C$8:$C$153,1,0)))),"Add account Number to Summary","")</f>
        <v/>
      </c>
      <c r="M332" s="131" t="str">
        <f t="shared" si="5"/>
        <v/>
      </c>
      <c r="N332" s="287">
        <f>IF(C332="Sale",SUMIFS($D$4:D332,$B$4:B332,B332,$C$4:C332,"")+SUMIFS($D$4:D332,$B$4:B332,B332,$C$4:C332,"Purch")-SUMIFS($D$4:D332,$B$4:B332,B332,$C$4:C332,"Sale"),0)</f>
        <v>0</v>
      </c>
    </row>
    <row r="333" spans="1:14" x14ac:dyDescent="0.2">
      <c r="A333" s="152"/>
      <c r="B333" s="132"/>
      <c r="C333" s="132"/>
      <c r="D333" s="277"/>
      <c r="E333" s="132"/>
      <c r="F333" s="170"/>
      <c r="G333" s="150"/>
      <c r="H333" s="152"/>
      <c r="I333" s="204"/>
      <c r="J333" s="285"/>
      <c r="K333" s="251"/>
      <c r="L333" s="133" t="str">
        <f>IF(AND(I333&lt;&gt;"",ISERROR(IF(ISERROR(VLOOKUP(I333*1,Summary!$C$8:$C$153,1,0)),VLOOKUP(I333,Summary!$C$8:$C$153,1,0),VLOOKUP(I333*1,Summary!$C$8:$C$153,1,0)))),"Add account Number to Summary","")</f>
        <v/>
      </c>
      <c r="M333" s="131" t="str">
        <f t="shared" si="5"/>
        <v/>
      </c>
      <c r="N333" s="287">
        <f>IF(C333="Sale",SUMIFS($D$4:D333,$B$4:B333,B333,$C$4:C333,"")+SUMIFS($D$4:D333,$B$4:B333,B333,$C$4:C333,"Purch")-SUMIFS($D$4:D333,$B$4:B333,B333,$C$4:C333,"Sale"),0)</f>
        <v>0</v>
      </c>
    </row>
    <row r="334" spans="1:14" x14ac:dyDescent="0.2">
      <c r="A334" s="152"/>
      <c r="B334" s="132"/>
      <c r="C334" s="132"/>
      <c r="D334" s="277"/>
      <c r="E334" s="132"/>
      <c r="F334" s="170"/>
      <c r="G334" s="150"/>
      <c r="H334" s="152"/>
      <c r="I334" s="204"/>
      <c r="J334" s="285"/>
      <c r="K334" s="251"/>
      <c r="L334" s="133" t="str">
        <f>IF(AND(I334&lt;&gt;"",ISERROR(IF(ISERROR(VLOOKUP(I334*1,Summary!$C$8:$C$153,1,0)),VLOOKUP(I334,Summary!$C$8:$C$153,1,0),VLOOKUP(I334*1,Summary!$C$8:$C$153,1,0)))),"Add account Number to Summary","")</f>
        <v/>
      </c>
      <c r="M334" s="131" t="str">
        <f t="shared" si="5"/>
        <v/>
      </c>
      <c r="N334" s="287">
        <f>IF(C334="Sale",SUMIFS($D$4:D334,$B$4:B334,B334,$C$4:C334,"")+SUMIFS($D$4:D334,$B$4:B334,B334,$C$4:C334,"Purch")-SUMIFS($D$4:D334,$B$4:B334,B334,$C$4:C334,"Sale"),0)</f>
        <v>0</v>
      </c>
    </row>
    <row r="335" spans="1:14" x14ac:dyDescent="0.2">
      <c r="A335" s="152"/>
      <c r="B335" s="132"/>
      <c r="C335" s="132"/>
      <c r="D335" s="277"/>
      <c r="E335" s="132"/>
      <c r="F335" s="170"/>
      <c r="G335" s="150"/>
      <c r="H335" s="152"/>
      <c r="I335" s="204"/>
      <c r="J335" s="285"/>
      <c r="K335" s="251"/>
      <c r="L335" s="133" t="str">
        <f>IF(AND(I335&lt;&gt;"",ISERROR(IF(ISERROR(VLOOKUP(I335*1,Summary!$C$8:$C$153,1,0)),VLOOKUP(I335,Summary!$C$8:$C$153,1,0),VLOOKUP(I335*1,Summary!$C$8:$C$153,1,0)))),"Add account Number to Summary","")</f>
        <v/>
      </c>
      <c r="M335" s="131" t="str">
        <f t="shared" si="5"/>
        <v/>
      </c>
      <c r="N335" s="287">
        <f>IF(C335="Sale",SUMIFS($D$4:D335,$B$4:B335,B335,$C$4:C335,"")+SUMIFS($D$4:D335,$B$4:B335,B335,$C$4:C335,"Purch")-SUMIFS($D$4:D335,$B$4:B335,B335,$C$4:C335,"Sale"),0)</f>
        <v>0</v>
      </c>
    </row>
    <row r="336" spans="1:14" x14ac:dyDescent="0.2">
      <c r="A336" s="152"/>
      <c r="B336" s="132"/>
      <c r="C336" s="132"/>
      <c r="D336" s="277"/>
      <c r="E336" s="132"/>
      <c r="F336" s="170"/>
      <c r="G336" s="150"/>
      <c r="H336" s="152"/>
      <c r="I336" s="204"/>
      <c r="J336" s="285"/>
      <c r="K336" s="251"/>
      <c r="L336" s="133" t="str">
        <f>IF(AND(I336&lt;&gt;"",ISERROR(IF(ISERROR(VLOOKUP(I336*1,Summary!$C$8:$C$153,1,0)),VLOOKUP(I336,Summary!$C$8:$C$153,1,0),VLOOKUP(I336*1,Summary!$C$8:$C$153,1,0)))),"Add account Number to Summary","")</f>
        <v/>
      </c>
      <c r="M336" s="131" t="str">
        <f t="shared" si="5"/>
        <v/>
      </c>
      <c r="N336" s="287">
        <f>IF(C336="Sale",SUMIFS($D$4:D336,$B$4:B336,B336,$C$4:C336,"")+SUMIFS($D$4:D336,$B$4:B336,B336,$C$4:C336,"Purch")-SUMIFS($D$4:D336,$B$4:B336,B336,$C$4:C336,"Sale"),0)</f>
        <v>0</v>
      </c>
    </row>
    <row r="337" spans="1:14" x14ac:dyDescent="0.2">
      <c r="A337" s="152"/>
      <c r="B337" s="132"/>
      <c r="C337" s="132"/>
      <c r="D337" s="277"/>
      <c r="E337" s="132"/>
      <c r="F337" s="170"/>
      <c r="G337" s="150"/>
      <c r="H337" s="152"/>
      <c r="I337" s="204"/>
      <c r="J337" s="285"/>
      <c r="K337" s="251"/>
      <c r="L337" s="133" t="str">
        <f>IF(AND(I337&lt;&gt;"",ISERROR(IF(ISERROR(VLOOKUP(I337*1,Summary!$C$8:$C$153,1,0)),VLOOKUP(I337,Summary!$C$8:$C$153,1,0),VLOOKUP(I337*1,Summary!$C$8:$C$153,1,0)))),"Add account Number to Summary","")</f>
        <v/>
      </c>
      <c r="M337" s="131" t="str">
        <f t="shared" si="5"/>
        <v/>
      </c>
      <c r="N337" s="287">
        <f>IF(C337="Sale",SUMIFS($D$4:D337,$B$4:B337,B337,$C$4:C337,"")+SUMIFS($D$4:D337,$B$4:B337,B337,$C$4:C337,"Purch")-SUMIFS($D$4:D337,$B$4:B337,B337,$C$4:C337,"Sale"),0)</f>
        <v>0</v>
      </c>
    </row>
    <row r="338" spans="1:14" x14ac:dyDescent="0.2">
      <c r="A338" s="152"/>
      <c r="B338" s="132"/>
      <c r="C338" s="132"/>
      <c r="D338" s="277"/>
      <c r="E338" s="132"/>
      <c r="F338" s="170"/>
      <c r="G338" s="150"/>
      <c r="H338" s="152"/>
      <c r="I338" s="204"/>
      <c r="J338" s="285"/>
      <c r="K338" s="251"/>
      <c r="L338" s="133" t="str">
        <f>IF(AND(I338&lt;&gt;"",ISERROR(IF(ISERROR(VLOOKUP(I338*1,Summary!$C$8:$C$153,1,0)),VLOOKUP(I338,Summary!$C$8:$C$153,1,0),VLOOKUP(I338*1,Summary!$C$8:$C$153,1,0)))),"Add account Number to Summary","")</f>
        <v/>
      </c>
      <c r="M338" s="131" t="str">
        <f t="shared" si="5"/>
        <v/>
      </c>
      <c r="N338" s="287">
        <f>IF(C338="Sale",SUMIFS($D$4:D338,$B$4:B338,B338,$C$4:C338,"")+SUMIFS($D$4:D338,$B$4:B338,B338,$C$4:C338,"Purch")-SUMIFS($D$4:D338,$B$4:B338,B338,$C$4:C338,"Sale"),0)</f>
        <v>0</v>
      </c>
    </row>
    <row r="339" spans="1:14" x14ac:dyDescent="0.2">
      <c r="A339" s="152"/>
      <c r="B339" s="132"/>
      <c r="C339" s="132"/>
      <c r="D339" s="277"/>
      <c r="E339" s="132"/>
      <c r="F339" s="170"/>
      <c r="G339" s="150"/>
      <c r="H339" s="152"/>
      <c r="I339" s="204"/>
      <c r="J339" s="285"/>
      <c r="K339" s="251"/>
      <c r="L339" s="133" t="str">
        <f>IF(AND(I339&lt;&gt;"",ISERROR(IF(ISERROR(VLOOKUP(I339*1,Summary!$C$8:$C$153,1,0)),VLOOKUP(I339,Summary!$C$8:$C$153,1,0),VLOOKUP(I339*1,Summary!$C$8:$C$153,1,0)))),"Add account Number to Summary","")</f>
        <v/>
      </c>
      <c r="M339" s="131" t="str">
        <f t="shared" si="5"/>
        <v/>
      </c>
      <c r="N339" s="287">
        <f>IF(C339="Sale",SUMIFS($D$4:D339,$B$4:B339,B339,$C$4:C339,"")+SUMIFS($D$4:D339,$B$4:B339,B339,$C$4:C339,"Purch")-SUMIFS($D$4:D339,$B$4:B339,B339,$C$4:C339,"Sale"),0)</f>
        <v>0</v>
      </c>
    </row>
    <row r="340" spans="1:14" x14ac:dyDescent="0.2">
      <c r="A340" s="152"/>
      <c r="B340" s="132"/>
      <c r="C340" s="132"/>
      <c r="D340" s="277"/>
      <c r="E340" s="132"/>
      <c r="F340" s="170"/>
      <c r="G340" s="150"/>
      <c r="H340" s="152"/>
      <c r="I340" s="204"/>
      <c r="J340" s="285"/>
      <c r="K340" s="251"/>
      <c r="L340" s="133" t="str">
        <f>IF(AND(I340&lt;&gt;"",ISERROR(IF(ISERROR(VLOOKUP(I340*1,Summary!$C$8:$C$153,1,0)),VLOOKUP(I340,Summary!$C$8:$C$153,1,0),VLOOKUP(I340*1,Summary!$C$8:$C$153,1,0)))),"Add account Number to Summary","")</f>
        <v/>
      </c>
      <c r="M340" s="131" t="str">
        <f t="shared" si="5"/>
        <v/>
      </c>
      <c r="N340" s="287">
        <f>IF(C340="Sale",SUMIFS($D$4:D340,$B$4:B340,B340,$C$4:C340,"")+SUMIFS($D$4:D340,$B$4:B340,B340,$C$4:C340,"Purch")-SUMIFS($D$4:D340,$B$4:B340,B340,$C$4:C340,"Sale"),0)</f>
        <v>0</v>
      </c>
    </row>
    <row r="341" spans="1:14" x14ac:dyDescent="0.2">
      <c r="A341" s="152"/>
      <c r="B341" s="132"/>
      <c r="C341" s="132"/>
      <c r="D341" s="277"/>
      <c r="E341" s="132"/>
      <c r="F341" s="170"/>
      <c r="G341" s="150"/>
      <c r="H341" s="152"/>
      <c r="I341" s="204"/>
      <c r="J341" s="285"/>
      <c r="K341" s="251"/>
      <c r="L341" s="133" t="str">
        <f>IF(AND(I341&lt;&gt;"",ISERROR(IF(ISERROR(VLOOKUP(I341*1,Summary!$C$8:$C$153,1,0)),VLOOKUP(I341,Summary!$C$8:$C$153,1,0),VLOOKUP(I341*1,Summary!$C$8:$C$153,1,0)))),"Add account Number to Summary","")</f>
        <v/>
      </c>
      <c r="M341" s="131" t="str">
        <f t="shared" si="5"/>
        <v/>
      </c>
      <c r="N341" s="287">
        <f>IF(C341="Sale",SUMIFS($D$4:D341,$B$4:B341,B341,$C$4:C341,"")+SUMIFS($D$4:D341,$B$4:B341,B341,$C$4:C341,"Purch")-SUMIFS($D$4:D341,$B$4:B341,B341,$C$4:C341,"Sale"),0)</f>
        <v>0</v>
      </c>
    </row>
    <row r="342" spans="1:14" x14ac:dyDescent="0.2">
      <c r="A342" s="152"/>
      <c r="B342" s="132"/>
      <c r="C342" s="132"/>
      <c r="D342" s="277"/>
      <c r="E342" s="132"/>
      <c r="F342" s="170"/>
      <c r="G342" s="150"/>
      <c r="H342" s="152"/>
      <c r="I342" s="204"/>
      <c r="J342" s="285"/>
      <c r="K342" s="251"/>
      <c r="L342" s="133" t="str">
        <f>IF(AND(I342&lt;&gt;"",ISERROR(IF(ISERROR(VLOOKUP(I342*1,Summary!$C$8:$C$153,1,0)),VLOOKUP(I342,Summary!$C$8:$C$153,1,0),VLOOKUP(I342*1,Summary!$C$8:$C$153,1,0)))),"Add account Number to Summary","")</f>
        <v/>
      </c>
      <c r="M342" s="131" t="str">
        <f t="shared" si="5"/>
        <v/>
      </c>
      <c r="N342" s="287">
        <f>IF(C342="Sale",SUMIFS($D$4:D342,$B$4:B342,B342,$C$4:C342,"")+SUMIFS($D$4:D342,$B$4:B342,B342,$C$4:C342,"Purch")-SUMIFS($D$4:D342,$B$4:B342,B342,$C$4:C342,"Sale"),0)</f>
        <v>0</v>
      </c>
    </row>
    <row r="343" spans="1:14" x14ac:dyDescent="0.2">
      <c r="A343" s="152"/>
      <c r="B343" s="132"/>
      <c r="C343" s="132"/>
      <c r="D343" s="277"/>
      <c r="E343" s="132"/>
      <c r="F343" s="170"/>
      <c r="G343" s="150"/>
      <c r="H343" s="152"/>
      <c r="I343" s="204"/>
      <c r="J343" s="285"/>
      <c r="K343" s="251"/>
      <c r="L343" s="133" t="str">
        <f>IF(AND(I343&lt;&gt;"",ISERROR(IF(ISERROR(VLOOKUP(I343*1,Summary!$C$8:$C$153,1,0)),VLOOKUP(I343,Summary!$C$8:$C$153,1,0),VLOOKUP(I343*1,Summary!$C$8:$C$153,1,0)))),"Add account Number to Summary","")</f>
        <v/>
      </c>
      <c r="M343" s="131" t="str">
        <f t="shared" si="5"/>
        <v/>
      </c>
      <c r="N343" s="287">
        <f>IF(C343="Sale",SUMIFS($D$4:D343,$B$4:B343,B343,$C$4:C343,"")+SUMIFS($D$4:D343,$B$4:B343,B343,$C$4:C343,"Purch")-SUMIFS($D$4:D343,$B$4:B343,B343,$C$4:C343,"Sale"),0)</f>
        <v>0</v>
      </c>
    </row>
    <row r="344" spans="1:14" x14ac:dyDescent="0.2">
      <c r="A344" s="152"/>
      <c r="B344" s="132"/>
      <c r="C344" s="132"/>
      <c r="D344" s="277"/>
      <c r="E344" s="132"/>
      <c r="F344" s="170"/>
      <c r="G344" s="150"/>
      <c r="H344" s="152"/>
      <c r="I344" s="204"/>
      <c r="J344" s="285"/>
      <c r="K344" s="251"/>
      <c r="L344" s="133" t="str">
        <f>IF(AND(I344&lt;&gt;"",ISERROR(IF(ISERROR(VLOOKUP(I344*1,Summary!$C$8:$C$153,1,0)),VLOOKUP(I344,Summary!$C$8:$C$153,1,0),VLOOKUP(I344*1,Summary!$C$8:$C$153,1,0)))),"Add account Number to Summary","")</f>
        <v/>
      </c>
      <c r="M344" s="131" t="str">
        <f t="shared" si="5"/>
        <v/>
      </c>
      <c r="N344" s="287">
        <f>IF(C344="Sale",SUMIFS($D$4:D344,$B$4:B344,B344,$C$4:C344,"")+SUMIFS($D$4:D344,$B$4:B344,B344,$C$4:C344,"Purch")-SUMIFS($D$4:D344,$B$4:B344,B344,$C$4:C344,"Sale"),0)</f>
        <v>0</v>
      </c>
    </row>
    <row r="345" spans="1:14" x14ac:dyDescent="0.2">
      <c r="A345" s="152"/>
      <c r="B345" s="132"/>
      <c r="C345" s="132"/>
      <c r="D345" s="277"/>
      <c r="E345" s="132"/>
      <c r="F345" s="170"/>
      <c r="G345" s="150"/>
      <c r="H345" s="152"/>
      <c r="I345" s="204"/>
      <c r="J345" s="285"/>
      <c r="K345" s="251"/>
      <c r="L345" s="133" t="str">
        <f>IF(AND(I345&lt;&gt;"",ISERROR(IF(ISERROR(VLOOKUP(I345*1,Summary!$C$8:$C$153,1,0)),VLOOKUP(I345,Summary!$C$8:$C$153,1,0),VLOOKUP(I345*1,Summary!$C$8:$C$153,1,0)))),"Add account Number to Summary","")</f>
        <v/>
      </c>
      <c r="M345" s="131" t="str">
        <f t="shared" si="5"/>
        <v/>
      </c>
      <c r="N345" s="287">
        <f>IF(C345="Sale",SUMIFS($D$4:D345,$B$4:B345,B345,$C$4:C345,"")+SUMIFS($D$4:D345,$B$4:B345,B345,$C$4:C345,"Purch")-SUMIFS($D$4:D345,$B$4:B345,B345,$C$4:C345,"Sale"),0)</f>
        <v>0</v>
      </c>
    </row>
    <row r="346" spans="1:14" x14ac:dyDescent="0.2">
      <c r="A346" s="152"/>
      <c r="B346" s="132"/>
      <c r="C346" s="132"/>
      <c r="D346" s="277"/>
      <c r="E346" s="132"/>
      <c r="F346" s="170"/>
      <c r="G346" s="150"/>
      <c r="H346" s="152"/>
      <c r="I346" s="204"/>
      <c r="J346" s="285"/>
      <c r="K346" s="251"/>
      <c r="L346" s="133" t="str">
        <f>IF(AND(I346&lt;&gt;"",ISERROR(IF(ISERROR(VLOOKUP(I346*1,Summary!$C$8:$C$153,1,0)),VLOOKUP(I346,Summary!$C$8:$C$153,1,0),VLOOKUP(I346*1,Summary!$C$8:$C$153,1,0)))),"Add account Number to Summary","")</f>
        <v/>
      </c>
      <c r="M346" s="131" t="str">
        <f t="shared" si="5"/>
        <v/>
      </c>
      <c r="N346" s="287">
        <f>IF(C346="Sale",SUMIFS($D$4:D346,$B$4:B346,B346,$C$4:C346,"")+SUMIFS($D$4:D346,$B$4:B346,B346,$C$4:C346,"Purch")-SUMIFS($D$4:D346,$B$4:B346,B346,$C$4:C346,"Sale"),0)</f>
        <v>0</v>
      </c>
    </row>
    <row r="347" spans="1:14" x14ac:dyDescent="0.2">
      <c r="A347" s="152"/>
      <c r="B347" s="132"/>
      <c r="C347" s="132"/>
      <c r="D347" s="277"/>
      <c r="E347" s="132"/>
      <c r="F347" s="170"/>
      <c r="G347" s="150"/>
      <c r="H347" s="152"/>
      <c r="I347" s="204"/>
      <c r="J347" s="285"/>
      <c r="K347" s="251"/>
      <c r="L347" s="133" t="str">
        <f>IF(AND(I347&lt;&gt;"",ISERROR(IF(ISERROR(VLOOKUP(I347*1,Summary!$C$8:$C$153,1,0)),VLOOKUP(I347,Summary!$C$8:$C$153,1,0),VLOOKUP(I347*1,Summary!$C$8:$C$153,1,0)))),"Add account Number to Summary","")</f>
        <v/>
      </c>
      <c r="M347" s="131" t="str">
        <f t="shared" si="5"/>
        <v/>
      </c>
      <c r="N347" s="287">
        <f>IF(C347="Sale",SUMIFS($D$4:D347,$B$4:B347,B347,$C$4:C347,"")+SUMIFS($D$4:D347,$B$4:B347,B347,$C$4:C347,"Purch")-SUMIFS($D$4:D347,$B$4:B347,B347,$C$4:C347,"Sale"),0)</f>
        <v>0</v>
      </c>
    </row>
    <row r="348" spans="1:14" x14ac:dyDescent="0.2">
      <c r="A348" s="152"/>
      <c r="B348" s="132"/>
      <c r="C348" s="132"/>
      <c r="D348" s="277"/>
      <c r="E348" s="132"/>
      <c r="F348" s="170"/>
      <c r="G348" s="150"/>
      <c r="H348" s="152"/>
      <c r="I348" s="204"/>
      <c r="J348" s="285"/>
      <c r="K348" s="251"/>
      <c r="L348" s="133" t="str">
        <f>IF(AND(I348&lt;&gt;"",ISERROR(IF(ISERROR(VLOOKUP(I348*1,Summary!$C$8:$C$153,1,0)),VLOOKUP(I348,Summary!$C$8:$C$153,1,0),VLOOKUP(I348*1,Summary!$C$8:$C$153,1,0)))),"Add account Number to Summary","")</f>
        <v/>
      </c>
      <c r="M348" s="131" t="str">
        <f t="shared" si="5"/>
        <v/>
      </c>
      <c r="N348" s="287">
        <f>IF(C348="Sale",SUMIFS($D$4:D348,$B$4:B348,B348,$C$4:C348,"")+SUMIFS($D$4:D348,$B$4:B348,B348,$C$4:C348,"Purch")-SUMIFS($D$4:D348,$B$4:B348,B348,$C$4:C348,"Sale"),0)</f>
        <v>0</v>
      </c>
    </row>
    <row r="349" spans="1:14" x14ac:dyDescent="0.2">
      <c r="A349" s="152"/>
      <c r="B349" s="132"/>
      <c r="C349" s="132"/>
      <c r="D349" s="277"/>
      <c r="E349" s="132"/>
      <c r="F349" s="170"/>
      <c r="G349" s="150"/>
      <c r="H349" s="152"/>
      <c r="I349" s="204"/>
      <c r="J349" s="285"/>
      <c r="K349" s="251"/>
      <c r="L349" s="133" t="str">
        <f>IF(AND(I349&lt;&gt;"",ISERROR(IF(ISERROR(VLOOKUP(I349*1,Summary!$C$8:$C$153,1,0)),VLOOKUP(I349,Summary!$C$8:$C$153,1,0),VLOOKUP(I349*1,Summary!$C$8:$C$153,1,0)))),"Add account Number to Summary","")</f>
        <v/>
      </c>
      <c r="M349" s="131" t="str">
        <f t="shared" si="5"/>
        <v/>
      </c>
      <c r="N349" s="287">
        <f>IF(C349="Sale",SUMIFS($D$4:D349,$B$4:B349,B349,$C$4:C349,"")+SUMIFS($D$4:D349,$B$4:B349,B349,$C$4:C349,"Purch")-SUMIFS($D$4:D349,$B$4:B349,B349,$C$4:C349,"Sale"),0)</f>
        <v>0</v>
      </c>
    </row>
    <row r="350" spans="1:14" x14ac:dyDescent="0.2">
      <c r="A350" s="152"/>
      <c r="B350" s="132"/>
      <c r="C350" s="132"/>
      <c r="D350" s="277"/>
      <c r="E350" s="132"/>
      <c r="F350" s="170"/>
      <c r="G350" s="150"/>
      <c r="H350" s="152"/>
      <c r="I350" s="204"/>
      <c r="J350" s="285"/>
      <c r="K350" s="251"/>
      <c r="L350" s="133" t="str">
        <f>IF(AND(I350&lt;&gt;"",ISERROR(IF(ISERROR(VLOOKUP(I350*1,Summary!$C$8:$C$153,1,0)),VLOOKUP(I350,Summary!$C$8:$C$153,1,0),VLOOKUP(I350*1,Summary!$C$8:$C$153,1,0)))),"Add account Number to Summary","")</f>
        <v/>
      </c>
      <c r="M350" s="131" t="str">
        <f t="shared" si="5"/>
        <v/>
      </c>
      <c r="N350" s="287">
        <f>IF(C350="Sale",SUMIFS($D$4:D350,$B$4:B350,B350,$C$4:C350,"")+SUMIFS($D$4:D350,$B$4:B350,B350,$C$4:C350,"Purch")-SUMIFS($D$4:D350,$B$4:B350,B350,$C$4:C350,"Sale"),0)</f>
        <v>0</v>
      </c>
    </row>
    <row r="351" spans="1:14" x14ac:dyDescent="0.2">
      <c r="A351" s="152"/>
      <c r="B351" s="132"/>
      <c r="C351" s="132"/>
      <c r="D351" s="277"/>
      <c r="E351" s="132"/>
      <c r="F351" s="170"/>
      <c r="G351" s="150"/>
      <c r="H351" s="152"/>
      <c r="I351" s="204"/>
      <c r="J351" s="285"/>
      <c r="K351" s="251"/>
      <c r="L351" s="133" t="str">
        <f>IF(AND(I351&lt;&gt;"",ISERROR(IF(ISERROR(VLOOKUP(I351*1,Summary!$C$8:$C$153,1,0)),VLOOKUP(I351,Summary!$C$8:$C$153,1,0),VLOOKUP(I351*1,Summary!$C$8:$C$153,1,0)))),"Add account Number to Summary","")</f>
        <v/>
      </c>
      <c r="M351" s="131" t="str">
        <f t="shared" si="5"/>
        <v/>
      </c>
      <c r="N351" s="287">
        <f>IF(C351="Sale",SUMIFS($D$4:D351,$B$4:B351,B351,$C$4:C351,"")+SUMIFS($D$4:D351,$B$4:B351,B351,$C$4:C351,"Purch")-SUMIFS($D$4:D351,$B$4:B351,B351,$C$4:C351,"Sale"),0)</f>
        <v>0</v>
      </c>
    </row>
    <row r="352" spans="1:14" x14ac:dyDescent="0.2">
      <c r="A352" s="152"/>
      <c r="B352" s="132"/>
      <c r="C352" s="132"/>
      <c r="D352" s="277"/>
      <c r="E352" s="132"/>
      <c r="F352" s="170"/>
      <c r="G352" s="150"/>
      <c r="H352" s="152"/>
      <c r="I352" s="204"/>
      <c r="J352" s="285"/>
      <c r="K352" s="251"/>
      <c r="L352" s="133" t="str">
        <f>IF(AND(I352&lt;&gt;"",ISERROR(IF(ISERROR(VLOOKUP(I352*1,Summary!$C$8:$C$153,1,0)),VLOOKUP(I352,Summary!$C$8:$C$153,1,0),VLOOKUP(I352*1,Summary!$C$8:$C$153,1,0)))),"Add account Number to Summary","")</f>
        <v/>
      </c>
      <c r="M352" s="131" t="str">
        <f t="shared" si="5"/>
        <v/>
      </c>
      <c r="N352" s="287">
        <f>IF(C352="Sale",SUMIFS($D$4:D352,$B$4:B352,B352,$C$4:C352,"")+SUMIFS($D$4:D352,$B$4:B352,B352,$C$4:C352,"Purch")-SUMIFS($D$4:D352,$B$4:B352,B352,$C$4:C352,"Sale"),0)</f>
        <v>0</v>
      </c>
    </row>
    <row r="353" spans="1:14" x14ac:dyDescent="0.2">
      <c r="A353" s="152"/>
      <c r="B353" s="132"/>
      <c r="C353" s="132"/>
      <c r="D353" s="277"/>
      <c r="E353" s="132"/>
      <c r="F353" s="170"/>
      <c r="G353" s="150"/>
      <c r="H353" s="152"/>
      <c r="I353" s="204"/>
      <c r="J353" s="285"/>
      <c r="K353" s="251"/>
      <c r="L353" s="133" t="str">
        <f>IF(AND(I353&lt;&gt;"",ISERROR(IF(ISERROR(VLOOKUP(I353*1,Summary!$C$8:$C$153,1,0)),VLOOKUP(I353,Summary!$C$8:$C$153,1,0),VLOOKUP(I353*1,Summary!$C$8:$C$153,1,0)))),"Add account Number to Summary","")</f>
        <v/>
      </c>
      <c r="M353" s="131" t="str">
        <f t="shared" si="5"/>
        <v/>
      </c>
      <c r="N353" s="287">
        <f>IF(C353="Sale",SUMIFS($D$4:D353,$B$4:B353,B353,$C$4:C353,"")+SUMIFS($D$4:D353,$B$4:B353,B353,$C$4:C353,"Purch")-SUMIFS($D$4:D353,$B$4:B353,B353,$C$4:C353,"Sale"),0)</f>
        <v>0</v>
      </c>
    </row>
    <row r="354" spans="1:14" x14ac:dyDescent="0.2">
      <c r="A354" s="152"/>
      <c r="B354" s="132"/>
      <c r="C354" s="132"/>
      <c r="D354" s="277"/>
      <c r="E354" s="132"/>
      <c r="F354" s="170"/>
      <c r="G354" s="150"/>
      <c r="H354" s="152"/>
      <c r="I354" s="204"/>
      <c r="J354" s="285"/>
      <c r="K354" s="251"/>
      <c r="L354" s="133" t="str">
        <f>IF(AND(I354&lt;&gt;"",ISERROR(IF(ISERROR(VLOOKUP(I354*1,Summary!$C$8:$C$153,1,0)),VLOOKUP(I354,Summary!$C$8:$C$153,1,0),VLOOKUP(I354*1,Summary!$C$8:$C$153,1,0)))),"Add account Number to Summary","")</f>
        <v/>
      </c>
      <c r="M354" s="131" t="str">
        <f t="shared" si="5"/>
        <v/>
      </c>
      <c r="N354" s="287">
        <f>IF(C354="Sale",SUMIFS($D$4:D354,$B$4:B354,B354,$C$4:C354,"")+SUMIFS($D$4:D354,$B$4:B354,B354,$C$4:C354,"Purch")-SUMIFS($D$4:D354,$B$4:B354,B354,$C$4:C354,"Sale"),0)</f>
        <v>0</v>
      </c>
    </row>
    <row r="355" spans="1:14" x14ac:dyDescent="0.2">
      <c r="A355" s="152"/>
      <c r="B355" s="132"/>
      <c r="C355" s="132"/>
      <c r="D355" s="277"/>
      <c r="E355" s="132"/>
      <c r="F355" s="170"/>
      <c r="G355" s="150"/>
      <c r="H355" s="152"/>
      <c r="I355" s="204"/>
      <c r="J355" s="285"/>
      <c r="K355" s="251"/>
      <c r="L355" s="133" t="str">
        <f>IF(AND(I355&lt;&gt;"",ISERROR(IF(ISERROR(VLOOKUP(I355*1,Summary!$C$8:$C$153,1,0)),VLOOKUP(I355,Summary!$C$8:$C$153,1,0),VLOOKUP(I355*1,Summary!$C$8:$C$153,1,0)))),"Add account Number to Summary","")</f>
        <v/>
      </c>
      <c r="M355" s="131" t="str">
        <f t="shared" si="5"/>
        <v/>
      </c>
      <c r="N355" s="287">
        <f>IF(C355="Sale",SUMIFS($D$4:D355,$B$4:B355,B355,$C$4:C355,"")+SUMIFS($D$4:D355,$B$4:B355,B355,$C$4:C355,"Purch")-SUMIFS($D$4:D355,$B$4:B355,B355,$C$4:C355,"Sale"),0)</f>
        <v>0</v>
      </c>
    </row>
    <row r="356" spans="1:14" x14ac:dyDescent="0.2">
      <c r="A356" s="152"/>
      <c r="B356" s="132"/>
      <c r="C356" s="132"/>
      <c r="D356" s="277"/>
      <c r="E356" s="132"/>
      <c r="F356" s="170"/>
      <c r="G356" s="150"/>
      <c r="H356" s="152"/>
      <c r="I356" s="204"/>
      <c r="J356" s="285"/>
      <c r="K356" s="251"/>
      <c r="L356" s="133" t="str">
        <f>IF(AND(I356&lt;&gt;"",ISERROR(IF(ISERROR(VLOOKUP(I356*1,Summary!$C$8:$C$153,1,0)),VLOOKUP(I356,Summary!$C$8:$C$153,1,0),VLOOKUP(I356*1,Summary!$C$8:$C$153,1,0)))),"Add account Number to Summary","")</f>
        <v/>
      </c>
      <c r="M356" s="131" t="str">
        <f t="shared" si="5"/>
        <v/>
      </c>
      <c r="N356" s="287">
        <f>IF(C356="Sale",SUMIFS($D$4:D356,$B$4:B356,B356,$C$4:C356,"")+SUMIFS($D$4:D356,$B$4:B356,B356,$C$4:C356,"Purch")-SUMIFS($D$4:D356,$B$4:B356,B356,$C$4:C356,"Sale"),0)</f>
        <v>0</v>
      </c>
    </row>
    <row r="357" spans="1:14" x14ac:dyDescent="0.2">
      <c r="A357" s="152"/>
      <c r="B357" s="132"/>
      <c r="C357" s="132"/>
      <c r="D357" s="277"/>
      <c r="E357" s="132"/>
      <c r="F357" s="170"/>
      <c r="G357" s="150"/>
      <c r="H357" s="152"/>
      <c r="I357" s="204"/>
      <c r="J357" s="285"/>
      <c r="K357" s="251"/>
      <c r="L357" s="133" t="str">
        <f>IF(AND(I357&lt;&gt;"",ISERROR(IF(ISERROR(VLOOKUP(I357*1,Summary!$C$8:$C$153,1,0)),VLOOKUP(I357,Summary!$C$8:$C$153,1,0),VLOOKUP(I357*1,Summary!$C$8:$C$153,1,0)))),"Add account Number to Summary","")</f>
        <v/>
      </c>
      <c r="M357" s="131" t="str">
        <f t="shared" si="5"/>
        <v/>
      </c>
      <c r="N357" s="287">
        <f>IF(C357="Sale",SUMIFS($D$4:D357,$B$4:B357,B357,$C$4:C357,"")+SUMIFS($D$4:D357,$B$4:B357,B357,$C$4:C357,"Purch")-SUMIFS($D$4:D357,$B$4:B357,B357,$C$4:C357,"Sale"),0)</f>
        <v>0</v>
      </c>
    </row>
    <row r="358" spans="1:14" x14ac:dyDescent="0.2">
      <c r="A358" s="152"/>
      <c r="B358" s="132"/>
      <c r="C358" s="132"/>
      <c r="D358" s="277"/>
      <c r="E358" s="132"/>
      <c r="F358" s="170"/>
      <c r="G358" s="150"/>
      <c r="H358" s="152"/>
      <c r="I358" s="204"/>
      <c r="J358" s="285"/>
      <c r="K358" s="251"/>
      <c r="L358" s="133" t="str">
        <f>IF(AND(I358&lt;&gt;"",ISERROR(IF(ISERROR(VLOOKUP(I358*1,Summary!$C$8:$C$153,1,0)),VLOOKUP(I358,Summary!$C$8:$C$153,1,0),VLOOKUP(I358*1,Summary!$C$8:$C$153,1,0)))),"Add account Number to Summary","")</f>
        <v/>
      </c>
      <c r="M358" s="131" t="str">
        <f t="shared" si="5"/>
        <v/>
      </c>
      <c r="N358" s="287">
        <f>IF(C358="Sale",SUMIFS($D$4:D358,$B$4:B358,B358,$C$4:C358,"")+SUMIFS($D$4:D358,$B$4:B358,B358,$C$4:C358,"Purch")-SUMIFS($D$4:D358,$B$4:B358,B358,$C$4:C358,"Sale"),0)</f>
        <v>0</v>
      </c>
    </row>
    <row r="359" spans="1:14" x14ac:dyDescent="0.2">
      <c r="A359" s="152"/>
      <c r="B359" s="132"/>
      <c r="C359" s="132"/>
      <c r="D359" s="277"/>
      <c r="E359" s="132"/>
      <c r="F359" s="170"/>
      <c r="G359" s="150"/>
      <c r="H359" s="152"/>
      <c r="I359" s="204"/>
      <c r="J359" s="285"/>
      <c r="K359" s="251"/>
      <c r="L359" s="133" t="str">
        <f>IF(AND(I359&lt;&gt;"",ISERROR(IF(ISERROR(VLOOKUP(I359*1,Summary!$C$8:$C$153,1,0)),VLOOKUP(I359,Summary!$C$8:$C$153,1,0),VLOOKUP(I359*1,Summary!$C$8:$C$153,1,0)))),"Add account Number to Summary","")</f>
        <v/>
      </c>
      <c r="M359" s="131" t="str">
        <f t="shared" si="5"/>
        <v/>
      </c>
      <c r="N359" s="287">
        <f>IF(C359="Sale",SUMIFS($D$4:D359,$B$4:B359,B359,$C$4:C359,"")+SUMIFS($D$4:D359,$B$4:B359,B359,$C$4:C359,"Purch")-SUMIFS($D$4:D359,$B$4:B359,B359,$C$4:C359,"Sale"),0)</f>
        <v>0</v>
      </c>
    </row>
    <row r="360" spans="1:14" x14ac:dyDescent="0.2">
      <c r="A360" s="152"/>
      <c r="B360" s="132"/>
      <c r="C360" s="132"/>
      <c r="D360" s="277"/>
      <c r="E360" s="132"/>
      <c r="F360" s="170"/>
      <c r="G360" s="150"/>
      <c r="H360" s="152"/>
      <c r="I360" s="204"/>
      <c r="J360" s="285"/>
      <c r="K360" s="251"/>
      <c r="L360" s="133" t="str">
        <f>IF(AND(I360&lt;&gt;"",ISERROR(IF(ISERROR(VLOOKUP(I360*1,Summary!$C$8:$C$153,1,0)),VLOOKUP(I360,Summary!$C$8:$C$153,1,0),VLOOKUP(I360*1,Summary!$C$8:$C$153,1,0)))),"Add account Number to Summary","")</f>
        <v/>
      </c>
      <c r="M360" s="131" t="str">
        <f t="shared" si="5"/>
        <v/>
      </c>
      <c r="N360" s="287">
        <f>IF(C360="Sale",SUMIFS($D$4:D360,$B$4:B360,B360,$C$4:C360,"")+SUMIFS($D$4:D360,$B$4:B360,B360,$C$4:C360,"Purch")-SUMIFS($D$4:D360,$B$4:B360,B360,$C$4:C360,"Sale"),0)</f>
        <v>0</v>
      </c>
    </row>
    <row r="361" spans="1:14" x14ac:dyDescent="0.2">
      <c r="A361" s="152"/>
      <c r="B361" s="132"/>
      <c r="C361" s="132"/>
      <c r="D361" s="277"/>
      <c r="E361" s="132"/>
      <c r="F361" s="170"/>
      <c r="G361" s="150"/>
      <c r="H361" s="152"/>
      <c r="I361" s="204"/>
      <c r="J361" s="285"/>
      <c r="K361" s="251"/>
      <c r="L361" s="133" t="str">
        <f>IF(AND(I361&lt;&gt;"",ISERROR(IF(ISERROR(VLOOKUP(I361*1,Summary!$C$8:$C$153,1,0)),VLOOKUP(I361,Summary!$C$8:$C$153,1,0),VLOOKUP(I361*1,Summary!$C$8:$C$153,1,0)))),"Add account Number to Summary","")</f>
        <v/>
      </c>
      <c r="M361" s="131" t="str">
        <f t="shared" si="5"/>
        <v/>
      </c>
      <c r="N361" s="287">
        <f>IF(C361="Sale",SUMIFS($D$4:D361,$B$4:B361,B361,$C$4:C361,"")+SUMIFS($D$4:D361,$B$4:B361,B361,$C$4:C361,"Purch")-SUMIFS($D$4:D361,$B$4:B361,B361,$C$4:C361,"Sale"),0)</f>
        <v>0</v>
      </c>
    </row>
    <row r="362" spans="1:14" x14ac:dyDescent="0.2">
      <c r="A362" s="152"/>
      <c r="B362" s="132"/>
      <c r="C362" s="132"/>
      <c r="D362" s="277"/>
      <c r="E362" s="132"/>
      <c r="F362" s="170"/>
      <c r="G362" s="150"/>
      <c r="H362" s="152"/>
      <c r="I362" s="204"/>
      <c r="J362" s="285"/>
      <c r="K362" s="251"/>
      <c r="L362" s="133" t="str">
        <f>IF(AND(I362&lt;&gt;"",ISERROR(IF(ISERROR(VLOOKUP(I362*1,Summary!$C$8:$C$153,1,0)),VLOOKUP(I362,Summary!$C$8:$C$153,1,0),VLOOKUP(I362*1,Summary!$C$8:$C$153,1,0)))),"Add account Number to Summary","")</f>
        <v/>
      </c>
      <c r="M362" s="131" t="str">
        <f t="shared" si="5"/>
        <v/>
      </c>
      <c r="N362" s="287">
        <f>IF(C362="Sale",SUMIFS($D$4:D362,$B$4:B362,B362,$C$4:C362,"")+SUMIFS($D$4:D362,$B$4:B362,B362,$C$4:C362,"Purch")-SUMIFS($D$4:D362,$B$4:B362,B362,$C$4:C362,"Sale"),0)</f>
        <v>0</v>
      </c>
    </row>
    <row r="363" spans="1:14" x14ac:dyDescent="0.2">
      <c r="A363" s="152"/>
      <c r="B363" s="132"/>
      <c r="C363" s="132"/>
      <c r="D363" s="277"/>
      <c r="E363" s="132"/>
      <c r="F363" s="170"/>
      <c r="G363" s="150"/>
      <c r="H363" s="152"/>
      <c r="I363" s="204"/>
      <c r="J363" s="285"/>
      <c r="K363" s="251"/>
      <c r="L363" s="133" t="str">
        <f>IF(AND(I363&lt;&gt;"",ISERROR(IF(ISERROR(VLOOKUP(I363*1,Summary!$C$8:$C$153,1,0)),VLOOKUP(I363,Summary!$C$8:$C$153,1,0),VLOOKUP(I363*1,Summary!$C$8:$C$153,1,0)))),"Add account Number to Summary","")</f>
        <v/>
      </c>
      <c r="M363" s="131" t="str">
        <f t="shared" si="5"/>
        <v/>
      </c>
      <c r="N363" s="287">
        <f>IF(C363="Sale",SUMIFS($D$4:D363,$B$4:B363,B363,$C$4:C363,"")+SUMIFS($D$4:D363,$B$4:B363,B363,$C$4:C363,"Purch")-SUMIFS($D$4:D363,$B$4:B363,B363,$C$4:C363,"Sale"),0)</f>
        <v>0</v>
      </c>
    </row>
    <row r="364" spans="1:14" x14ac:dyDescent="0.2">
      <c r="A364" s="152"/>
      <c r="B364" s="132"/>
      <c r="C364" s="132"/>
      <c r="D364" s="277"/>
      <c r="E364" s="132"/>
      <c r="F364" s="170"/>
      <c r="G364" s="150"/>
      <c r="H364" s="152"/>
      <c r="I364" s="204"/>
      <c r="J364" s="285"/>
      <c r="K364" s="251"/>
      <c r="L364" s="133" t="str">
        <f>IF(AND(I364&lt;&gt;"",ISERROR(IF(ISERROR(VLOOKUP(I364*1,Summary!$C$8:$C$153,1,0)),VLOOKUP(I364,Summary!$C$8:$C$153,1,0),VLOOKUP(I364*1,Summary!$C$8:$C$153,1,0)))),"Add account Number to Summary","")</f>
        <v/>
      </c>
      <c r="M364" s="131" t="str">
        <f t="shared" ref="M364:M427" si="6">IF(K364="Yes",IF(YEAR(A364)&lt;&gt;YEAR(date),"Check Date",""),"")</f>
        <v/>
      </c>
      <c r="N364" s="287">
        <f>IF(C364="Sale",SUMIFS($D$4:D364,$B$4:B364,B364,$C$4:C364,"")+SUMIFS($D$4:D364,$B$4:B364,B364,$C$4:C364,"Purch")-SUMIFS($D$4:D364,$B$4:B364,B364,$C$4:C364,"Sale"),0)</f>
        <v>0</v>
      </c>
    </row>
    <row r="365" spans="1:14" x14ac:dyDescent="0.2">
      <c r="A365" s="152"/>
      <c r="B365" s="132"/>
      <c r="C365" s="132"/>
      <c r="D365" s="277"/>
      <c r="E365" s="132"/>
      <c r="F365" s="170"/>
      <c r="G365" s="150"/>
      <c r="H365" s="152"/>
      <c r="I365" s="204"/>
      <c r="J365" s="285"/>
      <c r="K365" s="251"/>
      <c r="L365" s="133" t="str">
        <f>IF(AND(I365&lt;&gt;"",ISERROR(IF(ISERROR(VLOOKUP(I365*1,Summary!$C$8:$C$153,1,0)),VLOOKUP(I365,Summary!$C$8:$C$153,1,0),VLOOKUP(I365*1,Summary!$C$8:$C$153,1,0)))),"Add account Number to Summary","")</f>
        <v/>
      </c>
      <c r="M365" s="131" t="str">
        <f t="shared" si="6"/>
        <v/>
      </c>
      <c r="N365" s="287">
        <f>IF(C365="Sale",SUMIFS($D$4:D365,$B$4:B365,B365,$C$4:C365,"")+SUMIFS($D$4:D365,$B$4:B365,B365,$C$4:C365,"Purch")-SUMIFS($D$4:D365,$B$4:B365,B365,$C$4:C365,"Sale"),0)</f>
        <v>0</v>
      </c>
    </row>
    <row r="366" spans="1:14" x14ac:dyDescent="0.2">
      <c r="A366" s="152"/>
      <c r="B366" s="132"/>
      <c r="C366" s="132"/>
      <c r="D366" s="277"/>
      <c r="E366" s="132"/>
      <c r="F366" s="170"/>
      <c r="G366" s="150"/>
      <c r="H366" s="152"/>
      <c r="I366" s="204"/>
      <c r="J366" s="285"/>
      <c r="K366" s="251"/>
      <c r="L366" s="133" t="str">
        <f>IF(AND(I366&lt;&gt;"",ISERROR(IF(ISERROR(VLOOKUP(I366*1,Summary!$C$8:$C$153,1,0)),VLOOKUP(I366,Summary!$C$8:$C$153,1,0),VLOOKUP(I366*1,Summary!$C$8:$C$153,1,0)))),"Add account Number to Summary","")</f>
        <v/>
      </c>
      <c r="M366" s="131" t="str">
        <f t="shared" si="6"/>
        <v/>
      </c>
      <c r="N366" s="287">
        <f>IF(C366="Sale",SUMIFS($D$4:D366,$B$4:B366,B366,$C$4:C366,"")+SUMIFS($D$4:D366,$B$4:B366,B366,$C$4:C366,"Purch")-SUMIFS($D$4:D366,$B$4:B366,B366,$C$4:C366,"Sale"),0)</f>
        <v>0</v>
      </c>
    </row>
    <row r="367" spans="1:14" x14ac:dyDescent="0.2">
      <c r="A367" s="152"/>
      <c r="B367" s="132"/>
      <c r="C367" s="132"/>
      <c r="D367" s="277"/>
      <c r="E367" s="132"/>
      <c r="F367" s="170"/>
      <c r="G367" s="150"/>
      <c r="H367" s="152"/>
      <c r="I367" s="204"/>
      <c r="J367" s="285"/>
      <c r="K367" s="251"/>
      <c r="L367" s="133" t="str">
        <f>IF(AND(I367&lt;&gt;"",ISERROR(IF(ISERROR(VLOOKUP(I367*1,Summary!$C$8:$C$153,1,0)),VLOOKUP(I367,Summary!$C$8:$C$153,1,0),VLOOKUP(I367*1,Summary!$C$8:$C$153,1,0)))),"Add account Number to Summary","")</f>
        <v/>
      </c>
      <c r="M367" s="131" t="str">
        <f t="shared" si="6"/>
        <v/>
      </c>
      <c r="N367" s="287">
        <f>IF(C367="Sale",SUMIFS($D$4:D367,$B$4:B367,B367,$C$4:C367,"")+SUMIFS($D$4:D367,$B$4:B367,B367,$C$4:C367,"Purch")-SUMIFS($D$4:D367,$B$4:B367,B367,$C$4:C367,"Sale"),0)</f>
        <v>0</v>
      </c>
    </row>
    <row r="368" spans="1:14" x14ac:dyDescent="0.2">
      <c r="A368" s="152"/>
      <c r="B368" s="132"/>
      <c r="C368" s="132"/>
      <c r="D368" s="277"/>
      <c r="E368" s="132"/>
      <c r="F368" s="170"/>
      <c r="G368" s="150"/>
      <c r="H368" s="152"/>
      <c r="I368" s="204"/>
      <c r="J368" s="285"/>
      <c r="K368" s="251"/>
      <c r="L368" s="133" t="str">
        <f>IF(AND(I368&lt;&gt;"",ISERROR(IF(ISERROR(VLOOKUP(I368*1,Summary!$C$8:$C$153,1,0)),VLOOKUP(I368,Summary!$C$8:$C$153,1,0),VLOOKUP(I368*1,Summary!$C$8:$C$153,1,0)))),"Add account Number to Summary","")</f>
        <v/>
      </c>
      <c r="M368" s="131" t="str">
        <f t="shared" si="6"/>
        <v/>
      </c>
      <c r="N368" s="287">
        <f>IF(C368="Sale",SUMIFS($D$4:D368,$B$4:B368,B368,$C$4:C368,"")+SUMIFS($D$4:D368,$B$4:B368,B368,$C$4:C368,"Purch")-SUMIFS($D$4:D368,$B$4:B368,B368,$C$4:C368,"Sale"),0)</f>
        <v>0</v>
      </c>
    </row>
    <row r="369" spans="1:14" x14ac:dyDescent="0.2">
      <c r="A369" s="152"/>
      <c r="B369" s="132"/>
      <c r="C369" s="132"/>
      <c r="D369" s="277"/>
      <c r="E369" s="132"/>
      <c r="F369" s="170"/>
      <c r="G369" s="150"/>
      <c r="H369" s="152"/>
      <c r="I369" s="204"/>
      <c r="J369" s="285"/>
      <c r="K369" s="251"/>
      <c r="L369" s="133" t="str">
        <f>IF(AND(I369&lt;&gt;"",ISERROR(IF(ISERROR(VLOOKUP(I369*1,Summary!$C$8:$C$153,1,0)),VLOOKUP(I369,Summary!$C$8:$C$153,1,0),VLOOKUP(I369*1,Summary!$C$8:$C$153,1,0)))),"Add account Number to Summary","")</f>
        <v/>
      </c>
      <c r="M369" s="131" t="str">
        <f t="shared" si="6"/>
        <v/>
      </c>
      <c r="N369" s="287">
        <f>IF(C369="Sale",SUMIFS($D$4:D369,$B$4:B369,B369,$C$4:C369,"")+SUMIFS($D$4:D369,$B$4:B369,B369,$C$4:C369,"Purch")-SUMIFS($D$4:D369,$B$4:B369,B369,$C$4:C369,"Sale"),0)</f>
        <v>0</v>
      </c>
    </row>
    <row r="370" spans="1:14" x14ac:dyDescent="0.2">
      <c r="A370" s="152"/>
      <c r="B370" s="132"/>
      <c r="C370" s="132"/>
      <c r="D370" s="277"/>
      <c r="E370" s="132"/>
      <c r="F370" s="170"/>
      <c r="G370" s="150"/>
      <c r="H370" s="152"/>
      <c r="I370" s="204"/>
      <c r="J370" s="285"/>
      <c r="K370" s="251"/>
      <c r="L370" s="133" t="str">
        <f>IF(AND(I370&lt;&gt;"",ISERROR(IF(ISERROR(VLOOKUP(I370*1,Summary!$C$8:$C$153,1,0)),VLOOKUP(I370,Summary!$C$8:$C$153,1,0),VLOOKUP(I370*1,Summary!$C$8:$C$153,1,0)))),"Add account Number to Summary","")</f>
        <v/>
      </c>
      <c r="M370" s="131" t="str">
        <f t="shared" si="6"/>
        <v/>
      </c>
      <c r="N370" s="287">
        <f>IF(C370="Sale",SUMIFS($D$4:D370,$B$4:B370,B370,$C$4:C370,"")+SUMIFS($D$4:D370,$B$4:B370,B370,$C$4:C370,"Purch")-SUMIFS($D$4:D370,$B$4:B370,B370,$C$4:C370,"Sale"),0)</f>
        <v>0</v>
      </c>
    </row>
    <row r="371" spans="1:14" x14ac:dyDescent="0.2">
      <c r="A371" s="152"/>
      <c r="B371" s="132"/>
      <c r="C371" s="132"/>
      <c r="D371" s="277"/>
      <c r="E371" s="132"/>
      <c r="F371" s="170"/>
      <c r="G371" s="150"/>
      <c r="H371" s="152"/>
      <c r="I371" s="204"/>
      <c r="J371" s="285"/>
      <c r="K371" s="251"/>
      <c r="L371" s="133" t="str">
        <f>IF(AND(I371&lt;&gt;"",ISERROR(IF(ISERROR(VLOOKUP(I371*1,Summary!$C$8:$C$153,1,0)),VLOOKUP(I371,Summary!$C$8:$C$153,1,0),VLOOKUP(I371*1,Summary!$C$8:$C$153,1,0)))),"Add account Number to Summary","")</f>
        <v/>
      </c>
      <c r="M371" s="131" t="str">
        <f t="shared" si="6"/>
        <v/>
      </c>
      <c r="N371" s="287">
        <f>IF(C371="Sale",SUMIFS($D$4:D371,$B$4:B371,B371,$C$4:C371,"")+SUMIFS($D$4:D371,$B$4:B371,B371,$C$4:C371,"Purch")-SUMIFS($D$4:D371,$B$4:B371,B371,$C$4:C371,"Sale"),0)</f>
        <v>0</v>
      </c>
    </row>
    <row r="372" spans="1:14" x14ac:dyDescent="0.2">
      <c r="A372" s="152"/>
      <c r="B372" s="132"/>
      <c r="C372" s="132"/>
      <c r="D372" s="277"/>
      <c r="E372" s="132"/>
      <c r="F372" s="170"/>
      <c r="G372" s="150"/>
      <c r="H372" s="152"/>
      <c r="I372" s="204"/>
      <c r="J372" s="285"/>
      <c r="K372" s="251"/>
      <c r="L372" s="133" t="str">
        <f>IF(AND(I372&lt;&gt;"",ISERROR(IF(ISERROR(VLOOKUP(I372*1,Summary!$C$8:$C$153,1,0)),VLOOKUP(I372,Summary!$C$8:$C$153,1,0),VLOOKUP(I372*1,Summary!$C$8:$C$153,1,0)))),"Add account Number to Summary","")</f>
        <v/>
      </c>
      <c r="M372" s="131" t="str">
        <f t="shared" si="6"/>
        <v/>
      </c>
      <c r="N372" s="287">
        <f>IF(C372="Sale",SUMIFS($D$4:D372,$B$4:B372,B372,$C$4:C372,"")+SUMIFS($D$4:D372,$B$4:B372,B372,$C$4:C372,"Purch")-SUMIFS($D$4:D372,$B$4:B372,B372,$C$4:C372,"Sale"),0)</f>
        <v>0</v>
      </c>
    </row>
    <row r="373" spans="1:14" x14ac:dyDescent="0.2">
      <c r="A373" s="152"/>
      <c r="B373" s="132"/>
      <c r="C373" s="132"/>
      <c r="D373" s="277"/>
      <c r="E373" s="132"/>
      <c r="F373" s="170"/>
      <c r="G373" s="150"/>
      <c r="H373" s="152"/>
      <c r="I373" s="204"/>
      <c r="J373" s="285"/>
      <c r="K373" s="251"/>
      <c r="L373" s="133" t="str">
        <f>IF(AND(I373&lt;&gt;"",ISERROR(IF(ISERROR(VLOOKUP(I373*1,Summary!$C$8:$C$153,1,0)),VLOOKUP(I373,Summary!$C$8:$C$153,1,0),VLOOKUP(I373*1,Summary!$C$8:$C$153,1,0)))),"Add account Number to Summary","")</f>
        <v/>
      </c>
      <c r="M373" s="131" t="str">
        <f t="shared" si="6"/>
        <v/>
      </c>
      <c r="N373" s="287">
        <f>IF(C373="Sale",SUMIFS($D$4:D373,$B$4:B373,B373,$C$4:C373,"")+SUMIFS($D$4:D373,$B$4:B373,B373,$C$4:C373,"Purch")-SUMIFS($D$4:D373,$B$4:B373,B373,$C$4:C373,"Sale"),0)</f>
        <v>0</v>
      </c>
    </row>
    <row r="374" spans="1:14" x14ac:dyDescent="0.2">
      <c r="A374" s="152"/>
      <c r="B374" s="132"/>
      <c r="C374" s="132"/>
      <c r="D374" s="277"/>
      <c r="E374" s="132"/>
      <c r="F374" s="170"/>
      <c r="G374" s="150"/>
      <c r="H374" s="152"/>
      <c r="I374" s="204"/>
      <c r="J374" s="285"/>
      <c r="K374" s="251"/>
      <c r="L374" s="133" t="str">
        <f>IF(AND(I374&lt;&gt;"",ISERROR(IF(ISERROR(VLOOKUP(I374*1,Summary!$C$8:$C$153,1,0)),VLOOKUP(I374,Summary!$C$8:$C$153,1,0),VLOOKUP(I374*1,Summary!$C$8:$C$153,1,0)))),"Add account Number to Summary","")</f>
        <v/>
      </c>
      <c r="M374" s="131" t="str">
        <f t="shared" si="6"/>
        <v/>
      </c>
      <c r="N374" s="287">
        <f>IF(C374="Sale",SUMIFS($D$4:D374,$B$4:B374,B374,$C$4:C374,"")+SUMIFS($D$4:D374,$B$4:B374,B374,$C$4:C374,"Purch")-SUMIFS($D$4:D374,$B$4:B374,B374,$C$4:C374,"Sale"),0)</f>
        <v>0</v>
      </c>
    </row>
    <row r="375" spans="1:14" x14ac:dyDescent="0.2">
      <c r="A375" s="152"/>
      <c r="B375" s="132"/>
      <c r="C375" s="132"/>
      <c r="D375" s="277"/>
      <c r="E375" s="132"/>
      <c r="F375" s="170"/>
      <c r="G375" s="150"/>
      <c r="H375" s="152"/>
      <c r="I375" s="204"/>
      <c r="J375" s="285"/>
      <c r="K375" s="251"/>
      <c r="L375" s="133" t="str">
        <f>IF(AND(I375&lt;&gt;"",ISERROR(IF(ISERROR(VLOOKUP(I375*1,Summary!$C$8:$C$153,1,0)),VLOOKUP(I375,Summary!$C$8:$C$153,1,0),VLOOKUP(I375*1,Summary!$C$8:$C$153,1,0)))),"Add account Number to Summary","")</f>
        <v/>
      </c>
      <c r="M375" s="131" t="str">
        <f t="shared" si="6"/>
        <v/>
      </c>
      <c r="N375" s="287">
        <f>IF(C375="Sale",SUMIFS($D$4:D375,$B$4:B375,B375,$C$4:C375,"")+SUMIFS($D$4:D375,$B$4:B375,B375,$C$4:C375,"Purch")-SUMIFS($D$4:D375,$B$4:B375,B375,$C$4:C375,"Sale"),0)</f>
        <v>0</v>
      </c>
    </row>
    <row r="376" spans="1:14" x14ac:dyDescent="0.2">
      <c r="A376" s="152"/>
      <c r="B376" s="132"/>
      <c r="C376" s="132"/>
      <c r="D376" s="277"/>
      <c r="E376" s="132"/>
      <c r="F376" s="170"/>
      <c r="G376" s="150"/>
      <c r="H376" s="152"/>
      <c r="I376" s="204"/>
      <c r="J376" s="285"/>
      <c r="K376" s="251"/>
      <c r="L376" s="133" t="str">
        <f>IF(AND(I376&lt;&gt;"",ISERROR(IF(ISERROR(VLOOKUP(I376*1,Summary!$C$8:$C$153,1,0)),VLOOKUP(I376,Summary!$C$8:$C$153,1,0),VLOOKUP(I376*1,Summary!$C$8:$C$153,1,0)))),"Add account Number to Summary","")</f>
        <v/>
      </c>
      <c r="M376" s="131" t="str">
        <f t="shared" si="6"/>
        <v/>
      </c>
      <c r="N376" s="287">
        <f>IF(C376="Sale",SUMIFS($D$4:D376,$B$4:B376,B376,$C$4:C376,"")+SUMIFS($D$4:D376,$B$4:B376,B376,$C$4:C376,"Purch")-SUMIFS($D$4:D376,$B$4:B376,B376,$C$4:C376,"Sale"),0)</f>
        <v>0</v>
      </c>
    </row>
    <row r="377" spans="1:14" x14ac:dyDescent="0.2">
      <c r="A377" s="152"/>
      <c r="B377" s="132"/>
      <c r="C377" s="132"/>
      <c r="D377" s="277"/>
      <c r="E377" s="132"/>
      <c r="F377" s="170"/>
      <c r="G377" s="150"/>
      <c r="H377" s="152"/>
      <c r="I377" s="204"/>
      <c r="J377" s="285"/>
      <c r="K377" s="251"/>
      <c r="L377" s="133" t="str">
        <f>IF(AND(I377&lt;&gt;"",ISERROR(IF(ISERROR(VLOOKUP(I377*1,Summary!$C$8:$C$153,1,0)),VLOOKUP(I377,Summary!$C$8:$C$153,1,0),VLOOKUP(I377*1,Summary!$C$8:$C$153,1,0)))),"Add account Number to Summary","")</f>
        <v/>
      </c>
      <c r="M377" s="131" t="str">
        <f t="shared" si="6"/>
        <v/>
      </c>
      <c r="N377" s="287">
        <f>IF(C377="Sale",SUMIFS($D$4:D377,$B$4:B377,B377,$C$4:C377,"")+SUMIFS($D$4:D377,$B$4:B377,B377,$C$4:C377,"Purch")-SUMIFS($D$4:D377,$B$4:B377,B377,$C$4:C377,"Sale"),0)</f>
        <v>0</v>
      </c>
    </row>
    <row r="378" spans="1:14" x14ac:dyDescent="0.2">
      <c r="A378" s="152"/>
      <c r="B378" s="132"/>
      <c r="C378" s="132"/>
      <c r="D378" s="277"/>
      <c r="E378" s="132"/>
      <c r="F378" s="170"/>
      <c r="G378" s="150"/>
      <c r="H378" s="152"/>
      <c r="I378" s="204"/>
      <c r="J378" s="285"/>
      <c r="K378" s="251"/>
      <c r="L378" s="133" t="str">
        <f>IF(AND(I378&lt;&gt;"",ISERROR(IF(ISERROR(VLOOKUP(I378*1,Summary!$C$8:$C$153,1,0)),VLOOKUP(I378,Summary!$C$8:$C$153,1,0),VLOOKUP(I378*1,Summary!$C$8:$C$153,1,0)))),"Add account Number to Summary","")</f>
        <v/>
      </c>
      <c r="M378" s="131" t="str">
        <f t="shared" si="6"/>
        <v/>
      </c>
      <c r="N378" s="287">
        <f>IF(C378="Sale",SUMIFS($D$4:D378,$B$4:B378,B378,$C$4:C378,"")+SUMIFS($D$4:D378,$B$4:B378,B378,$C$4:C378,"Purch")-SUMIFS($D$4:D378,$B$4:B378,B378,$C$4:C378,"Sale"),0)</f>
        <v>0</v>
      </c>
    </row>
    <row r="379" spans="1:14" x14ac:dyDescent="0.2">
      <c r="A379" s="152"/>
      <c r="B379" s="132"/>
      <c r="C379" s="132"/>
      <c r="D379" s="277"/>
      <c r="E379" s="132"/>
      <c r="F379" s="170"/>
      <c r="G379" s="150"/>
      <c r="H379" s="152"/>
      <c r="I379" s="204"/>
      <c r="J379" s="285"/>
      <c r="K379" s="251"/>
      <c r="L379" s="133" t="str">
        <f>IF(AND(I379&lt;&gt;"",ISERROR(IF(ISERROR(VLOOKUP(I379*1,Summary!$C$8:$C$153,1,0)),VLOOKUP(I379,Summary!$C$8:$C$153,1,0),VLOOKUP(I379*1,Summary!$C$8:$C$153,1,0)))),"Add account Number to Summary","")</f>
        <v/>
      </c>
      <c r="M379" s="131" t="str">
        <f t="shared" si="6"/>
        <v/>
      </c>
      <c r="N379" s="287">
        <f>IF(C379="Sale",SUMIFS($D$4:D379,$B$4:B379,B379,$C$4:C379,"")+SUMIFS($D$4:D379,$B$4:B379,B379,$C$4:C379,"Purch")-SUMIFS($D$4:D379,$B$4:B379,B379,$C$4:C379,"Sale"),0)</f>
        <v>0</v>
      </c>
    </row>
    <row r="380" spans="1:14" x14ac:dyDescent="0.2">
      <c r="A380" s="152"/>
      <c r="B380" s="132"/>
      <c r="C380" s="132"/>
      <c r="D380" s="277"/>
      <c r="E380" s="132"/>
      <c r="F380" s="170"/>
      <c r="G380" s="150"/>
      <c r="H380" s="152"/>
      <c r="I380" s="204"/>
      <c r="J380" s="285"/>
      <c r="K380" s="251"/>
      <c r="L380" s="133" t="str">
        <f>IF(AND(I380&lt;&gt;"",ISERROR(IF(ISERROR(VLOOKUP(I380*1,Summary!$C$8:$C$153,1,0)),VLOOKUP(I380,Summary!$C$8:$C$153,1,0),VLOOKUP(I380*1,Summary!$C$8:$C$153,1,0)))),"Add account Number to Summary","")</f>
        <v/>
      </c>
      <c r="M380" s="131" t="str">
        <f t="shared" si="6"/>
        <v/>
      </c>
      <c r="N380" s="287">
        <f>IF(C380="Sale",SUMIFS($D$4:D380,$B$4:B380,B380,$C$4:C380,"")+SUMIFS($D$4:D380,$B$4:B380,B380,$C$4:C380,"Purch")-SUMIFS($D$4:D380,$B$4:B380,B380,$C$4:C380,"Sale"),0)</f>
        <v>0</v>
      </c>
    </row>
    <row r="381" spans="1:14" x14ac:dyDescent="0.2">
      <c r="A381" s="152"/>
      <c r="B381" s="132"/>
      <c r="C381" s="132"/>
      <c r="D381" s="277"/>
      <c r="E381" s="132"/>
      <c r="F381" s="170"/>
      <c r="G381" s="150"/>
      <c r="H381" s="152"/>
      <c r="I381" s="204"/>
      <c r="J381" s="285"/>
      <c r="K381" s="251"/>
      <c r="L381" s="133" t="str">
        <f>IF(AND(I381&lt;&gt;"",ISERROR(IF(ISERROR(VLOOKUP(I381*1,Summary!$C$8:$C$153,1,0)),VLOOKUP(I381,Summary!$C$8:$C$153,1,0),VLOOKUP(I381*1,Summary!$C$8:$C$153,1,0)))),"Add account Number to Summary","")</f>
        <v/>
      </c>
      <c r="M381" s="131" t="str">
        <f t="shared" si="6"/>
        <v/>
      </c>
      <c r="N381" s="287">
        <f>IF(C381="Sale",SUMIFS($D$4:D381,$B$4:B381,B381,$C$4:C381,"")+SUMIFS($D$4:D381,$B$4:B381,B381,$C$4:C381,"Purch")-SUMIFS($D$4:D381,$B$4:B381,B381,$C$4:C381,"Sale"),0)</f>
        <v>0</v>
      </c>
    </row>
    <row r="382" spans="1:14" x14ac:dyDescent="0.2">
      <c r="A382" s="152"/>
      <c r="B382" s="132"/>
      <c r="C382" s="132"/>
      <c r="D382" s="277"/>
      <c r="E382" s="132"/>
      <c r="F382" s="170"/>
      <c r="G382" s="150"/>
      <c r="H382" s="152"/>
      <c r="I382" s="204"/>
      <c r="J382" s="285"/>
      <c r="K382" s="251"/>
      <c r="L382" s="133" t="str">
        <f>IF(AND(I382&lt;&gt;"",ISERROR(IF(ISERROR(VLOOKUP(I382*1,Summary!$C$8:$C$153,1,0)),VLOOKUP(I382,Summary!$C$8:$C$153,1,0),VLOOKUP(I382*1,Summary!$C$8:$C$153,1,0)))),"Add account Number to Summary","")</f>
        <v/>
      </c>
      <c r="M382" s="131" t="str">
        <f t="shared" si="6"/>
        <v/>
      </c>
      <c r="N382" s="287">
        <f>IF(C382="Sale",SUMIFS($D$4:D382,$B$4:B382,B382,$C$4:C382,"")+SUMIFS($D$4:D382,$B$4:B382,B382,$C$4:C382,"Purch")-SUMIFS($D$4:D382,$B$4:B382,B382,$C$4:C382,"Sale"),0)</f>
        <v>0</v>
      </c>
    </row>
    <row r="383" spans="1:14" x14ac:dyDescent="0.2">
      <c r="A383" s="152"/>
      <c r="B383" s="132"/>
      <c r="C383" s="132"/>
      <c r="D383" s="277"/>
      <c r="E383" s="132"/>
      <c r="F383" s="170"/>
      <c r="G383" s="150"/>
      <c r="H383" s="152"/>
      <c r="I383" s="204"/>
      <c r="J383" s="285"/>
      <c r="K383" s="251"/>
      <c r="L383" s="133" t="str">
        <f>IF(AND(I383&lt;&gt;"",ISERROR(IF(ISERROR(VLOOKUP(I383*1,Summary!$C$8:$C$153,1,0)),VLOOKUP(I383,Summary!$C$8:$C$153,1,0),VLOOKUP(I383*1,Summary!$C$8:$C$153,1,0)))),"Add account Number to Summary","")</f>
        <v/>
      </c>
      <c r="M383" s="131" t="str">
        <f t="shared" si="6"/>
        <v/>
      </c>
      <c r="N383" s="287">
        <f>IF(C383="Sale",SUMIFS($D$4:D383,$B$4:B383,B383,$C$4:C383,"")+SUMIFS($D$4:D383,$B$4:B383,B383,$C$4:C383,"Purch")-SUMIFS($D$4:D383,$B$4:B383,B383,$C$4:C383,"Sale"),0)</f>
        <v>0</v>
      </c>
    </row>
    <row r="384" spans="1:14" x14ac:dyDescent="0.2">
      <c r="A384" s="152"/>
      <c r="B384" s="132"/>
      <c r="C384" s="132"/>
      <c r="D384" s="277"/>
      <c r="E384" s="132"/>
      <c r="F384" s="170"/>
      <c r="G384" s="150"/>
      <c r="H384" s="152"/>
      <c r="I384" s="204"/>
      <c r="J384" s="285"/>
      <c r="K384" s="251"/>
      <c r="L384" s="133" t="str">
        <f>IF(AND(I384&lt;&gt;"",ISERROR(IF(ISERROR(VLOOKUP(I384*1,Summary!$C$8:$C$153,1,0)),VLOOKUP(I384,Summary!$C$8:$C$153,1,0),VLOOKUP(I384*1,Summary!$C$8:$C$153,1,0)))),"Add account Number to Summary","")</f>
        <v/>
      </c>
      <c r="M384" s="131" t="str">
        <f t="shared" si="6"/>
        <v/>
      </c>
      <c r="N384" s="287">
        <f>IF(C384="Sale",SUMIFS($D$4:D384,$B$4:B384,B384,$C$4:C384,"")+SUMIFS($D$4:D384,$B$4:B384,B384,$C$4:C384,"Purch")-SUMIFS($D$4:D384,$B$4:B384,B384,$C$4:C384,"Sale"),0)</f>
        <v>0</v>
      </c>
    </row>
    <row r="385" spans="1:14" x14ac:dyDescent="0.2">
      <c r="A385" s="152"/>
      <c r="B385" s="132"/>
      <c r="C385" s="132"/>
      <c r="D385" s="277"/>
      <c r="E385" s="132"/>
      <c r="F385" s="170"/>
      <c r="G385" s="150"/>
      <c r="H385" s="152"/>
      <c r="I385" s="204"/>
      <c r="J385" s="285"/>
      <c r="K385" s="251"/>
      <c r="L385" s="133" t="str">
        <f>IF(AND(I385&lt;&gt;"",ISERROR(IF(ISERROR(VLOOKUP(I385*1,Summary!$C$8:$C$153,1,0)),VLOOKUP(I385,Summary!$C$8:$C$153,1,0),VLOOKUP(I385*1,Summary!$C$8:$C$153,1,0)))),"Add account Number to Summary","")</f>
        <v/>
      </c>
      <c r="M385" s="131" t="str">
        <f t="shared" si="6"/>
        <v/>
      </c>
      <c r="N385" s="287">
        <f>IF(C385="Sale",SUMIFS($D$4:D385,$B$4:B385,B385,$C$4:C385,"")+SUMIFS($D$4:D385,$B$4:B385,B385,$C$4:C385,"Purch")-SUMIFS($D$4:D385,$B$4:B385,B385,$C$4:C385,"Sale"),0)</f>
        <v>0</v>
      </c>
    </row>
    <row r="386" spans="1:14" x14ac:dyDescent="0.2">
      <c r="A386" s="152"/>
      <c r="B386" s="132"/>
      <c r="C386" s="132"/>
      <c r="D386" s="277"/>
      <c r="E386" s="132"/>
      <c r="F386" s="170"/>
      <c r="G386" s="150"/>
      <c r="H386" s="152"/>
      <c r="I386" s="204"/>
      <c r="J386" s="285"/>
      <c r="K386" s="251"/>
      <c r="L386" s="133" t="str">
        <f>IF(AND(I386&lt;&gt;"",ISERROR(IF(ISERROR(VLOOKUP(I386*1,Summary!$C$8:$C$153,1,0)),VLOOKUP(I386,Summary!$C$8:$C$153,1,0),VLOOKUP(I386*1,Summary!$C$8:$C$153,1,0)))),"Add account Number to Summary","")</f>
        <v/>
      </c>
      <c r="M386" s="131" t="str">
        <f t="shared" si="6"/>
        <v/>
      </c>
      <c r="N386" s="287">
        <f>IF(C386="Sale",SUMIFS($D$4:D386,$B$4:B386,B386,$C$4:C386,"")+SUMIFS($D$4:D386,$B$4:B386,B386,$C$4:C386,"Purch")-SUMIFS($D$4:D386,$B$4:B386,B386,$C$4:C386,"Sale"),0)</f>
        <v>0</v>
      </c>
    </row>
    <row r="387" spans="1:14" x14ac:dyDescent="0.2">
      <c r="A387" s="152"/>
      <c r="B387" s="132"/>
      <c r="C387" s="132"/>
      <c r="D387" s="277"/>
      <c r="E387" s="132"/>
      <c r="F387" s="170"/>
      <c r="G387" s="150"/>
      <c r="H387" s="152"/>
      <c r="I387" s="204"/>
      <c r="J387" s="285"/>
      <c r="K387" s="251"/>
      <c r="L387" s="133" t="str">
        <f>IF(AND(I387&lt;&gt;"",ISERROR(IF(ISERROR(VLOOKUP(I387*1,Summary!$C$8:$C$153,1,0)),VLOOKUP(I387,Summary!$C$8:$C$153,1,0),VLOOKUP(I387*1,Summary!$C$8:$C$153,1,0)))),"Add account Number to Summary","")</f>
        <v/>
      </c>
      <c r="M387" s="131" t="str">
        <f t="shared" si="6"/>
        <v/>
      </c>
      <c r="N387" s="287">
        <f>IF(C387="Sale",SUMIFS($D$4:D387,$B$4:B387,B387,$C$4:C387,"")+SUMIFS($D$4:D387,$B$4:B387,B387,$C$4:C387,"Purch")-SUMIFS($D$4:D387,$B$4:B387,B387,$C$4:C387,"Sale"),0)</f>
        <v>0</v>
      </c>
    </row>
    <row r="388" spans="1:14" x14ac:dyDescent="0.2">
      <c r="A388" s="152"/>
      <c r="B388" s="132"/>
      <c r="C388" s="132"/>
      <c r="D388" s="277"/>
      <c r="E388" s="132"/>
      <c r="F388" s="170"/>
      <c r="G388" s="150"/>
      <c r="H388" s="152"/>
      <c r="I388" s="204"/>
      <c r="J388" s="285"/>
      <c r="K388" s="251"/>
      <c r="L388" s="133" t="str">
        <f>IF(AND(I388&lt;&gt;"",ISERROR(IF(ISERROR(VLOOKUP(I388*1,Summary!$C$8:$C$153,1,0)),VLOOKUP(I388,Summary!$C$8:$C$153,1,0),VLOOKUP(I388*1,Summary!$C$8:$C$153,1,0)))),"Add account Number to Summary","")</f>
        <v/>
      </c>
      <c r="M388" s="131" t="str">
        <f t="shared" si="6"/>
        <v/>
      </c>
      <c r="N388" s="287">
        <f>IF(C388="Sale",SUMIFS($D$4:D388,$B$4:B388,B388,$C$4:C388,"")+SUMIFS($D$4:D388,$B$4:B388,B388,$C$4:C388,"Purch")-SUMIFS($D$4:D388,$B$4:B388,B388,$C$4:C388,"Sale"),0)</f>
        <v>0</v>
      </c>
    </row>
    <row r="389" spans="1:14" x14ac:dyDescent="0.2">
      <c r="A389" s="152"/>
      <c r="B389" s="132"/>
      <c r="C389" s="132"/>
      <c r="D389" s="277"/>
      <c r="E389" s="132"/>
      <c r="F389" s="170"/>
      <c r="G389" s="150"/>
      <c r="H389" s="152"/>
      <c r="I389" s="204"/>
      <c r="J389" s="285"/>
      <c r="K389" s="251"/>
      <c r="L389" s="133" t="str">
        <f>IF(AND(I389&lt;&gt;"",ISERROR(IF(ISERROR(VLOOKUP(I389*1,Summary!$C$8:$C$153,1,0)),VLOOKUP(I389,Summary!$C$8:$C$153,1,0),VLOOKUP(I389*1,Summary!$C$8:$C$153,1,0)))),"Add account Number to Summary","")</f>
        <v/>
      </c>
      <c r="M389" s="131" t="str">
        <f t="shared" si="6"/>
        <v/>
      </c>
      <c r="N389" s="287">
        <f>IF(C389="Sale",SUMIFS($D$4:D389,$B$4:B389,B389,$C$4:C389,"")+SUMIFS($D$4:D389,$B$4:B389,B389,$C$4:C389,"Purch")-SUMIFS($D$4:D389,$B$4:B389,B389,$C$4:C389,"Sale"),0)</f>
        <v>0</v>
      </c>
    </row>
    <row r="390" spans="1:14" x14ac:dyDescent="0.2">
      <c r="A390" s="152"/>
      <c r="B390" s="132"/>
      <c r="C390" s="132"/>
      <c r="D390" s="277"/>
      <c r="E390" s="132"/>
      <c r="F390" s="170"/>
      <c r="G390" s="150"/>
      <c r="H390" s="152"/>
      <c r="I390" s="204"/>
      <c r="J390" s="285"/>
      <c r="K390" s="251"/>
      <c r="L390" s="133" t="str">
        <f>IF(AND(I390&lt;&gt;"",ISERROR(IF(ISERROR(VLOOKUP(I390*1,Summary!$C$8:$C$153,1,0)),VLOOKUP(I390,Summary!$C$8:$C$153,1,0),VLOOKUP(I390*1,Summary!$C$8:$C$153,1,0)))),"Add account Number to Summary","")</f>
        <v/>
      </c>
      <c r="M390" s="131" t="str">
        <f t="shared" si="6"/>
        <v/>
      </c>
      <c r="N390" s="287">
        <f>IF(C390="Sale",SUMIFS($D$4:D390,$B$4:B390,B390,$C$4:C390,"")+SUMIFS($D$4:D390,$B$4:B390,B390,$C$4:C390,"Purch")-SUMIFS($D$4:D390,$B$4:B390,B390,$C$4:C390,"Sale"),0)</f>
        <v>0</v>
      </c>
    </row>
    <row r="391" spans="1:14" x14ac:dyDescent="0.2">
      <c r="A391" s="152"/>
      <c r="B391" s="132"/>
      <c r="C391" s="132"/>
      <c r="D391" s="277"/>
      <c r="E391" s="132"/>
      <c r="F391" s="170"/>
      <c r="G391" s="150"/>
      <c r="H391" s="152"/>
      <c r="I391" s="204"/>
      <c r="J391" s="285"/>
      <c r="K391" s="251"/>
      <c r="L391" s="133" t="str">
        <f>IF(AND(I391&lt;&gt;"",ISERROR(IF(ISERROR(VLOOKUP(I391*1,Summary!$C$8:$C$153,1,0)),VLOOKUP(I391,Summary!$C$8:$C$153,1,0),VLOOKUP(I391*1,Summary!$C$8:$C$153,1,0)))),"Add account Number to Summary","")</f>
        <v/>
      </c>
      <c r="M391" s="131" t="str">
        <f t="shared" si="6"/>
        <v/>
      </c>
      <c r="N391" s="287">
        <f>IF(C391="Sale",SUMIFS($D$4:D391,$B$4:B391,B391,$C$4:C391,"")+SUMIFS($D$4:D391,$B$4:B391,B391,$C$4:C391,"Purch")-SUMIFS($D$4:D391,$B$4:B391,B391,$C$4:C391,"Sale"),0)</f>
        <v>0</v>
      </c>
    </row>
    <row r="392" spans="1:14" x14ac:dyDescent="0.2">
      <c r="A392" s="152"/>
      <c r="B392" s="132"/>
      <c r="C392" s="132"/>
      <c r="D392" s="277"/>
      <c r="E392" s="132"/>
      <c r="F392" s="170"/>
      <c r="G392" s="150"/>
      <c r="H392" s="152"/>
      <c r="I392" s="204"/>
      <c r="J392" s="285"/>
      <c r="K392" s="251"/>
      <c r="L392" s="133" t="str">
        <f>IF(AND(I392&lt;&gt;"",ISERROR(IF(ISERROR(VLOOKUP(I392*1,Summary!$C$8:$C$153,1,0)),VLOOKUP(I392,Summary!$C$8:$C$153,1,0),VLOOKUP(I392*1,Summary!$C$8:$C$153,1,0)))),"Add account Number to Summary","")</f>
        <v/>
      </c>
      <c r="M392" s="131" t="str">
        <f t="shared" si="6"/>
        <v/>
      </c>
      <c r="N392" s="287">
        <f>IF(C392="Sale",SUMIFS($D$4:D392,$B$4:B392,B392,$C$4:C392,"")+SUMIFS($D$4:D392,$B$4:B392,B392,$C$4:C392,"Purch")-SUMIFS($D$4:D392,$B$4:B392,B392,$C$4:C392,"Sale"),0)</f>
        <v>0</v>
      </c>
    </row>
    <row r="393" spans="1:14" x14ac:dyDescent="0.2">
      <c r="A393" s="152"/>
      <c r="B393" s="132"/>
      <c r="C393" s="132"/>
      <c r="D393" s="277"/>
      <c r="E393" s="132"/>
      <c r="F393" s="170"/>
      <c r="G393" s="150"/>
      <c r="H393" s="152"/>
      <c r="I393" s="204"/>
      <c r="J393" s="285"/>
      <c r="K393" s="251"/>
      <c r="L393" s="133" t="str">
        <f>IF(AND(I393&lt;&gt;"",ISERROR(IF(ISERROR(VLOOKUP(I393*1,Summary!$C$8:$C$153,1,0)),VLOOKUP(I393,Summary!$C$8:$C$153,1,0),VLOOKUP(I393*1,Summary!$C$8:$C$153,1,0)))),"Add account Number to Summary","")</f>
        <v/>
      </c>
      <c r="M393" s="131" t="str">
        <f t="shared" si="6"/>
        <v/>
      </c>
      <c r="N393" s="287">
        <f>IF(C393="Sale",SUMIFS($D$4:D393,$B$4:B393,B393,$C$4:C393,"")+SUMIFS($D$4:D393,$B$4:B393,B393,$C$4:C393,"Purch")-SUMIFS($D$4:D393,$B$4:B393,B393,$C$4:C393,"Sale"),0)</f>
        <v>0</v>
      </c>
    </row>
    <row r="394" spans="1:14" x14ac:dyDescent="0.2">
      <c r="A394" s="152"/>
      <c r="B394" s="132"/>
      <c r="C394" s="132"/>
      <c r="D394" s="277"/>
      <c r="E394" s="132"/>
      <c r="F394" s="170"/>
      <c r="G394" s="150"/>
      <c r="H394" s="152"/>
      <c r="I394" s="204"/>
      <c r="J394" s="285"/>
      <c r="K394" s="251"/>
      <c r="L394" s="133" t="str">
        <f>IF(AND(I394&lt;&gt;"",ISERROR(IF(ISERROR(VLOOKUP(I394*1,Summary!$C$8:$C$153,1,0)),VLOOKUP(I394,Summary!$C$8:$C$153,1,0),VLOOKUP(I394*1,Summary!$C$8:$C$153,1,0)))),"Add account Number to Summary","")</f>
        <v/>
      </c>
      <c r="M394" s="131" t="str">
        <f t="shared" si="6"/>
        <v/>
      </c>
      <c r="N394" s="287">
        <f>IF(C394="Sale",SUMIFS($D$4:D394,$B$4:B394,B394,$C$4:C394,"")+SUMIFS($D$4:D394,$B$4:B394,B394,$C$4:C394,"Purch")-SUMIFS($D$4:D394,$B$4:B394,B394,$C$4:C394,"Sale"),0)</f>
        <v>0</v>
      </c>
    </row>
    <row r="395" spans="1:14" x14ac:dyDescent="0.2">
      <c r="A395" s="152"/>
      <c r="B395" s="132"/>
      <c r="C395" s="132"/>
      <c r="D395" s="277"/>
      <c r="E395" s="132"/>
      <c r="F395" s="170"/>
      <c r="G395" s="150"/>
      <c r="H395" s="152"/>
      <c r="I395" s="204"/>
      <c r="J395" s="285"/>
      <c r="K395" s="251"/>
      <c r="L395" s="133" t="str">
        <f>IF(AND(I395&lt;&gt;"",ISERROR(IF(ISERROR(VLOOKUP(I395*1,Summary!$C$8:$C$153,1,0)),VLOOKUP(I395,Summary!$C$8:$C$153,1,0),VLOOKUP(I395*1,Summary!$C$8:$C$153,1,0)))),"Add account Number to Summary","")</f>
        <v/>
      </c>
      <c r="M395" s="131" t="str">
        <f t="shared" si="6"/>
        <v/>
      </c>
      <c r="N395" s="287">
        <f>IF(C395="Sale",SUMIFS($D$4:D395,$B$4:B395,B395,$C$4:C395,"")+SUMIFS($D$4:D395,$B$4:B395,B395,$C$4:C395,"Purch")-SUMIFS($D$4:D395,$B$4:B395,B395,$C$4:C395,"Sale"),0)</f>
        <v>0</v>
      </c>
    </row>
    <row r="396" spans="1:14" x14ac:dyDescent="0.2">
      <c r="A396" s="152"/>
      <c r="B396" s="132"/>
      <c r="C396" s="132"/>
      <c r="D396" s="277"/>
      <c r="E396" s="132"/>
      <c r="F396" s="170"/>
      <c r="G396" s="150"/>
      <c r="H396" s="152"/>
      <c r="I396" s="204"/>
      <c r="J396" s="285"/>
      <c r="K396" s="251"/>
      <c r="L396" s="133" t="str">
        <f>IF(AND(I396&lt;&gt;"",ISERROR(IF(ISERROR(VLOOKUP(I396*1,Summary!$C$8:$C$153,1,0)),VLOOKUP(I396,Summary!$C$8:$C$153,1,0),VLOOKUP(I396*1,Summary!$C$8:$C$153,1,0)))),"Add account Number to Summary","")</f>
        <v/>
      </c>
      <c r="M396" s="131" t="str">
        <f t="shared" si="6"/>
        <v/>
      </c>
      <c r="N396" s="287">
        <f>IF(C396="Sale",SUMIFS($D$4:D396,$B$4:B396,B396,$C$4:C396,"")+SUMIFS($D$4:D396,$B$4:B396,B396,$C$4:C396,"Purch")-SUMIFS($D$4:D396,$B$4:B396,B396,$C$4:C396,"Sale"),0)</f>
        <v>0</v>
      </c>
    </row>
    <row r="397" spans="1:14" x14ac:dyDescent="0.2">
      <c r="A397" s="152"/>
      <c r="B397" s="132"/>
      <c r="C397" s="132"/>
      <c r="D397" s="277"/>
      <c r="E397" s="132"/>
      <c r="F397" s="170"/>
      <c r="G397" s="150"/>
      <c r="H397" s="152"/>
      <c r="I397" s="204"/>
      <c r="J397" s="285"/>
      <c r="K397" s="251"/>
      <c r="L397" s="133" t="str">
        <f>IF(AND(I397&lt;&gt;"",ISERROR(IF(ISERROR(VLOOKUP(I397*1,Summary!$C$8:$C$153,1,0)),VLOOKUP(I397,Summary!$C$8:$C$153,1,0),VLOOKUP(I397*1,Summary!$C$8:$C$153,1,0)))),"Add account Number to Summary","")</f>
        <v/>
      </c>
      <c r="M397" s="131" t="str">
        <f t="shared" si="6"/>
        <v/>
      </c>
      <c r="N397" s="287">
        <f>IF(C397="Sale",SUMIFS($D$4:D397,$B$4:B397,B397,$C$4:C397,"")+SUMIFS($D$4:D397,$B$4:B397,B397,$C$4:C397,"Purch")-SUMIFS($D$4:D397,$B$4:B397,B397,$C$4:C397,"Sale"),0)</f>
        <v>0</v>
      </c>
    </row>
    <row r="398" spans="1:14" x14ac:dyDescent="0.2">
      <c r="A398" s="152"/>
      <c r="B398" s="132"/>
      <c r="C398" s="132"/>
      <c r="D398" s="277"/>
      <c r="E398" s="132"/>
      <c r="F398" s="170"/>
      <c r="G398" s="150"/>
      <c r="H398" s="152"/>
      <c r="I398" s="204"/>
      <c r="J398" s="285"/>
      <c r="K398" s="251"/>
      <c r="L398" s="133" t="str">
        <f>IF(AND(I398&lt;&gt;"",ISERROR(IF(ISERROR(VLOOKUP(I398*1,Summary!$C$8:$C$153,1,0)),VLOOKUP(I398,Summary!$C$8:$C$153,1,0),VLOOKUP(I398*1,Summary!$C$8:$C$153,1,0)))),"Add account Number to Summary","")</f>
        <v/>
      </c>
      <c r="M398" s="131" t="str">
        <f t="shared" si="6"/>
        <v/>
      </c>
      <c r="N398" s="287">
        <f>IF(C398="Sale",SUMIFS($D$4:D398,$B$4:B398,B398,$C$4:C398,"")+SUMIFS($D$4:D398,$B$4:B398,B398,$C$4:C398,"Purch")-SUMIFS($D$4:D398,$B$4:B398,B398,$C$4:C398,"Sale"),0)</f>
        <v>0</v>
      </c>
    </row>
    <row r="399" spans="1:14" x14ac:dyDescent="0.2">
      <c r="A399" s="152"/>
      <c r="B399" s="132"/>
      <c r="C399" s="132"/>
      <c r="D399" s="277"/>
      <c r="E399" s="132"/>
      <c r="F399" s="170"/>
      <c r="G399" s="150"/>
      <c r="H399" s="152"/>
      <c r="I399" s="204"/>
      <c r="J399" s="285"/>
      <c r="K399" s="251"/>
      <c r="L399" s="133" t="str">
        <f>IF(AND(I399&lt;&gt;"",ISERROR(IF(ISERROR(VLOOKUP(I399*1,Summary!$C$8:$C$153,1,0)),VLOOKUP(I399,Summary!$C$8:$C$153,1,0),VLOOKUP(I399*1,Summary!$C$8:$C$153,1,0)))),"Add account Number to Summary","")</f>
        <v/>
      </c>
      <c r="M399" s="131" t="str">
        <f t="shared" si="6"/>
        <v/>
      </c>
      <c r="N399" s="287">
        <f>IF(C399="Sale",SUMIFS($D$4:D399,$B$4:B399,B399,$C$4:C399,"")+SUMIFS($D$4:D399,$B$4:B399,B399,$C$4:C399,"Purch")-SUMIFS($D$4:D399,$B$4:B399,B399,$C$4:C399,"Sale"),0)</f>
        <v>0</v>
      </c>
    </row>
    <row r="400" spans="1:14" x14ac:dyDescent="0.2">
      <c r="A400" s="152"/>
      <c r="B400" s="132"/>
      <c r="C400" s="132"/>
      <c r="D400" s="277"/>
      <c r="E400" s="132"/>
      <c r="F400" s="170"/>
      <c r="G400" s="150"/>
      <c r="H400" s="152"/>
      <c r="I400" s="204"/>
      <c r="J400" s="285"/>
      <c r="K400" s="251"/>
      <c r="L400" s="133" t="str">
        <f>IF(AND(I400&lt;&gt;"",ISERROR(IF(ISERROR(VLOOKUP(I400*1,Summary!$C$8:$C$153,1,0)),VLOOKUP(I400,Summary!$C$8:$C$153,1,0),VLOOKUP(I400*1,Summary!$C$8:$C$153,1,0)))),"Add account Number to Summary","")</f>
        <v/>
      </c>
      <c r="M400" s="131" t="str">
        <f t="shared" si="6"/>
        <v/>
      </c>
      <c r="N400" s="287">
        <f>IF(C400="Sale",SUMIFS($D$4:D400,$B$4:B400,B400,$C$4:C400,"")+SUMIFS($D$4:D400,$B$4:B400,B400,$C$4:C400,"Purch")-SUMIFS($D$4:D400,$B$4:B400,B400,$C$4:C400,"Sale"),0)</f>
        <v>0</v>
      </c>
    </row>
    <row r="401" spans="1:14" x14ac:dyDescent="0.2">
      <c r="A401" s="152"/>
      <c r="B401" s="132"/>
      <c r="C401" s="132"/>
      <c r="D401" s="277"/>
      <c r="E401" s="132"/>
      <c r="F401" s="170"/>
      <c r="G401" s="150"/>
      <c r="H401" s="152"/>
      <c r="I401" s="204"/>
      <c r="J401" s="285"/>
      <c r="K401" s="251"/>
      <c r="L401" s="133" t="str">
        <f>IF(AND(I401&lt;&gt;"",ISERROR(IF(ISERROR(VLOOKUP(I401*1,Summary!$C$8:$C$153,1,0)),VLOOKUP(I401,Summary!$C$8:$C$153,1,0),VLOOKUP(I401*1,Summary!$C$8:$C$153,1,0)))),"Add account Number to Summary","")</f>
        <v/>
      </c>
      <c r="M401" s="131" t="str">
        <f t="shared" si="6"/>
        <v/>
      </c>
      <c r="N401" s="287">
        <f>IF(C401="Sale",SUMIFS($D$4:D401,$B$4:B401,B401,$C$4:C401,"")+SUMIFS($D$4:D401,$B$4:B401,B401,$C$4:C401,"Purch")-SUMIFS($D$4:D401,$B$4:B401,B401,$C$4:C401,"Sale"),0)</f>
        <v>0</v>
      </c>
    </row>
    <row r="402" spans="1:14" x14ac:dyDescent="0.2">
      <c r="A402" s="152"/>
      <c r="B402" s="132"/>
      <c r="C402" s="132"/>
      <c r="D402" s="277"/>
      <c r="E402" s="132"/>
      <c r="F402" s="170"/>
      <c r="G402" s="150"/>
      <c r="H402" s="152"/>
      <c r="I402" s="204"/>
      <c r="J402" s="285"/>
      <c r="K402" s="251"/>
      <c r="L402" s="133" t="str">
        <f>IF(AND(I402&lt;&gt;"",ISERROR(IF(ISERROR(VLOOKUP(I402*1,Summary!$C$8:$C$153,1,0)),VLOOKUP(I402,Summary!$C$8:$C$153,1,0),VLOOKUP(I402*1,Summary!$C$8:$C$153,1,0)))),"Add account Number to Summary","")</f>
        <v/>
      </c>
      <c r="M402" s="131" t="str">
        <f t="shared" si="6"/>
        <v/>
      </c>
      <c r="N402" s="287">
        <f>IF(C402="Sale",SUMIFS($D$4:D402,$B$4:B402,B402,$C$4:C402,"")+SUMIFS($D$4:D402,$B$4:B402,B402,$C$4:C402,"Purch")-SUMIFS($D$4:D402,$B$4:B402,B402,$C$4:C402,"Sale"),0)</f>
        <v>0</v>
      </c>
    </row>
    <row r="403" spans="1:14" x14ac:dyDescent="0.2">
      <c r="A403" s="152"/>
      <c r="B403" s="132"/>
      <c r="C403" s="132"/>
      <c r="D403" s="277"/>
      <c r="E403" s="132"/>
      <c r="F403" s="170"/>
      <c r="G403" s="150"/>
      <c r="H403" s="152"/>
      <c r="I403" s="204"/>
      <c r="J403" s="285"/>
      <c r="K403" s="251"/>
      <c r="L403" s="133" t="str">
        <f>IF(AND(I403&lt;&gt;"",ISERROR(IF(ISERROR(VLOOKUP(I403*1,Summary!$C$8:$C$153,1,0)),VLOOKUP(I403,Summary!$C$8:$C$153,1,0),VLOOKUP(I403*1,Summary!$C$8:$C$153,1,0)))),"Add account Number to Summary","")</f>
        <v/>
      </c>
      <c r="M403" s="131" t="str">
        <f t="shared" si="6"/>
        <v/>
      </c>
      <c r="N403" s="287">
        <f>IF(C403="Sale",SUMIFS($D$4:D403,$B$4:B403,B403,$C$4:C403,"")+SUMIFS($D$4:D403,$B$4:B403,B403,$C$4:C403,"Purch")-SUMIFS($D$4:D403,$B$4:B403,B403,$C$4:C403,"Sale"),0)</f>
        <v>0</v>
      </c>
    </row>
    <row r="404" spans="1:14" x14ac:dyDescent="0.2">
      <c r="A404" s="152"/>
      <c r="B404" s="132"/>
      <c r="C404" s="132"/>
      <c r="D404" s="277"/>
      <c r="E404" s="132"/>
      <c r="F404" s="170"/>
      <c r="G404" s="150"/>
      <c r="H404" s="152"/>
      <c r="I404" s="204"/>
      <c r="J404" s="285"/>
      <c r="K404" s="251"/>
      <c r="L404" s="133" t="str">
        <f>IF(AND(I404&lt;&gt;"",ISERROR(IF(ISERROR(VLOOKUP(I404*1,Summary!$C$8:$C$153,1,0)),VLOOKUP(I404,Summary!$C$8:$C$153,1,0),VLOOKUP(I404*1,Summary!$C$8:$C$153,1,0)))),"Add account Number to Summary","")</f>
        <v/>
      </c>
      <c r="M404" s="131" t="str">
        <f t="shared" si="6"/>
        <v/>
      </c>
      <c r="N404" s="287">
        <f>IF(C404="Sale",SUMIFS($D$4:D404,$B$4:B404,B404,$C$4:C404,"")+SUMIFS($D$4:D404,$B$4:B404,B404,$C$4:C404,"Purch")-SUMIFS($D$4:D404,$B$4:B404,B404,$C$4:C404,"Sale"),0)</f>
        <v>0</v>
      </c>
    </row>
    <row r="405" spans="1:14" x14ac:dyDescent="0.2">
      <c r="A405" s="152"/>
      <c r="B405" s="132"/>
      <c r="C405" s="132"/>
      <c r="D405" s="277"/>
      <c r="E405" s="132"/>
      <c r="F405" s="170"/>
      <c r="G405" s="150"/>
      <c r="H405" s="152"/>
      <c r="I405" s="204"/>
      <c r="J405" s="285"/>
      <c r="K405" s="251"/>
      <c r="L405" s="133" t="str">
        <f>IF(AND(I405&lt;&gt;"",ISERROR(IF(ISERROR(VLOOKUP(I405*1,Summary!$C$8:$C$153,1,0)),VLOOKUP(I405,Summary!$C$8:$C$153,1,0),VLOOKUP(I405*1,Summary!$C$8:$C$153,1,0)))),"Add account Number to Summary","")</f>
        <v/>
      </c>
      <c r="M405" s="131" t="str">
        <f t="shared" si="6"/>
        <v/>
      </c>
      <c r="N405" s="287">
        <f>IF(C405="Sale",SUMIFS($D$4:D405,$B$4:B405,B405,$C$4:C405,"")+SUMIFS($D$4:D405,$B$4:B405,B405,$C$4:C405,"Purch")-SUMIFS($D$4:D405,$B$4:B405,B405,$C$4:C405,"Sale"),0)</f>
        <v>0</v>
      </c>
    </row>
    <row r="406" spans="1:14" x14ac:dyDescent="0.2">
      <c r="A406" s="152"/>
      <c r="B406" s="132"/>
      <c r="C406" s="132"/>
      <c r="D406" s="277"/>
      <c r="E406" s="132"/>
      <c r="F406" s="170"/>
      <c r="G406" s="150"/>
      <c r="H406" s="152"/>
      <c r="I406" s="204"/>
      <c r="J406" s="285"/>
      <c r="K406" s="251"/>
      <c r="L406" s="133" t="str">
        <f>IF(AND(I406&lt;&gt;"",ISERROR(IF(ISERROR(VLOOKUP(I406*1,Summary!$C$8:$C$153,1,0)),VLOOKUP(I406,Summary!$C$8:$C$153,1,0),VLOOKUP(I406*1,Summary!$C$8:$C$153,1,0)))),"Add account Number to Summary","")</f>
        <v/>
      </c>
      <c r="M406" s="131" t="str">
        <f t="shared" si="6"/>
        <v/>
      </c>
      <c r="N406" s="287">
        <f>IF(C406="Sale",SUMIFS($D$4:D406,$B$4:B406,B406,$C$4:C406,"")+SUMIFS($D$4:D406,$B$4:B406,B406,$C$4:C406,"Purch")-SUMIFS($D$4:D406,$B$4:B406,B406,$C$4:C406,"Sale"),0)</f>
        <v>0</v>
      </c>
    </row>
    <row r="407" spans="1:14" x14ac:dyDescent="0.2">
      <c r="A407" s="152"/>
      <c r="B407" s="132"/>
      <c r="C407" s="132"/>
      <c r="D407" s="277"/>
      <c r="E407" s="132"/>
      <c r="F407" s="170"/>
      <c r="G407" s="150"/>
      <c r="H407" s="152"/>
      <c r="I407" s="204"/>
      <c r="J407" s="285"/>
      <c r="K407" s="251"/>
      <c r="L407" s="133" t="str">
        <f>IF(AND(I407&lt;&gt;"",ISERROR(IF(ISERROR(VLOOKUP(I407*1,Summary!$C$8:$C$153,1,0)),VLOOKUP(I407,Summary!$C$8:$C$153,1,0),VLOOKUP(I407*1,Summary!$C$8:$C$153,1,0)))),"Add account Number to Summary","")</f>
        <v/>
      </c>
      <c r="M407" s="131" t="str">
        <f t="shared" si="6"/>
        <v/>
      </c>
      <c r="N407" s="287">
        <f>IF(C407="Sale",SUMIFS($D$4:D407,$B$4:B407,B407,$C$4:C407,"")+SUMIFS($D$4:D407,$B$4:B407,B407,$C$4:C407,"Purch")-SUMIFS($D$4:D407,$B$4:B407,B407,$C$4:C407,"Sale"),0)</f>
        <v>0</v>
      </c>
    </row>
    <row r="408" spans="1:14" x14ac:dyDescent="0.2">
      <c r="A408" s="152"/>
      <c r="B408" s="132"/>
      <c r="C408" s="132"/>
      <c r="D408" s="277"/>
      <c r="E408" s="132"/>
      <c r="F408" s="170"/>
      <c r="G408" s="150"/>
      <c r="H408" s="152"/>
      <c r="I408" s="204"/>
      <c r="J408" s="285"/>
      <c r="K408" s="251"/>
      <c r="L408" s="133" t="str">
        <f>IF(AND(I408&lt;&gt;"",ISERROR(IF(ISERROR(VLOOKUP(I408*1,Summary!$C$8:$C$153,1,0)),VLOOKUP(I408,Summary!$C$8:$C$153,1,0),VLOOKUP(I408*1,Summary!$C$8:$C$153,1,0)))),"Add account Number to Summary","")</f>
        <v/>
      </c>
      <c r="M408" s="131" t="str">
        <f t="shared" si="6"/>
        <v/>
      </c>
      <c r="N408" s="287">
        <f>IF(C408="Sale",SUMIFS($D$4:D408,$B$4:B408,B408,$C$4:C408,"")+SUMIFS($D$4:D408,$B$4:B408,B408,$C$4:C408,"Purch")-SUMIFS($D$4:D408,$B$4:B408,B408,$C$4:C408,"Sale"),0)</f>
        <v>0</v>
      </c>
    </row>
    <row r="409" spans="1:14" x14ac:dyDescent="0.2">
      <c r="A409" s="152"/>
      <c r="B409" s="132"/>
      <c r="C409" s="132"/>
      <c r="D409" s="277"/>
      <c r="E409" s="132"/>
      <c r="F409" s="170"/>
      <c r="G409" s="150"/>
      <c r="H409" s="152"/>
      <c r="I409" s="204"/>
      <c r="J409" s="285"/>
      <c r="K409" s="251"/>
      <c r="L409" s="133" t="str">
        <f>IF(AND(I409&lt;&gt;"",ISERROR(IF(ISERROR(VLOOKUP(I409*1,Summary!$C$8:$C$153,1,0)),VLOOKUP(I409,Summary!$C$8:$C$153,1,0),VLOOKUP(I409*1,Summary!$C$8:$C$153,1,0)))),"Add account Number to Summary","")</f>
        <v/>
      </c>
      <c r="M409" s="131" t="str">
        <f t="shared" si="6"/>
        <v/>
      </c>
      <c r="N409" s="287">
        <f>IF(C409="Sale",SUMIFS($D$4:D409,$B$4:B409,B409,$C$4:C409,"")+SUMIFS($D$4:D409,$B$4:B409,B409,$C$4:C409,"Purch")-SUMIFS($D$4:D409,$B$4:B409,B409,$C$4:C409,"Sale"),0)</f>
        <v>0</v>
      </c>
    </row>
    <row r="410" spans="1:14" x14ac:dyDescent="0.2">
      <c r="A410" s="152"/>
      <c r="B410" s="132"/>
      <c r="C410" s="132"/>
      <c r="D410" s="277"/>
      <c r="E410" s="132"/>
      <c r="F410" s="170"/>
      <c r="G410" s="150"/>
      <c r="H410" s="152"/>
      <c r="I410" s="204"/>
      <c r="J410" s="285"/>
      <c r="K410" s="251"/>
      <c r="L410" s="133" t="str">
        <f>IF(AND(I410&lt;&gt;"",ISERROR(IF(ISERROR(VLOOKUP(I410*1,Summary!$C$8:$C$153,1,0)),VLOOKUP(I410,Summary!$C$8:$C$153,1,0),VLOOKUP(I410*1,Summary!$C$8:$C$153,1,0)))),"Add account Number to Summary","")</f>
        <v/>
      </c>
      <c r="M410" s="131" t="str">
        <f t="shared" si="6"/>
        <v/>
      </c>
      <c r="N410" s="287">
        <f>IF(C410="Sale",SUMIFS($D$4:D410,$B$4:B410,B410,$C$4:C410,"")+SUMIFS($D$4:D410,$B$4:B410,B410,$C$4:C410,"Purch")-SUMIFS($D$4:D410,$B$4:B410,B410,$C$4:C410,"Sale"),0)</f>
        <v>0</v>
      </c>
    </row>
    <row r="411" spans="1:14" x14ac:dyDescent="0.2">
      <c r="A411" s="152"/>
      <c r="B411" s="132"/>
      <c r="C411" s="132"/>
      <c r="D411" s="277"/>
      <c r="E411" s="132"/>
      <c r="F411" s="170"/>
      <c r="G411" s="150"/>
      <c r="H411" s="152"/>
      <c r="I411" s="204"/>
      <c r="J411" s="285"/>
      <c r="K411" s="251"/>
      <c r="L411" s="133" t="str">
        <f>IF(AND(I411&lt;&gt;"",ISERROR(IF(ISERROR(VLOOKUP(I411*1,Summary!$C$8:$C$153,1,0)),VLOOKUP(I411,Summary!$C$8:$C$153,1,0),VLOOKUP(I411*1,Summary!$C$8:$C$153,1,0)))),"Add account Number to Summary","")</f>
        <v/>
      </c>
      <c r="M411" s="131" t="str">
        <f t="shared" si="6"/>
        <v/>
      </c>
      <c r="N411" s="287">
        <f>IF(C411="Sale",SUMIFS($D$4:D411,$B$4:B411,B411,$C$4:C411,"")+SUMIFS($D$4:D411,$B$4:B411,B411,$C$4:C411,"Purch")-SUMIFS($D$4:D411,$B$4:B411,B411,$C$4:C411,"Sale"),0)</f>
        <v>0</v>
      </c>
    </row>
    <row r="412" spans="1:14" x14ac:dyDescent="0.2">
      <c r="A412" s="152"/>
      <c r="B412" s="132"/>
      <c r="C412" s="132"/>
      <c r="D412" s="277"/>
      <c r="E412" s="132"/>
      <c r="F412" s="170"/>
      <c r="G412" s="150"/>
      <c r="H412" s="152"/>
      <c r="I412" s="204"/>
      <c r="J412" s="285"/>
      <c r="K412" s="251"/>
      <c r="L412" s="133" t="str">
        <f>IF(AND(I412&lt;&gt;"",ISERROR(IF(ISERROR(VLOOKUP(I412*1,Summary!$C$8:$C$153,1,0)),VLOOKUP(I412,Summary!$C$8:$C$153,1,0),VLOOKUP(I412*1,Summary!$C$8:$C$153,1,0)))),"Add account Number to Summary","")</f>
        <v/>
      </c>
      <c r="M412" s="131" t="str">
        <f t="shared" si="6"/>
        <v/>
      </c>
      <c r="N412" s="287">
        <f>IF(C412="Sale",SUMIFS($D$4:D412,$B$4:B412,B412,$C$4:C412,"")+SUMIFS($D$4:D412,$B$4:B412,B412,$C$4:C412,"Purch")-SUMIFS($D$4:D412,$B$4:B412,B412,$C$4:C412,"Sale"),0)</f>
        <v>0</v>
      </c>
    </row>
    <row r="413" spans="1:14" x14ac:dyDescent="0.2">
      <c r="A413" s="152"/>
      <c r="B413" s="132"/>
      <c r="C413" s="132"/>
      <c r="D413" s="277"/>
      <c r="E413" s="132"/>
      <c r="F413" s="170"/>
      <c r="G413" s="150"/>
      <c r="H413" s="152"/>
      <c r="I413" s="204"/>
      <c r="J413" s="285"/>
      <c r="K413" s="251"/>
      <c r="L413" s="133" t="str">
        <f>IF(AND(I413&lt;&gt;"",ISERROR(IF(ISERROR(VLOOKUP(I413*1,Summary!$C$8:$C$153,1,0)),VLOOKUP(I413,Summary!$C$8:$C$153,1,0),VLOOKUP(I413*1,Summary!$C$8:$C$153,1,0)))),"Add account Number to Summary","")</f>
        <v/>
      </c>
      <c r="M413" s="131" t="str">
        <f t="shared" si="6"/>
        <v/>
      </c>
      <c r="N413" s="287">
        <f>IF(C413="Sale",SUMIFS($D$4:D413,$B$4:B413,B413,$C$4:C413,"")+SUMIFS($D$4:D413,$B$4:B413,B413,$C$4:C413,"Purch")-SUMIFS($D$4:D413,$B$4:B413,B413,$C$4:C413,"Sale"),0)</f>
        <v>0</v>
      </c>
    </row>
    <row r="414" spans="1:14" x14ac:dyDescent="0.2">
      <c r="A414" s="152"/>
      <c r="B414" s="132"/>
      <c r="C414" s="132"/>
      <c r="D414" s="277"/>
      <c r="E414" s="132"/>
      <c r="F414" s="170"/>
      <c r="G414" s="150"/>
      <c r="H414" s="152"/>
      <c r="I414" s="204"/>
      <c r="J414" s="285"/>
      <c r="K414" s="251"/>
      <c r="L414" s="133" t="str">
        <f>IF(AND(I414&lt;&gt;"",ISERROR(IF(ISERROR(VLOOKUP(I414*1,Summary!$C$8:$C$153,1,0)),VLOOKUP(I414,Summary!$C$8:$C$153,1,0),VLOOKUP(I414*1,Summary!$C$8:$C$153,1,0)))),"Add account Number to Summary","")</f>
        <v/>
      </c>
      <c r="M414" s="131" t="str">
        <f t="shared" si="6"/>
        <v/>
      </c>
      <c r="N414" s="287">
        <f>IF(C414="Sale",SUMIFS($D$4:D414,$B$4:B414,B414,$C$4:C414,"")+SUMIFS($D$4:D414,$B$4:B414,B414,$C$4:C414,"Purch")-SUMIFS($D$4:D414,$B$4:B414,B414,$C$4:C414,"Sale"),0)</f>
        <v>0</v>
      </c>
    </row>
    <row r="415" spans="1:14" x14ac:dyDescent="0.2">
      <c r="A415" s="152"/>
      <c r="B415" s="132"/>
      <c r="C415" s="132"/>
      <c r="D415" s="277"/>
      <c r="E415" s="132"/>
      <c r="F415" s="170"/>
      <c r="G415" s="150"/>
      <c r="H415" s="152"/>
      <c r="I415" s="204"/>
      <c r="J415" s="285"/>
      <c r="K415" s="251"/>
      <c r="L415" s="133" t="str">
        <f>IF(AND(I415&lt;&gt;"",ISERROR(IF(ISERROR(VLOOKUP(I415*1,Summary!$C$8:$C$153,1,0)),VLOOKUP(I415,Summary!$C$8:$C$153,1,0),VLOOKUP(I415*1,Summary!$C$8:$C$153,1,0)))),"Add account Number to Summary","")</f>
        <v/>
      </c>
      <c r="M415" s="131" t="str">
        <f t="shared" si="6"/>
        <v/>
      </c>
      <c r="N415" s="287">
        <f>IF(C415="Sale",SUMIFS($D$4:D415,$B$4:B415,B415,$C$4:C415,"")+SUMIFS($D$4:D415,$B$4:B415,B415,$C$4:C415,"Purch")-SUMIFS($D$4:D415,$B$4:B415,B415,$C$4:C415,"Sale"),0)</f>
        <v>0</v>
      </c>
    </row>
    <row r="416" spans="1:14" x14ac:dyDescent="0.2">
      <c r="A416" s="152"/>
      <c r="B416" s="132"/>
      <c r="C416" s="132"/>
      <c r="D416" s="277"/>
      <c r="E416" s="132"/>
      <c r="F416" s="170"/>
      <c r="G416" s="150"/>
      <c r="H416" s="152"/>
      <c r="I416" s="204"/>
      <c r="J416" s="285"/>
      <c r="K416" s="251"/>
      <c r="L416" s="133" t="str">
        <f>IF(AND(I416&lt;&gt;"",ISERROR(IF(ISERROR(VLOOKUP(I416*1,Summary!$C$8:$C$153,1,0)),VLOOKUP(I416,Summary!$C$8:$C$153,1,0),VLOOKUP(I416*1,Summary!$C$8:$C$153,1,0)))),"Add account Number to Summary","")</f>
        <v/>
      </c>
      <c r="M416" s="131" t="str">
        <f t="shared" si="6"/>
        <v/>
      </c>
      <c r="N416" s="287">
        <f>IF(C416="Sale",SUMIFS($D$4:D416,$B$4:B416,B416,$C$4:C416,"")+SUMIFS($D$4:D416,$B$4:B416,B416,$C$4:C416,"Purch")-SUMIFS($D$4:D416,$B$4:B416,B416,$C$4:C416,"Sale"),0)</f>
        <v>0</v>
      </c>
    </row>
    <row r="417" spans="1:14" x14ac:dyDescent="0.2">
      <c r="A417" s="152"/>
      <c r="B417" s="132"/>
      <c r="C417" s="132"/>
      <c r="D417" s="277"/>
      <c r="E417" s="132"/>
      <c r="F417" s="170"/>
      <c r="G417" s="150"/>
      <c r="H417" s="152"/>
      <c r="I417" s="204"/>
      <c r="J417" s="285"/>
      <c r="K417" s="251"/>
      <c r="L417" s="133" t="str">
        <f>IF(AND(I417&lt;&gt;"",ISERROR(IF(ISERROR(VLOOKUP(I417*1,Summary!$C$8:$C$153,1,0)),VLOOKUP(I417,Summary!$C$8:$C$153,1,0),VLOOKUP(I417*1,Summary!$C$8:$C$153,1,0)))),"Add account Number to Summary","")</f>
        <v/>
      </c>
      <c r="M417" s="131" t="str">
        <f t="shared" si="6"/>
        <v/>
      </c>
      <c r="N417" s="287">
        <f>IF(C417="Sale",SUMIFS($D$4:D417,$B$4:B417,B417,$C$4:C417,"")+SUMIFS($D$4:D417,$B$4:B417,B417,$C$4:C417,"Purch")-SUMIFS($D$4:D417,$B$4:B417,B417,$C$4:C417,"Sale"),0)</f>
        <v>0</v>
      </c>
    </row>
    <row r="418" spans="1:14" x14ac:dyDescent="0.2">
      <c r="A418" s="152"/>
      <c r="B418" s="132"/>
      <c r="C418" s="132"/>
      <c r="D418" s="277"/>
      <c r="E418" s="132"/>
      <c r="F418" s="170"/>
      <c r="G418" s="150"/>
      <c r="H418" s="152"/>
      <c r="I418" s="204"/>
      <c r="J418" s="285"/>
      <c r="K418" s="251"/>
      <c r="L418" s="133" t="str">
        <f>IF(AND(I418&lt;&gt;"",ISERROR(IF(ISERROR(VLOOKUP(I418*1,Summary!$C$8:$C$153,1,0)),VLOOKUP(I418,Summary!$C$8:$C$153,1,0),VLOOKUP(I418*1,Summary!$C$8:$C$153,1,0)))),"Add account Number to Summary","")</f>
        <v/>
      </c>
      <c r="M418" s="131" t="str">
        <f t="shared" si="6"/>
        <v/>
      </c>
      <c r="N418" s="287">
        <f>IF(C418="Sale",SUMIFS($D$4:D418,$B$4:B418,B418,$C$4:C418,"")+SUMIFS($D$4:D418,$B$4:B418,B418,$C$4:C418,"Purch")-SUMIFS($D$4:D418,$B$4:B418,B418,$C$4:C418,"Sale"),0)</f>
        <v>0</v>
      </c>
    </row>
    <row r="419" spans="1:14" x14ac:dyDescent="0.2">
      <c r="A419" s="152"/>
      <c r="B419" s="132"/>
      <c r="C419" s="132"/>
      <c r="D419" s="277"/>
      <c r="E419" s="132"/>
      <c r="F419" s="170"/>
      <c r="G419" s="150"/>
      <c r="H419" s="152"/>
      <c r="I419" s="204"/>
      <c r="J419" s="285"/>
      <c r="K419" s="251"/>
      <c r="L419" s="133" t="str">
        <f>IF(AND(I419&lt;&gt;"",ISERROR(IF(ISERROR(VLOOKUP(I419*1,Summary!$C$8:$C$153,1,0)),VLOOKUP(I419,Summary!$C$8:$C$153,1,0),VLOOKUP(I419*1,Summary!$C$8:$C$153,1,0)))),"Add account Number to Summary","")</f>
        <v/>
      </c>
      <c r="M419" s="131" t="str">
        <f t="shared" si="6"/>
        <v/>
      </c>
      <c r="N419" s="287">
        <f>IF(C419="Sale",SUMIFS($D$4:D419,$B$4:B419,B419,$C$4:C419,"")+SUMIFS($D$4:D419,$B$4:B419,B419,$C$4:C419,"Purch")-SUMIFS($D$4:D419,$B$4:B419,B419,$C$4:C419,"Sale"),0)</f>
        <v>0</v>
      </c>
    </row>
    <row r="420" spans="1:14" x14ac:dyDescent="0.2">
      <c r="A420" s="152"/>
      <c r="B420" s="132"/>
      <c r="C420" s="132"/>
      <c r="D420" s="277"/>
      <c r="E420" s="132"/>
      <c r="F420" s="170"/>
      <c r="G420" s="150"/>
      <c r="H420" s="152"/>
      <c r="I420" s="204"/>
      <c r="J420" s="285"/>
      <c r="K420" s="251"/>
      <c r="L420" s="133" t="str">
        <f>IF(AND(I420&lt;&gt;"",ISERROR(IF(ISERROR(VLOOKUP(I420*1,Summary!$C$8:$C$153,1,0)),VLOOKUP(I420,Summary!$C$8:$C$153,1,0),VLOOKUP(I420*1,Summary!$C$8:$C$153,1,0)))),"Add account Number to Summary","")</f>
        <v/>
      </c>
      <c r="M420" s="131" t="str">
        <f t="shared" si="6"/>
        <v/>
      </c>
      <c r="N420" s="287">
        <f>IF(C420="Sale",SUMIFS($D$4:D420,$B$4:B420,B420,$C$4:C420,"")+SUMIFS($D$4:D420,$B$4:B420,B420,$C$4:C420,"Purch")-SUMIFS($D$4:D420,$B$4:B420,B420,$C$4:C420,"Sale"),0)</f>
        <v>0</v>
      </c>
    </row>
    <row r="421" spans="1:14" x14ac:dyDescent="0.2">
      <c r="A421" s="152"/>
      <c r="B421" s="132"/>
      <c r="C421" s="132"/>
      <c r="D421" s="277"/>
      <c r="E421" s="132"/>
      <c r="F421" s="170"/>
      <c r="G421" s="150"/>
      <c r="H421" s="152"/>
      <c r="I421" s="204"/>
      <c r="J421" s="285"/>
      <c r="K421" s="251"/>
      <c r="L421" s="133" t="str">
        <f>IF(AND(I421&lt;&gt;"",ISERROR(IF(ISERROR(VLOOKUP(I421*1,Summary!$C$8:$C$153,1,0)),VLOOKUP(I421,Summary!$C$8:$C$153,1,0),VLOOKUP(I421*1,Summary!$C$8:$C$153,1,0)))),"Add account Number to Summary","")</f>
        <v/>
      </c>
      <c r="M421" s="131" t="str">
        <f t="shared" si="6"/>
        <v/>
      </c>
      <c r="N421" s="287">
        <f>IF(C421="Sale",SUMIFS($D$4:D421,$B$4:B421,B421,$C$4:C421,"")+SUMIFS($D$4:D421,$B$4:B421,B421,$C$4:C421,"Purch")-SUMIFS($D$4:D421,$B$4:B421,B421,$C$4:C421,"Sale"),0)</f>
        <v>0</v>
      </c>
    </row>
    <row r="422" spans="1:14" x14ac:dyDescent="0.2">
      <c r="A422" s="152"/>
      <c r="B422" s="132"/>
      <c r="C422" s="132"/>
      <c r="D422" s="277"/>
      <c r="E422" s="132"/>
      <c r="F422" s="170"/>
      <c r="G422" s="150"/>
      <c r="H422" s="152"/>
      <c r="I422" s="204"/>
      <c r="J422" s="285"/>
      <c r="K422" s="251"/>
      <c r="L422" s="133" t="str">
        <f>IF(AND(I422&lt;&gt;"",ISERROR(IF(ISERROR(VLOOKUP(I422*1,Summary!$C$8:$C$153,1,0)),VLOOKUP(I422,Summary!$C$8:$C$153,1,0),VLOOKUP(I422*1,Summary!$C$8:$C$153,1,0)))),"Add account Number to Summary","")</f>
        <v/>
      </c>
      <c r="M422" s="131" t="str">
        <f t="shared" si="6"/>
        <v/>
      </c>
      <c r="N422" s="287">
        <f>IF(C422="Sale",SUMIFS($D$4:D422,$B$4:B422,B422,$C$4:C422,"")+SUMIFS($D$4:D422,$B$4:B422,B422,$C$4:C422,"Purch")-SUMIFS($D$4:D422,$B$4:B422,B422,$C$4:C422,"Sale"),0)</f>
        <v>0</v>
      </c>
    </row>
    <row r="423" spans="1:14" x14ac:dyDescent="0.2">
      <c r="A423" s="152"/>
      <c r="B423" s="132"/>
      <c r="C423" s="132"/>
      <c r="D423" s="277"/>
      <c r="E423" s="132"/>
      <c r="F423" s="170"/>
      <c r="G423" s="150"/>
      <c r="H423" s="152"/>
      <c r="I423" s="204"/>
      <c r="J423" s="285"/>
      <c r="K423" s="251"/>
      <c r="L423" s="133" t="str">
        <f>IF(AND(I423&lt;&gt;"",ISERROR(IF(ISERROR(VLOOKUP(I423*1,Summary!$C$8:$C$153,1,0)),VLOOKUP(I423,Summary!$C$8:$C$153,1,0),VLOOKUP(I423*1,Summary!$C$8:$C$153,1,0)))),"Add account Number to Summary","")</f>
        <v/>
      </c>
      <c r="M423" s="131" t="str">
        <f t="shared" si="6"/>
        <v/>
      </c>
      <c r="N423" s="287">
        <f>IF(C423="Sale",SUMIFS($D$4:D423,$B$4:B423,B423,$C$4:C423,"")+SUMIFS($D$4:D423,$B$4:B423,B423,$C$4:C423,"Purch")-SUMIFS($D$4:D423,$B$4:B423,B423,$C$4:C423,"Sale"),0)</f>
        <v>0</v>
      </c>
    </row>
    <row r="424" spans="1:14" x14ac:dyDescent="0.2">
      <c r="A424" s="152"/>
      <c r="B424" s="132"/>
      <c r="C424" s="132"/>
      <c r="D424" s="277"/>
      <c r="E424" s="132"/>
      <c r="F424" s="170"/>
      <c r="G424" s="150"/>
      <c r="H424" s="152"/>
      <c r="I424" s="204"/>
      <c r="J424" s="285"/>
      <c r="K424" s="251"/>
      <c r="L424" s="133" t="str">
        <f>IF(AND(I424&lt;&gt;"",ISERROR(IF(ISERROR(VLOOKUP(I424*1,Summary!$C$8:$C$153,1,0)),VLOOKUP(I424,Summary!$C$8:$C$153,1,0),VLOOKUP(I424*1,Summary!$C$8:$C$153,1,0)))),"Add account Number to Summary","")</f>
        <v/>
      </c>
      <c r="M424" s="131" t="str">
        <f t="shared" si="6"/>
        <v/>
      </c>
      <c r="N424" s="287">
        <f>IF(C424="Sale",SUMIFS($D$4:D424,$B$4:B424,B424,$C$4:C424,"")+SUMIFS($D$4:D424,$B$4:B424,B424,$C$4:C424,"Purch")-SUMIFS($D$4:D424,$B$4:B424,B424,$C$4:C424,"Sale"),0)</f>
        <v>0</v>
      </c>
    </row>
    <row r="425" spans="1:14" x14ac:dyDescent="0.2">
      <c r="A425" s="152"/>
      <c r="B425" s="132"/>
      <c r="C425" s="132"/>
      <c r="D425" s="277"/>
      <c r="E425" s="132"/>
      <c r="F425" s="170"/>
      <c r="G425" s="150"/>
      <c r="H425" s="152"/>
      <c r="I425" s="204"/>
      <c r="J425" s="285"/>
      <c r="K425" s="251"/>
      <c r="L425" s="133" t="str">
        <f>IF(AND(I425&lt;&gt;"",ISERROR(IF(ISERROR(VLOOKUP(I425*1,Summary!$C$8:$C$153,1,0)),VLOOKUP(I425,Summary!$C$8:$C$153,1,0),VLOOKUP(I425*1,Summary!$C$8:$C$153,1,0)))),"Add account Number to Summary","")</f>
        <v/>
      </c>
      <c r="M425" s="131" t="str">
        <f t="shared" si="6"/>
        <v/>
      </c>
      <c r="N425" s="287">
        <f>IF(C425="Sale",SUMIFS($D$4:D425,$B$4:B425,B425,$C$4:C425,"")+SUMIFS($D$4:D425,$B$4:B425,B425,$C$4:C425,"Purch")-SUMIFS($D$4:D425,$B$4:B425,B425,$C$4:C425,"Sale"),0)</f>
        <v>0</v>
      </c>
    </row>
    <row r="426" spans="1:14" x14ac:dyDescent="0.2">
      <c r="A426" s="152"/>
      <c r="B426" s="132"/>
      <c r="C426" s="132"/>
      <c r="D426" s="277"/>
      <c r="E426" s="132"/>
      <c r="F426" s="170"/>
      <c r="G426" s="150"/>
      <c r="H426" s="152"/>
      <c r="I426" s="204"/>
      <c r="J426" s="285"/>
      <c r="K426" s="251"/>
      <c r="L426" s="133" t="str">
        <f>IF(AND(I426&lt;&gt;"",ISERROR(IF(ISERROR(VLOOKUP(I426*1,Summary!$C$8:$C$153,1,0)),VLOOKUP(I426,Summary!$C$8:$C$153,1,0),VLOOKUP(I426*1,Summary!$C$8:$C$153,1,0)))),"Add account Number to Summary","")</f>
        <v/>
      </c>
      <c r="M426" s="131" t="str">
        <f t="shared" si="6"/>
        <v/>
      </c>
      <c r="N426" s="287">
        <f>IF(C426="Sale",SUMIFS($D$4:D426,$B$4:B426,B426,$C$4:C426,"")+SUMIFS($D$4:D426,$B$4:B426,B426,$C$4:C426,"Purch")-SUMIFS($D$4:D426,$B$4:B426,B426,$C$4:C426,"Sale"),0)</f>
        <v>0</v>
      </c>
    </row>
    <row r="427" spans="1:14" x14ac:dyDescent="0.2">
      <c r="A427" s="152"/>
      <c r="B427" s="132"/>
      <c r="C427" s="132"/>
      <c r="D427" s="277"/>
      <c r="E427" s="132"/>
      <c r="F427" s="170"/>
      <c r="G427" s="150"/>
      <c r="H427" s="152"/>
      <c r="I427" s="204"/>
      <c r="J427" s="285"/>
      <c r="K427" s="251"/>
      <c r="L427" s="133" t="str">
        <f>IF(AND(I427&lt;&gt;"",ISERROR(IF(ISERROR(VLOOKUP(I427*1,Summary!$C$8:$C$153,1,0)),VLOOKUP(I427,Summary!$C$8:$C$153,1,0),VLOOKUP(I427*1,Summary!$C$8:$C$153,1,0)))),"Add account Number to Summary","")</f>
        <v/>
      </c>
      <c r="M427" s="131" t="str">
        <f t="shared" si="6"/>
        <v/>
      </c>
      <c r="N427" s="287">
        <f>IF(C427="Sale",SUMIFS($D$4:D427,$B$4:B427,B427,$C$4:C427,"")+SUMIFS($D$4:D427,$B$4:B427,B427,$C$4:C427,"Purch")-SUMIFS($D$4:D427,$B$4:B427,B427,$C$4:C427,"Sale"),0)</f>
        <v>0</v>
      </c>
    </row>
    <row r="428" spans="1:14" x14ac:dyDescent="0.2">
      <c r="A428" s="152"/>
      <c r="B428" s="132"/>
      <c r="C428" s="132"/>
      <c r="D428" s="277"/>
      <c r="E428" s="132"/>
      <c r="F428" s="170"/>
      <c r="G428" s="150"/>
      <c r="H428" s="152"/>
      <c r="I428" s="204"/>
      <c r="J428" s="285"/>
      <c r="K428" s="251"/>
      <c r="L428" s="133" t="str">
        <f>IF(AND(I428&lt;&gt;"",ISERROR(IF(ISERROR(VLOOKUP(I428*1,Summary!$C$8:$C$153,1,0)),VLOOKUP(I428,Summary!$C$8:$C$153,1,0),VLOOKUP(I428*1,Summary!$C$8:$C$153,1,0)))),"Add account Number to Summary","")</f>
        <v/>
      </c>
      <c r="M428" s="131" t="str">
        <f t="shared" ref="M428:M491" si="7">IF(K428="Yes",IF(YEAR(A428)&lt;&gt;YEAR(date),"Check Date",""),"")</f>
        <v/>
      </c>
      <c r="N428" s="287">
        <f>IF(C428="Sale",SUMIFS($D$4:D428,$B$4:B428,B428,$C$4:C428,"")+SUMIFS($D$4:D428,$B$4:B428,B428,$C$4:C428,"Purch")-SUMIFS($D$4:D428,$B$4:B428,B428,$C$4:C428,"Sale"),0)</f>
        <v>0</v>
      </c>
    </row>
    <row r="429" spans="1:14" x14ac:dyDescent="0.2">
      <c r="A429" s="152"/>
      <c r="B429" s="132"/>
      <c r="C429" s="132"/>
      <c r="D429" s="277"/>
      <c r="E429" s="132"/>
      <c r="F429" s="170"/>
      <c r="G429" s="150"/>
      <c r="H429" s="152"/>
      <c r="I429" s="204"/>
      <c r="J429" s="285"/>
      <c r="K429" s="251"/>
      <c r="L429" s="133" t="str">
        <f>IF(AND(I429&lt;&gt;"",ISERROR(IF(ISERROR(VLOOKUP(I429*1,Summary!$C$8:$C$153,1,0)),VLOOKUP(I429,Summary!$C$8:$C$153,1,0),VLOOKUP(I429*1,Summary!$C$8:$C$153,1,0)))),"Add account Number to Summary","")</f>
        <v/>
      </c>
      <c r="M429" s="131" t="str">
        <f t="shared" si="7"/>
        <v/>
      </c>
      <c r="N429" s="287">
        <f>IF(C429="Sale",SUMIFS($D$4:D429,$B$4:B429,B429,$C$4:C429,"")+SUMIFS($D$4:D429,$B$4:B429,B429,$C$4:C429,"Purch")-SUMIFS($D$4:D429,$B$4:B429,B429,$C$4:C429,"Sale"),0)</f>
        <v>0</v>
      </c>
    </row>
    <row r="430" spans="1:14" x14ac:dyDescent="0.2">
      <c r="A430" s="152"/>
      <c r="B430" s="132"/>
      <c r="C430" s="132"/>
      <c r="D430" s="277"/>
      <c r="E430" s="132"/>
      <c r="F430" s="170"/>
      <c r="G430" s="150"/>
      <c r="H430" s="152"/>
      <c r="I430" s="204"/>
      <c r="J430" s="285"/>
      <c r="K430" s="251"/>
      <c r="L430" s="133" t="str">
        <f>IF(AND(I430&lt;&gt;"",ISERROR(IF(ISERROR(VLOOKUP(I430*1,Summary!$C$8:$C$153,1,0)),VLOOKUP(I430,Summary!$C$8:$C$153,1,0),VLOOKUP(I430*1,Summary!$C$8:$C$153,1,0)))),"Add account Number to Summary","")</f>
        <v/>
      </c>
      <c r="M430" s="131" t="str">
        <f t="shared" si="7"/>
        <v/>
      </c>
      <c r="N430" s="287">
        <f>IF(C430="Sale",SUMIFS($D$4:D430,$B$4:B430,B430,$C$4:C430,"")+SUMIFS($D$4:D430,$B$4:B430,B430,$C$4:C430,"Purch")-SUMIFS($D$4:D430,$B$4:B430,B430,$C$4:C430,"Sale"),0)</f>
        <v>0</v>
      </c>
    </row>
    <row r="431" spans="1:14" x14ac:dyDescent="0.2">
      <c r="A431" s="152"/>
      <c r="B431" s="132"/>
      <c r="C431" s="132"/>
      <c r="D431" s="277"/>
      <c r="E431" s="132"/>
      <c r="F431" s="170"/>
      <c r="G431" s="150"/>
      <c r="H431" s="152"/>
      <c r="I431" s="204"/>
      <c r="J431" s="285"/>
      <c r="K431" s="251"/>
      <c r="L431" s="133" t="str">
        <f>IF(AND(I431&lt;&gt;"",ISERROR(IF(ISERROR(VLOOKUP(I431*1,Summary!$C$8:$C$153,1,0)),VLOOKUP(I431,Summary!$C$8:$C$153,1,0),VLOOKUP(I431*1,Summary!$C$8:$C$153,1,0)))),"Add account Number to Summary","")</f>
        <v/>
      </c>
      <c r="M431" s="131" t="str">
        <f t="shared" si="7"/>
        <v/>
      </c>
      <c r="N431" s="287">
        <f>IF(C431="Sale",SUMIFS($D$4:D431,$B$4:B431,B431,$C$4:C431,"")+SUMIFS($D$4:D431,$B$4:B431,B431,$C$4:C431,"Purch")-SUMIFS($D$4:D431,$B$4:B431,B431,$C$4:C431,"Sale"),0)</f>
        <v>0</v>
      </c>
    </row>
    <row r="432" spans="1:14" x14ac:dyDescent="0.2">
      <c r="A432" s="152"/>
      <c r="B432" s="132"/>
      <c r="C432" s="132"/>
      <c r="D432" s="277"/>
      <c r="E432" s="132"/>
      <c r="F432" s="170"/>
      <c r="G432" s="150"/>
      <c r="H432" s="152"/>
      <c r="I432" s="204"/>
      <c r="J432" s="285"/>
      <c r="K432" s="251"/>
      <c r="L432" s="133" t="str">
        <f>IF(AND(I432&lt;&gt;"",ISERROR(IF(ISERROR(VLOOKUP(I432*1,Summary!$C$8:$C$153,1,0)),VLOOKUP(I432,Summary!$C$8:$C$153,1,0),VLOOKUP(I432*1,Summary!$C$8:$C$153,1,0)))),"Add account Number to Summary","")</f>
        <v/>
      </c>
      <c r="M432" s="131" t="str">
        <f t="shared" si="7"/>
        <v/>
      </c>
      <c r="N432" s="287">
        <f>IF(C432="Sale",SUMIFS($D$4:D432,$B$4:B432,B432,$C$4:C432,"")+SUMIFS($D$4:D432,$B$4:B432,B432,$C$4:C432,"Purch")-SUMIFS($D$4:D432,$B$4:B432,B432,$C$4:C432,"Sale"),0)</f>
        <v>0</v>
      </c>
    </row>
    <row r="433" spans="1:14" x14ac:dyDescent="0.2">
      <c r="A433" s="152"/>
      <c r="B433" s="132"/>
      <c r="C433" s="132"/>
      <c r="D433" s="277"/>
      <c r="E433" s="132"/>
      <c r="F433" s="170"/>
      <c r="G433" s="150"/>
      <c r="H433" s="152"/>
      <c r="I433" s="204"/>
      <c r="J433" s="285"/>
      <c r="K433" s="251"/>
      <c r="L433" s="133" t="str">
        <f>IF(AND(I433&lt;&gt;"",ISERROR(IF(ISERROR(VLOOKUP(I433*1,Summary!$C$8:$C$153,1,0)),VLOOKUP(I433,Summary!$C$8:$C$153,1,0),VLOOKUP(I433*1,Summary!$C$8:$C$153,1,0)))),"Add account Number to Summary","")</f>
        <v/>
      </c>
      <c r="M433" s="131" t="str">
        <f t="shared" si="7"/>
        <v/>
      </c>
      <c r="N433" s="287">
        <f>IF(C433="Sale",SUMIFS($D$4:D433,$B$4:B433,B433,$C$4:C433,"")+SUMIFS($D$4:D433,$B$4:B433,B433,$C$4:C433,"Purch")-SUMIFS($D$4:D433,$B$4:B433,B433,$C$4:C433,"Sale"),0)</f>
        <v>0</v>
      </c>
    </row>
    <row r="434" spans="1:14" x14ac:dyDescent="0.2">
      <c r="A434" s="152"/>
      <c r="B434" s="132"/>
      <c r="C434" s="132"/>
      <c r="D434" s="277"/>
      <c r="E434" s="132"/>
      <c r="F434" s="170"/>
      <c r="G434" s="150"/>
      <c r="H434" s="152"/>
      <c r="I434" s="204"/>
      <c r="J434" s="285"/>
      <c r="K434" s="251"/>
      <c r="L434" s="133" t="str">
        <f>IF(AND(I434&lt;&gt;"",ISERROR(IF(ISERROR(VLOOKUP(I434*1,Summary!$C$8:$C$153,1,0)),VLOOKUP(I434,Summary!$C$8:$C$153,1,0),VLOOKUP(I434*1,Summary!$C$8:$C$153,1,0)))),"Add account Number to Summary","")</f>
        <v/>
      </c>
      <c r="M434" s="131" t="str">
        <f t="shared" si="7"/>
        <v/>
      </c>
      <c r="N434" s="287">
        <f>IF(C434="Sale",SUMIFS($D$4:D434,$B$4:B434,B434,$C$4:C434,"")+SUMIFS($D$4:D434,$B$4:B434,B434,$C$4:C434,"Purch")-SUMIFS($D$4:D434,$B$4:B434,B434,$C$4:C434,"Sale"),0)</f>
        <v>0</v>
      </c>
    </row>
    <row r="435" spans="1:14" x14ac:dyDescent="0.2">
      <c r="A435" s="152"/>
      <c r="B435" s="132"/>
      <c r="C435" s="132"/>
      <c r="D435" s="277"/>
      <c r="E435" s="132"/>
      <c r="F435" s="170"/>
      <c r="G435" s="150"/>
      <c r="H435" s="152"/>
      <c r="I435" s="204"/>
      <c r="J435" s="285"/>
      <c r="K435" s="251"/>
      <c r="L435" s="133" t="str">
        <f>IF(AND(I435&lt;&gt;"",ISERROR(IF(ISERROR(VLOOKUP(I435*1,Summary!$C$8:$C$153,1,0)),VLOOKUP(I435,Summary!$C$8:$C$153,1,0),VLOOKUP(I435*1,Summary!$C$8:$C$153,1,0)))),"Add account Number to Summary","")</f>
        <v/>
      </c>
      <c r="M435" s="131" t="str">
        <f t="shared" si="7"/>
        <v/>
      </c>
      <c r="N435" s="287">
        <f>IF(C435="Sale",SUMIFS($D$4:D435,$B$4:B435,B435,$C$4:C435,"")+SUMIFS($D$4:D435,$B$4:B435,B435,$C$4:C435,"Purch")-SUMIFS($D$4:D435,$B$4:B435,B435,$C$4:C435,"Sale"),0)</f>
        <v>0</v>
      </c>
    </row>
    <row r="436" spans="1:14" x14ac:dyDescent="0.2">
      <c r="A436" s="152"/>
      <c r="B436" s="132"/>
      <c r="C436" s="132"/>
      <c r="D436" s="277"/>
      <c r="E436" s="132"/>
      <c r="F436" s="170"/>
      <c r="G436" s="150"/>
      <c r="H436" s="152"/>
      <c r="I436" s="204"/>
      <c r="J436" s="285"/>
      <c r="K436" s="251"/>
      <c r="L436" s="133" t="str">
        <f>IF(AND(I436&lt;&gt;"",ISERROR(IF(ISERROR(VLOOKUP(I436*1,Summary!$C$8:$C$153,1,0)),VLOOKUP(I436,Summary!$C$8:$C$153,1,0),VLOOKUP(I436*1,Summary!$C$8:$C$153,1,0)))),"Add account Number to Summary","")</f>
        <v/>
      </c>
      <c r="M436" s="131" t="str">
        <f t="shared" si="7"/>
        <v/>
      </c>
      <c r="N436" s="287">
        <f>IF(C436="Sale",SUMIFS($D$4:D436,$B$4:B436,B436,$C$4:C436,"")+SUMIFS($D$4:D436,$B$4:B436,B436,$C$4:C436,"Purch")-SUMIFS($D$4:D436,$B$4:B436,B436,$C$4:C436,"Sale"),0)</f>
        <v>0</v>
      </c>
    </row>
    <row r="437" spans="1:14" x14ac:dyDescent="0.2">
      <c r="A437" s="152"/>
      <c r="B437" s="132"/>
      <c r="C437" s="132"/>
      <c r="D437" s="277"/>
      <c r="E437" s="132"/>
      <c r="F437" s="170"/>
      <c r="G437" s="150"/>
      <c r="H437" s="152"/>
      <c r="I437" s="204"/>
      <c r="J437" s="285"/>
      <c r="K437" s="251"/>
      <c r="L437" s="133" t="str">
        <f>IF(AND(I437&lt;&gt;"",ISERROR(IF(ISERROR(VLOOKUP(I437*1,Summary!$C$8:$C$153,1,0)),VLOOKUP(I437,Summary!$C$8:$C$153,1,0),VLOOKUP(I437*1,Summary!$C$8:$C$153,1,0)))),"Add account Number to Summary","")</f>
        <v/>
      </c>
      <c r="M437" s="131" t="str">
        <f t="shared" si="7"/>
        <v/>
      </c>
      <c r="N437" s="287">
        <f>IF(C437="Sale",SUMIFS($D$4:D437,$B$4:B437,B437,$C$4:C437,"")+SUMIFS($D$4:D437,$B$4:B437,B437,$C$4:C437,"Purch")-SUMIFS($D$4:D437,$B$4:B437,B437,$C$4:C437,"Sale"),0)</f>
        <v>0</v>
      </c>
    </row>
    <row r="438" spans="1:14" x14ac:dyDescent="0.2">
      <c r="A438" s="152"/>
      <c r="B438" s="132"/>
      <c r="C438" s="132"/>
      <c r="D438" s="277"/>
      <c r="E438" s="132"/>
      <c r="F438" s="170"/>
      <c r="G438" s="150"/>
      <c r="H438" s="152"/>
      <c r="I438" s="204"/>
      <c r="J438" s="285"/>
      <c r="K438" s="251"/>
      <c r="L438" s="133" t="str">
        <f>IF(AND(I438&lt;&gt;"",ISERROR(IF(ISERROR(VLOOKUP(I438*1,Summary!$C$8:$C$153,1,0)),VLOOKUP(I438,Summary!$C$8:$C$153,1,0),VLOOKUP(I438*1,Summary!$C$8:$C$153,1,0)))),"Add account Number to Summary","")</f>
        <v/>
      </c>
      <c r="M438" s="131" t="str">
        <f t="shared" si="7"/>
        <v/>
      </c>
      <c r="N438" s="287">
        <f>IF(C438="Sale",SUMIFS($D$4:D438,$B$4:B438,B438,$C$4:C438,"")+SUMIFS($D$4:D438,$B$4:B438,B438,$C$4:C438,"Purch")-SUMIFS($D$4:D438,$B$4:B438,B438,$C$4:C438,"Sale"),0)</f>
        <v>0</v>
      </c>
    </row>
    <row r="439" spans="1:14" x14ac:dyDescent="0.2">
      <c r="A439" s="152"/>
      <c r="B439" s="132"/>
      <c r="C439" s="132"/>
      <c r="D439" s="277"/>
      <c r="E439" s="132"/>
      <c r="F439" s="170"/>
      <c r="G439" s="150"/>
      <c r="H439" s="152"/>
      <c r="I439" s="204"/>
      <c r="J439" s="285"/>
      <c r="K439" s="251"/>
      <c r="L439" s="133" t="str">
        <f>IF(AND(I439&lt;&gt;"",ISERROR(IF(ISERROR(VLOOKUP(I439*1,Summary!$C$8:$C$153,1,0)),VLOOKUP(I439,Summary!$C$8:$C$153,1,0),VLOOKUP(I439*1,Summary!$C$8:$C$153,1,0)))),"Add account Number to Summary","")</f>
        <v/>
      </c>
      <c r="M439" s="131" t="str">
        <f t="shared" si="7"/>
        <v/>
      </c>
      <c r="N439" s="287">
        <f>IF(C439="Sale",SUMIFS($D$4:D439,$B$4:B439,B439,$C$4:C439,"")+SUMIFS($D$4:D439,$B$4:B439,B439,$C$4:C439,"Purch")-SUMIFS($D$4:D439,$B$4:B439,B439,$C$4:C439,"Sale"),0)</f>
        <v>0</v>
      </c>
    </row>
    <row r="440" spans="1:14" x14ac:dyDescent="0.2">
      <c r="A440" s="152"/>
      <c r="B440" s="132"/>
      <c r="C440" s="132"/>
      <c r="D440" s="277"/>
      <c r="E440" s="132"/>
      <c r="F440" s="170"/>
      <c r="G440" s="150"/>
      <c r="H440" s="152"/>
      <c r="I440" s="204"/>
      <c r="J440" s="285"/>
      <c r="K440" s="251"/>
      <c r="L440" s="133" t="str">
        <f>IF(AND(I440&lt;&gt;"",ISERROR(IF(ISERROR(VLOOKUP(I440*1,Summary!$C$8:$C$153,1,0)),VLOOKUP(I440,Summary!$C$8:$C$153,1,0),VLOOKUP(I440*1,Summary!$C$8:$C$153,1,0)))),"Add account Number to Summary","")</f>
        <v/>
      </c>
      <c r="M440" s="131" t="str">
        <f t="shared" si="7"/>
        <v/>
      </c>
      <c r="N440" s="287">
        <f>IF(C440="Sale",SUMIFS($D$4:D440,$B$4:B440,B440,$C$4:C440,"")+SUMIFS($D$4:D440,$B$4:B440,B440,$C$4:C440,"Purch")-SUMIFS($D$4:D440,$B$4:B440,B440,$C$4:C440,"Sale"),0)</f>
        <v>0</v>
      </c>
    </row>
    <row r="441" spans="1:14" x14ac:dyDescent="0.2">
      <c r="A441" s="152"/>
      <c r="B441" s="132"/>
      <c r="C441" s="132"/>
      <c r="D441" s="277"/>
      <c r="E441" s="132"/>
      <c r="F441" s="170"/>
      <c r="G441" s="150"/>
      <c r="H441" s="152"/>
      <c r="I441" s="204"/>
      <c r="J441" s="285"/>
      <c r="K441" s="251"/>
      <c r="L441" s="133" t="str">
        <f>IF(AND(I441&lt;&gt;"",ISERROR(IF(ISERROR(VLOOKUP(I441*1,Summary!$C$8:$C$153,1,0)),VLOOKUP(I441,Summary!$C$8:$C$153,1,0),VLOOKUP(I441*1,Summary!$C$8:$C$153,1,0)))),"Add account Number to Summary","")</f>
        <v/>
      </c>
      <c r="M441" s="131" t="str">
        <f t="shared" si="7"/>
        <v/>
      </c>
      <c r="N441" s="287">
        <f>IF(C441="Sale",SUMIFS($D$4:D441,$B$4:B441,B441,$C$4:C441,"")+SUMIFS($D$4:D441,$B$4:B441,B441,$C$4:C441,"Purch")-SUMIFS($D$4:D441,$B$4:B441,B441,$C$4:C441,"Sale"),0)</f>
        <v>0</v>
      </c>
    </row>
    <row r="442" spans="1:14" x14ac:dyDescent="0.2">
      <c r="A442" s="152"/>
      <c r="B442" s="132"/>
      <c r="C442" s="132"/>
      <c r="D442" s="277"/>
      <c r="E442" s="132"/>
      <c r="F442" s="170"/>
      <c r="G442" s="150"/>
      <c r="H442" s="152"/>
      <c r="I442" s="204"/>
      <c r="J442" s="285"/>
      <c r="K442" s="251"/>
      <c r="L442" s="133" t="str">
        <f>IF(AND(I442&lt;&gt;"",ISERROR(IF(ISERROR(VLOOKUP(I442*1,Summary!$C$8:$C$153,1,0)),VLOOKUP(I442,Summary!$C$8:$C$153,1,0),VLOOKUP(I442*1,Summary!$C$8:$C$153,1,0)))),"Add account Number to Summary","")</f>
        <v/>
      </c>
      <c r="M442" s="131" t="str">
        <f t="shared" si="7"/>
        <v/>
      </c>
      <c r="N442" s="287">
        <f>IF(C442="Sale",SUMIFS($D$4:D442,$B$4:B442,B442,$C$4:C442,"")+SUMIFS($D$4:D442,$B$4:B442,B442,$C$4:C442,"Purch")-SUMIFS($D$4:D442,$B$4:B442,B442,$C$4:C442,"Sale"),0)</f>
        <v>0</v>
      </c>
    </row>
    <row r="443" spans="1:14" x14ac:dyDescent="0.2">
      <c r="A443" s="152"/>
      <c r="B443" s="132"/>
      <c r="C443" s="132"/>
      <c r="D443" s="277"/>
      <c r="E443" s="132"/>
      <c r="F443" s="170"/>
      <c r="G443" s="150"/>
      <c r="H443" s="152"/>
      <c r="I443" s="204"/>
      <c r="J443" s="285"/>
      <c r="K443" s="251"/>
      <c r="L443" s="133" t="str">
        <f>IF(AND(I443&lt;&gt;"",ISERROR(IF(ISERROR(VLOOKUP(I443*1,Summary!$C$8:$C$153,1,0)),VLOOKUP(I443,Summary!$C$8:$C$153,1,0),VLOOKUP(I443*1,Summary!$C$8:$C$153,1,0)))),"Add account Number to Summary","")</f>
        <v/>
      </c>
      <c r="M443" s="131" t="str">
        <f t="shared" si="7"/>
        <v/>
      </c>
      <c r="N443" s="287">
        <f>IF(C443="Sale",SUMIFS($D$4:D443,$B$4:B443,B443,$C$4:C443,"")+SUMIFS($D$4:D443,$B$4:B443,B443,$C$4:C443,"Purch")-SUMIFS($D$4:D443,$B$4:B443,B443,$C$4:C443,"Sale"),0)</f>
        <v>0</v>
      </c>
    </row>
    <row r="444" spans="1:14" x14ac:dyDescent="0.2">
      <c r="A444" s="152"/>
      <c r="B444" s="132"/>
      <c r="C444" s="132"/>
      <c r="D444" s="277"/>
      <c r="E444" s="132"/>
      <c r="F444" s="170"/>
      <c r="G444" s="150"/>
      <c r="H444" s="152"/>
      <c r="I444" s="204"/>
      <c r="J444" s="285"/>
      <c r="K444" s="251"/>
      <c r="L444" s="133" t="str">
        <f>IF(AND(I444&lt;&gt;"",ISERROR(IF(ISERROR(VLOOKUP(I444*1,Summary!$C$8:$C$153,1,0)),VLOOKUP(I444,Summary!$C$8:$C$153,1,0),VLOOKUP(I444*1,Summary!$C$8:$C$153,1,0)))),"Add account Number to Summary","")</f>
        <v/>
      </c>
      <c r="M444" s="131" t="str">
        <f t="shared" si="7"/>
        <v/>
      </c>
      <c r="N444" s="287">
        <f>IF(C444="Sale",SUMIFS($D$4:D444,$B$4:B444,B444,$C$4:C444,"")+SUMIFS($D$4:D444,$B$4:B444,B444,$C$4:C444,"Purch")-SUMIFS($D$4:D444,$B$4:B444,B444,$C$4:C444,"Sale"),0)</f>
        <v>0</v>
      </c>
    </row>
    <row r="445" spans="1:14" x14ac:dyDescent="0.2">
      <c r="A445" s="152"/>
      <c r="B445" s="132"/>
      <c r="C445" s="132"/>
      <c r="D445" s="277"/>
      <c r="E445" s="132"/>
      <c r="F445" s="170"/>
      <c r="G445" s="150"/>
      <c r="H445" s="152"/>
      <c r="I445" s="204"/>
      <c r="J445" s="285"/>
      <c r="K445" s="251"/>
      <c r="L445" s="133" t="str">
        <f>IF(AND(I445&lt;&gt;"",ISERROR(IF(ISERROR(VLOOKUP(I445*1,Summary!$C$8:$C$153,1,0)),VLOOKUP(I445,Summary!$C$8:$C$153,1,0),VLOOKUP(I445*1,Summary!$C$8:$C$153,1,0)))),"Add account Number to Summary","")</f>
        <v/>
      </c>
      <c r="M445" s="131" t="str">
        <f t="shared" si="7"/>
        <v/>
      </c>
      <c r="N445" s="287">
        <f>IF(C445="Sale",SUMIFS($D$4:D445,$B$4:B445,B445,$C$4:C445,"")+SUMIFS($D$4:D445,$B$4:B445,B445,$C$4:C445,"Purch")-SUMIFS($D$4:D445,$B$4:B445,B445,$C$4:C445,"Sale"),0)</f>
        <v>0</v>
      </c>
    </row>
    <row r="446" spans="1:14" x14ac:dyDescent="0.2">
      <c r="A446" s="152"/>
      <c r="B446" s="132"/>
      <c r="C446" s="132"/>
      <c r="D446" s="277"/>
      <c r="E446" s="132"/>
      <c r="F446" s="170"/>
      <c r="G446" s="150"/>
      <c r="H446" s="152"/>
      <c r="I446" s="204"/>
      <c r="J446" s="285"/>
      <c r="K446" s="251"/>
      <c r="L446" s="133" t="str">
        <f>IF(AND(I446&lt;&gt;"",ISERROR(IF(ISERROR(VLOOKUP(I446*1,Summary!$C$8:$C$153,1,0)),VLOOKUP(I446,Summary!$C$8:$C$153,1,0),VLOOKUP(I446*1,Summary!$C$8:$C$153,1,0)))),"Add account Number to Summary","")</f>
        <v/>
      </c>
      <c r="M446" s="131" t="str">
        <f t="shared" si="7"/>
        <v/>
      </c>
      <c r="N446" s="287">
        <f>IF(C446="Sale",SUMIFS($D$4:D446,$B$4:B446,B446,$C$4:C446,"")+SUMIFS($D$4:D446,$B$4:B446,B446,$C$4:C446,"Purch")-SUMIFS($D$4:D446,$B$4:B446,B446,$C$4:C446,"Sale"),0)</f>
        <v>0</v>
      </c>
    </row>
    <row r="447" spans="1:14" x14ac:dyDescent="0.2">
      <c r="A447" s="152"/>
      <c r="B447" s="132"/>
      <c r="C447" s="132"/>
      <c r="D447" s="277"/>
      <c r="E447" s="132"/>
      <c r="F447" s="170"/>
      <c r="G447" s="150"/>
      <c r="H447" s="152"/>
      <c r="I447" s="204"/>
      <c r="J447" s="285"/>
      <c r="K447" s="251"/>
      <c r="L447" s="133" t="str">
        <f>IF(AND(I447&lt;&gt;"",ISERROR(IF(ISERROR(VLOOKUP(I447*1,Summary!$C$8:$C$153,1,0)),VLOOKUP(I447,Summary!$C$8:$C$153,1,0),VLOOKUP(I447*1,Summary!$C$8:$C$153,1,0)))),"Add account Number to Summary","")</f>
        <v/>
      </c>
      <c r="M447" s="131" t="str">
        <f t="shared" si="7"/>
        <v/>
      </c>
      <c r="N447" s="287">
        <f>IF(C447="Sale",SUMIFS($D$4:D447,$B$4:B447,B447,$C$4:C447,"")+SUMIFS($D$4:D447,$B$4:B447,B447,$C$4:C447,"Purch")-SUMIFS($D$4:D447,$B$4:B447,B447,$C$4:C447,"Sale"),0)</f>
        <v>0</v>
      </c>
    </row>
    <row r="448" spans="1:14" x14ac:dyDescent="0.2">
      <c r="A448" s="152"/>
      <c r="B448" s="132"/>
      <c r="C448" s="132"/>
      <c r="D448" s="277"/>
      <c r="E448" s="132"/>
      <c r="F448" s="170"/>
      <c r="G448" s="150"/>
      <c r="H448" s="152"/>
      <c r="I448" s="204"/>
      <c r="J448" s="285"/>
      <c r="K448" s="251"/>
      <c r="L448" s="133" t="str">
        <f>IF(AND(I448&lt;&gt;"",ISERROR(IF(ISERROR(VLOOKUP(I448*1,Summary!$C$8:$C$153,1,0)),VLOOKUP(I448,Summary!$C$8:$C$153,1,0),VLOOKUP(I448*1,Summary!$C$8:$C$153,1,0)))),"Add account Number to Summary","")</f>
        <v/>
      </c>
      <c r="M448" s="131" t="str">
        <f t="shared" si="7"/>
        <v/>
      </c>
      <c r="N448" s="287">
        <f>IF(C448="Sale",SUMIFS($D$4:D448,$B$4:B448,B448,$C$4:C448,"")+SUMIFS($D$4:D448,$B$4:B448,B448,$C$4:C448,"Purch")-SUMIFS($D$4:D448,$B$4:B448,B448,$C$4:C448,"Sale"),0)</f>
        <v>0</v>
      </c>
    </row>
    <row r="449" spans="1:14" x14ac:dyDescent="0.2">
      <c r="A449" s="152"/>
      <c r="B449" s="132"/>
      <c r="C449" s="132"/>
      <c r="D449" s="277"/>
      <c r="E449" s="132"/>
      <c r="F449" s="170"/>
      <c r="G449" s="150"/>
      <c r="H449" s="152"/>
      <c r="I449" s="204"/>
      <c r="J449" s="285"/>
      <c r="K449" s="251"/>
      <c r="L449" s="133" t="str">
        <f>IF(AND(I449&lt;&gt;"",ISERROR(IF(ISERROR(VLOOKUP(I449*1,Summary!$C$8:$C$153,1,0)),VLOOKUP(I449,Summary!$C$8:$C$153,1,0),VLOOKUP(I449*1,Summary!$C$8:$C$153,1,0)))),"Add account Number to Summary","")</f>
        <v/>
      </c>
      <c r="M449" s="131" t="str">
        <f t="shared" si="7"/>
        <v/>
      </c>
      <c r="N449" s="287">
        <f>IF(C449="Sale",SUMIFS($D$4:D449,$B$4:B449,B449,$C$4:C449,"")+SUMIFS($D$4:D449,$B$4:B449,B449,$C$4:C449,"Purch")-SUMIFS($D$4:D449,$B$4:B449,B449,$C$4:C449,"Sale"),0)</f>
        <v>0</v>
      </c>
    </row>
    <row r="450" spans="1:14" x14ac:dyDescent="0.2">
      <c r="A450" s="152"/>
      <c r="B450" s="132"/>
      <c r="C450" s="132"/>
      <c r="D450" s="277"/>
      <c r="E450" s="132"/>
      <c r="F450" s="170"/>
      <c r="G450" s="150"/>
      <c r="H450" s="152"/>
      <c r="I450" s="204"/>
      <c r="J450" s="285"/>
      <c r="K450" s="251"/>
      <c r="L450" s="133" t="str">
        <f>IF(AND(I450&lt;&gt;"",ISERROR(IF(ISERROR(VLOOKUP(I450*1,Summary!$C$8:$C$153,1,0)),VLOOKUP(I450,Summary!$C$8:$C$153,1,0),VLOOKUP(I450*1,Summary!$C$8:$C$153,1,0)))),"Add account Number to Summary","")</f>
        <v/>
      </c>
      <c r="M450" s="131" t="str">
        <f t="shared" si="7"/>
        <v/>
      </c>
      <c r="N450" s="287">
        <f>IF(C450="Sale",SUMIFS($D$4:D450,$B$4:B450,B450,$C$4:C450,"")+SUMIFS($D$4:D450,$B$4:B450,B450,$C$4:C450,"Purch")-SUMIFS($D$4:D450,$B$4:B450,B450,$C$4:C450,"Sale"),0)</f>
        <v>0</v>
      </c>
    </row>
    <row r="451" spans="1:14" x14ac:dyDescent="0.2">
      <c r="A451" s="152"/>
      <c r="B451" s="132"/>
      <c r="C451" s="132"/>
      <c r="D451" s="277"/>
      <c r="E451" s="132"/>
      <c r="F451" s="170"/>
      <c r="G451" s="150"/>
      <c r="H451" s="152"/>
      <c r="I451" s="204"/>
      <c r="J451" s="285"/>
      <c r="K451" s="251"/>
      <c r="L451" s="133" t="str">
        <f>IF(AND(I451&lt;&gt;"",ISERROR(IF(ISERROR(VLOOKUP(I451*1,Summary!$C$8:$C$153,1,0)),VLOOKUP(I451,Summary!$C$8:$C$153,1,0),VLOOKUP(I451*1,Summary!$C$8:$C$153,1,0)))),"Add account Number to Summary","")</f>
        <v/>
      </c>
      <c r="M451" s="131" t="str">
        <f t="shared" si="7"/>
        <v/>
      </c>
      <c r="N451" s="287">
        <f>IF(C451="Sale",SUMIFS($D$4:D451,$B$4:B451,B451,$C$4:C451,"")+SUMIFS($D$4:D451,$B$4:B451,B451,$C$4:C451,"Purch")-SUMIFS($D$4:D451,$B$4:B451,B451,$C$4:C451,"Sale"),0)</f>
        <v>0</v>
      </c>
    </row>
    <row r="452" spans="1:14" x14ac:dyDescent="0.2">
      <c r="A452" s="152"/>
      <c r="B452" s="132"/>
      <c r="C452" s="132"/>
      <c r="D452" s="277"/>
      <c r="E452" s="132"/>
      <c r="F452" s="170"/>
      <c r="G452" s="150"/>
      <c r="H452" s="152"/>
      <c r="I452" s="204"/>
      <c r="J452" s="285"/>
      <c r="K452" s="251"/>
      <c r="L452" s="133" t="str">
        <f>IF(AND(I452&lt;&gt;"",ISERROR(IF(ISERROR(VLOOKUP(I452*1,Summary!$C$8:$C$153,1,0)),VLOOKUP(I452,Summary!$C$8:$C$153,1,0),VLOOKUP(I452*1,Summary!$C$8:$C$153,1,0)))),"Add account Number to Summary","")</f>
        <v/>
      </c>
      <c r="M452" s="131" t="str">
        <f t="shared" si="7"/>
        <v/>
      </c>
      <c r="N452" s="287">
        <f>IF(C452="Sale",SUMIFS($D$4:D452,$B$4:B452,B452,$C$4:C452,"")+SUMIFS($D$4:D452,$B$4:B452,B452,$C$4:C452,"Purch")-SUMIFS($D$4:D452,$B$4:B452,B452,$C$4:C452,"Sale"),0)</f>
        <v>0</v>
      </c>
    </row>
    <row r="453" spans="1:14" x14ac:dyDescent="0.2">
      <c r="A453" s="152"/>
      <c r="B453" s="132"/>
      <c r="C453" s="132"/>
      <c r="D453" s="277"/>
      <c r="E453" s="132"/>
      <c r="F453" s="170"/>
      <c r="G453" s="150"/>
      <c r="H453" s="152"/>
      <c r="I453" s="204"/>
      <c r="J453" s="285"/>
      <c r="K453" s="251"/>
      <c r="L453" s="133" t="str">
        <f>IF(AND(I453&lt;&gt;"",ISERROR(IF(ISERROR(VLOOKUP(I453*1,Summary!$C$8:$C$153,1,0)),VLOOKUP(I453,Summary!$C$8:$C$153,1,0),VLOOKUP(I453*1,Summary!$C$8:$C$153,1,0)))),"Add account Number to Summary","")</f>
        <v/>
      </c>
      <c r="M453" s="131" t="str">
        <f t="shared" si="7"/>
        <v/>
      </c>
      <c r="N453" s="287">
        <f>IF(C453="Sale",SUMIFS($D$4:D453,$B$4:B453,B453,$C$4:C453,"")+SUMIFS($D$4:D453,$B$4:B453,B453,$C$4:C453,"Purch")-SUMIFS($D$4:D453,$B$4:B453,B453,$C$4:C453,"Sale"),0)</f>
        <v>0</v>
      </c>
    </row>
    <row r="454" spans="1:14" x14ac:dyDescent="0.2">
      <c r="A454" s="152"/>
      <c r="B454" s="132"/>
      <c r="C454" s="132"/>
      <c r="D454" s="277"/>
      <c r="E454" s="132"/>
      <c r="F454" s="170"/>
      <c r="G454" s="150"/>
      <c r="H454" s="152"/>
      <c r="I454" s="204"/>
      <c r="J454" s="285"/>
      <c r="K454" s="251"/>
      <c r="L454" s="133" t="str">
        <f>IF(AND(I454&lt;&gt;"",ISERROR(IF(ISERROR(VLOOKUP(I454*1,Summary!$C$8:$C$153,1,0)),VLOOKUP(I454,Summary!$C$8:$C$153,1,0),VLOOKUP(I454*1,Summary!$C$8:$C$153,1,0)))),"Add account Number to Summary","")</f>
        <v/>
      </c>
      <c r="M454" s="131" t="str">
        <f t="shared" si="7"/>
        <v/>
      </c>
      <c r="N454" s="287">
        <f>IF(C454="Sale",SUMIFS($D$4:D454,$B$4:B454,B454,$C$4:C454,"")+SUMIFS($D$4:D454,$B$4:B454,B454,$C$4:C454,"Purch")-SUMIFS($D$4:D454,$B$4:B454,B454,$C$4:C454,"Sale"),0)</f>
        <v>0</v>
      </c>
    </row>
    <row r="455" spans="1:14" x14ac:dyDescent="0.2">
      <c r="A455" s="152"/>
      <c r="B455" s="132"/>
      <c r="C455" s="132"/>
      <c r="D455" s="277"/>
      <c r="E455" s="132"/>
      <c r="F455" s="170"/>
      <c r="G455" s="150"/>
      <c r="H455" s="152"/>
      <c r="I455" s="204"/>
      <c r="J455" s="285"/>
      <c r="K455" s="251"/>
      <c r="L455" s="133" t="str">
        <f>IF(AND(I455&lt;&gt;"",ISERROR(IF(ISERROR(VLOOKUP(I455*1,Summary!$C$8:$C$153,1,0)),VLOOKUP(I455,Summary!$C$8:$C$153,1,0),VLOOKUP(I455*1,Summary!$C$8:$C$153,1,0)))),"Add account Number to Summary","")</f>
        <v/>
      </c>
      <c r="M455" s="131" t="str">
        <f t="shared" si="7"/>
        <v/>
      </c>
      <c r="N455" s="287">
        <f>IF(C455="Sale",SUMIFS($D$4:D455,$B$4:B455,B455,$C$4:C455,"")+SUMIFS($D$4:D455,$B$4:B455,B455,$C$4:C455,"Purch")-SUMIFS($D$4:D455,$B$4:B455,B455,$C$4:C455,"Sale"),0)</f>
        <v>0</v>
      </c>
    </row>
    <row r="456" spans="1:14" x14ac:dyDescent="0.2">
      <c r="A456" s="152"/>
      <c r="B456" s="132"/>
      <c r="C456" s="132"/>
      <c r="D456" s="277"/>
      <c r="E456" s="132"/>
      <c r="F456" s="170"/>
      <c r="G456" s="150"/>
      <c r="H456" s="152"/>
      <c r="I456" s="204"/>
      <c r="J456" s="285"/>
      <c r="K456" s="251"/>
      <c r="L456" s="133" t="str">
        <f>IF(AND(I456&lt;&gt;"",ISERROR(IF(ISERROR(VLOOKUP(I456*1,Summary!$C$8:$C$153,1,0)),VLOOKUP(I456,Summary!$C$8:$C$153,1,0),VLOOKUP(I456*1,Summary!$C$8:$C$153,1,0)))),"Add account Number to Summary","")</f>
        <v/>
      </c>
      <c r="M456" s="131" t="str">
        <f t="shared" si="7"/>
        <v/>
      </c>
      <c r="N456" s="287">
        <f>IF(C456="Sale",SUMIFS($D$4:D456,$B$4:B456,B456,$C$4:C456,"")+SUMIFS($D$4:D456,$B$4:B456,B456,$C$4:C456,"Purch")-SUMIFS($D$4:D456,$B$4:B456,B456,$C$4:C456,"Sale"),0)</f>
        <v>0</v>
      </c>
    </row>
    <row r="457" spans="1:14" x14ac:dyDescent="0.2">
      <c r="A457" s="152"/>
      <c r="B457" s="132"/>
      <c r="C457" s="132"/>
      <c r="D457" s="277"/>
      <c r="E457" s="132"/>
      <c r="F457" s="170"/>
      <c r="G457" s="150"/>
      <c r="H457" s="152"/>
      <c r="I457" s="204"/>
      <c r="J457" s="285"/>
      <c r="K457" s="251"/>
      <c r="L457" s="133" t="str">
        <f>IF(AND(I457&lt;&gt;"",ISERROR(IF(ISERROR(VLOOKUP(I457*1,Summary!$C$8:$C$153,1,0)),VLOOKUP(I457,Summary!$C$8:$C$153,1,0),VLOOKUP(I457*1,Summary!$C$8:$C$153,1,0)))),"Add account Number to Summary","")</f>
        <v/>
      </c>
      <c r="M457" s="131" t="str">
        <f t="shared" si="7"/>
        <v/>
      </c>
      <c r="N457" s="287">
        <f>IF(C457="Sale",SUMIFS($D$4:D457,$B$4:B457,B457,$C$4:C457,"")+SUMIFS($D$4:D457,$B$4:B457,B457,$C$4:C457,"Purch")-SUMIFS($D$4:D457,$B$4:B457,B457,$C$4:C457,"Sale"),0)</f>
        <v>0</v>
      </c>
    </row>
    <row r="458" spans="1:14" x14ac:dyDescent="0.2">
      <c r="A458" s="152"/>
      <c r="B458" s="132"/>
      <c r="C458" s="132"/>
      <c r="D458" s="277"/>
      <c r="E458" s="132"/>
      <c r="F458" s="170"/>
      <c r="G458" s="150"/>
      <c r="H458" s="152"/>
      <c r="I458" s="204"/>
      <c r="J458" s="285"/>
      <c r="K458" s="251"/>
      <c r="L458" s="133" t="str">
        <f>IF(AND(I458&lt;&gt;"",ISERROR(IF(ISERROR(VLOOKUP(I458*1,Summary!$C$8:$C$153,1,0)),VLOOKUP(I458,Summary!$C$8:$C$153,1,0),VLOOKUP(I458*1,Summary!$C$8:$C$153,1,0)))),"Add account Number to Summary","")</f>
        <v/>
      </c>
      <c r="M458" s="131" t="str">
        <f t="shared" si="7"/>
        <v/>
      </c>
      <c r="N458" s="287">
        <f>IF(C458="Sale",SUMIFS($D$4:D458,$B$4:B458,B458,$C$4:C458,"")+SUMIFS($D$4:D458,$B$4:B458,B458,$C$4:C458,"Purch")-SUMIFS($D$4:D458,$B$4:B458,B458,$C$4:C458,"Sale"),0)</f>
        <v>0</v>
      </c>
    </row>
    <row r="459" spans="1:14" x14ac:dyDescent="0.2">
      <c r="A459" s="152"/>
      <c r="B459" s="132"/>
      <c r="C459" s="132"/>
      <c r="D459" s="277"/>
      <c r="E459" s="132"/>
      <c r="F459" s="170"/>
      <c r="G459" s="150"/>
      <c r="H459" s="152"/>
      <c r="I459" s="204"/>
      <c r="J459" s="285"/>
      <c r="K459" s="251"/>
      <c r="L459" s="133" t="str">
        <f>IF(AND(I459&lt;&gt;"",ISERROR(IF(ISERROR(VLOOKUP(I459*1,Summary!$C$8:$C$153,1,0)),VLOOKUP(I459,Summary!$C$8:$C$153,1,0),VLOOKUP(I459*1,Summary!$C$8:$C$153,1,0)))),"Add account Number to Summary","")</f>
        <v/>
      </c>
      <c r="M459" s="131" t="str">
        <f t="shared" si="7"/>
        <v/>
      </c>
      <c r="N459" s="287">
        <f>IF(C459="Sale",SUMIFS($D$4:D459,$B$4:B459,B459,$C$4:C459,"")+SUMIFS($D$4:D459,$B$4:B459,B459,$C$4:C459,"Purch")-SUMIFS($D$4:D459,$B$4:B459,B459,$C$4:C459,"Sale"),0)</f>
        <v>0</v>
      </c>
    </row>
    <row r="460" spans="1:14" x14ac:dyDescent="0.2">
      <c r="A460" s="152"/>
      <c r="B460" s="132"/>
      <c r="C460" s="132"/>
      <c r="D460" s="277"/>
      <c r="E460" s="132"/>
      <c r="F460" s="170"/>
      <c r="G460" s="150"/>
      <c r="H460" s="152"/>
      <c r="I460" s="204"/>
      <c r="J460" s="285"/>
      <c r="K460" s="251"/>
      <c r="L460" s="133" t="str">
        <f>IF(AND(I460&lt;&gt;"",ISERROR(IF(ISERROR(VLOOKUP(I460*1,Summary!$C$8:$C$153,1,0)),VLOOKUP(I460,Summary!$C$8:$C$153,1,0),VLOOKUP(I460*1,Summary!$C$8:$C$153,1,0)))),"Add account Number to Summary","")</f>
        <v/>
      </c>
      <c r="M460" s="131" t="str">
        <f t="shared" si="7"/>
        <v/>
      </c>
      <c r="N460" s="287">
        <f>IF(C460="Sale",SUMIFS($D$4:D460,$B$4:B460,B460,$C$4:C460,"")+SUMIFS($D$4:D460,$B$4:B460,B460,$C$4:C460,"Purch")-SUMIFS($D$4:D460,$B$4:B460,B460,$C$4:C460,"Sale"),0)</f>
        <v>0</v>
      </c>
    </row>
    <row r="461" spans="1:14" x14ac:dyDescent="0.2">
      <c r="A461" s="152"/>
      <c r="B461" s="132"/>
      <c r="C461" s="132"/>
      <c r="D461" s="277"/>
      <c r="E461" s="132"/>
      <c r="F461" s="170"/>
      <c r="G461" s="150"/>
      <c r="H461" s="152"/>
      <c r="I461" s="204"/>
      <c r="J461" s="285"/>
      <c r="K461" s="251"/>
      <c r="L461" s="133" t="str">
        <f>IF(AND(I461&lt;&gt;"",ISERROR(IF(ISERROR(VLOOKUP(I461*1,Summary!$C$8:$C$153,1,0)),VLOOKUP(I461,Summary!$C$8:$C$153,1,0),VLOOKUP(I461*1,Summary!$C$8:$C$153,1,0)))),"Add account Number to Summary","")</f>
        <v/>
      </c>
      <c r="M461" s="131" t="str">
        <f t="shared" si="7"/>
        <v/>
      </c>
      <c r="N461" s="287">
        <f>IF(C461="Sale",SUMIFS($D$4:D461,$B$4:B461,B461,$C$4:C461,"")+SUMIFS($D$4:D461,$B$4:B461,B461,$C$4:C461,"Purch")-SUMIFS($D$4:D461,$B$4:B461,B461,$C$4:C461,"Sale"),0)</f>
        <v>0</v>
      </c>
    </row>
    <row r="462" spans="1:14" x14ac:dyDescent="0.2">
      <c r="A462" s="152"/>
      <c r="B462" s="132"/>
      <c r="C462" s="132"/>
      <c r="D462" s="277"/>
      <c r="E462" s="132"/>
      <c r="F462" s="170"/>
      <c r="G462" s="150"/>
      <c r="H462" s="152"/>
      <c r="I462" s="204"/>
      <c r="J462" s="285"/>
      <c r="K462" s="251"/>
      <c r="L462" s="133" t="str">
        <f>IF(AND(I462&lt;&gt;"",ISERROR(IF(ISERROR(VLOOKUP(I462*1,Summary!$C$8:$C$153,1,0)),VLOOKUP(I462,Summary!$C$8:$C$153,1,0),VLOOKUP(I462*1,Summary!$C$8:$C$153,1,0)))),"Add account Number to Summary","")</f>
        <v/>
      </c>
      <c r="M462" s="131" t="str">
        <f t="shared" si="7"/>
        <v/>
      </c>
      <c r="N462" s="287">
        <f>IF(C462="Sale",SUMIFS($D$4:D462,$B$4:B462,B462,$C$4:C462,"")+SUMIFS($D$4:D462,$B$4:B462,B462,$C$4:C462,"Purch")-SUMIFS($D$4:D462,$B$4:B462,B462,$C$4:C462,"Sale"),0)</f>
        <v>0</v>
      </c>
    </row>
    <row r="463" spans="1:14" x14ac:dyDescent="0.2">
      <c r="A463" s="152"/>
      <c r="B463" s="132"/>
      <c r="C463" s="132"/>
      <c r="D463" s="277"/>
      <c r="E463" s="132"/>
      <c r="F463" s="170"/>
      <c r="G463" s="150"/>
      <c r="H463" s="152"/>
      <c r="I463" s="204"/>
      <c r="J463" s="285"/>
      <c r="K463" s="251"/>
      <c r="L463" s="133" t="str">
        <f>IF(AND(I463&lt;&gt;"",ISERROR(IF(ISERROR(VLOOKUP(I463*1,Summary!$C$8:$C$153,1,0)),VLOOKUP(I463,Summary!$C$8:$C$153,1,0),VLOOKUP(I463*1,Summary!$C$8:$C$153,1,0)))),"Add account Number to Summary","")</f>
        <v/>
      </c>
      <c r="M463" s="131" t="str">
        <f t="shared" si="7"/>
        <v/>
      </c>
      <c r="N463" s="287">
        <f>IF(C463="Sale",SUMIFS($D$4:D463,$B$4:B463,B463,$C$4:C463,"")+SUMIFS($D$4:D463,$B$4:B463,B463,$C$4:C463,"Purch")-SUMIFS($D$4:D463,$B$4:B463,B463,$C$4:C463,"Sale"),0)</f>
        <v>0</v>
      </c>
    </row>
    <row r="464" spans="1:14" x14ac:dyDescent="0.2">
      <c r="A464" s="152"/>
      <c r="B464" s="132"/>
      <c r="C464" s="132"/>
      <c r="D464" s="277"/>
      <c r="E464" s="132"/>
      <c r="F464" s="170"/>
      <c r="G464" s="150"/>
      <c r="H464" s="152"/>
      <c r="I464" s="204"/>
      <c r="J464" s="285"/>
      <c r="K464" s="251"/>
      <c r="L464" s="133" t="str">
        <f>IF(AND(I464&lt;&gt;"",ISERROR(IF(ISERROR(VLOOKUP(I464*1,Summary!$C$8:$C$153,1,0)),VLOOKUP(I464,Summary!$C$8:$C$153,1,0),VLOOKUP(I464*1,Summary!$C$8:$C$153,1,0)))),"Add account Number to Summary","")</f>
        <v/>
      </c>
      <c r="M464" s="131" t="str">
        <f t="shared" si="7"/>
        <v/>
      </c>
      <c r="N464" s="287">
        <f>IF(C464="Sale",SUMIFS($D$4:D464,$B$4:B464,B464,$C$4:C464,"")+SUMIFS($D$4:D464,$B$4:B464,B464,$C$4:C464,"Purch")-SUMIFS($D$4:D464,$B$4:B464,B464,$C$4:C464,"Sale"),0)</f>
        <v>0</v>
      </c>
    </row>
    <row r="465" spans="1:14" x14ac:dyDescent="0.2">
      <c r="A465" s="152"/>
      <c r="B465" s="132"/>
      <c r="C465" s="132"/>
      <c r="D465" s="277"/>
      <c r="E465" s="132"/>
      <c r="F465" s="170"/>
      <c r="G465" s="150"/>
      <c r="H465" s="152"/>
      <c r="I465" s="204"/>
      <c r="J465" s="285"/>
      <c r="K465" s="251"/>
      <c r="L465" s="133" t="str">
        <f>IF(AND(I465&lt;&gt;"",ISERROR(IF(ISERROR(VLOOKUP(I465*1,Summary!$C$8:$C$153,1,0)),VLOOKUP(I465,Summary!$C$8:$C$153,1,0),VLOOKUP(I465*1,Summary!$C$8:$C$153,1,0)))),"Add account Number to Summary","")</f>
        <v/>
      </c>
      <c r="M465" s="131" t="str">
        <f t="shared" si="7"/>
        <v/>
      </c>
      <c r="N465" s="287">
        <f>IF(C465="Sale",SUMIFS($D$4:D465,$B$4:B465,B465,$C$4:C465,"")+SUMIFS($D$4:D465,$B$4:B465,B465,$C$4:C465,"Purch")-SUMIFS($D$4:D465,$B$4:B465,B465,$C$4:C465,"Sale"),0)</f>
        <v>0</v>
      </c>
    </row>
    <row r="466" spans="1:14" x14ac:dyDescent="0.2">
      <c r="A466" s="152"/>
      <c r="B466" s="132"/>
      <c r="C466" s="132"/>
      <c r="D466" s="277"/>
      <c r="E466" s="132"/>
      <c r="F466" s="170"/>
      <c r="G466" s="150"/>
      <c r="H466" s="152"/>
      <c r="I466" s="204"/>
      <c r="J466" s="285"/>
      <c r="K466" s="251"/>
      <c r="L466" s="133" t="str">
        <f>IF(AND(I466&lt;&gt;"",ISERROR(IF(ISERROR(VLOOKUP(I466*1,Summary!$C$8:$C$153,1,0)),VLOOKUP(I466,Summary!$C$8:$C$153,1,0),VLOOKUP(I466*1,Summary!$C$8:$C$153,1,0)))),"Add account Number to Summary","")</f>
        <v/>
      </c>
      <c r="M466" s="131" t="str">
        <f t="shared" si="7"/>
        <v/>
      </c>
      <c r="N466" s="287">
        <f>IF(C466="Sale",SUMIFS($D$4:D466,$B$4:B466,B466,$C$4:C466,"")+SUMIFS($D$4:D466,$B$4:B466,B466,$C$4:C466,"Purch")-SUMIFS($D$4:D466,$B$4:B466,B466,$C$4:C466,"Sale"),0)</f>
        <v>0</v>
      </c>
    </row>
    <row r="467" spans="1:14" x14ac:dyDescent="0.2">
      <c r="A467" s="152"/>
      <c r="B467" s="132"/>
      <c r="C467" s="132"/>
      <c r="D467" s="277"/>
      <c r="E467" s="132"/>
      <c r="F467" s="170"/>
      <c r="G467" s="150"/>
      <c r="H467" s="152"/>
      <c r="I467" s="204"/>
      <c r="J467" s="285"/>
      <c r="K467" s="251"/>
      <c r="L467" s="133" t="str">
        <f>IF(AND(I467&lt;&gt;"",ISERROR(IF(ISERROR(VLOOKUP(I467*1,Summary!$C$8:$C$153,1,0)),VLOOKUP(I467,Summary!$C$8:$C$153,1,0),VLOOKUP(I467*1,Summary!$C$8:$C$153,1,0)))),"Add account Number to Summary","")</f>
        <v/>
      </c>
      <c r="M467" s="131" t="str">
        <f t="shared" si="7"/>
        <v/>
      </c>
      <c r="N467" s="287">
        <f>IF(C467="Sale",SUMIFS($D$4:D467,$B$4:B467,B467,$C$4:C467,"")+SUMIFS($D$4:D467,$B$4:B467,B467,$C$4:C467,"Purch")-SUMIFS($D$4:D467,$B$4:B467,B467,$C$4:C467,"Sale"),0)</f>
        <v>0</v>
      </c>
    </row>
    <row r="468" spans="1:14" x14ac:dyDescent="0.2">
      <c r="A468" s="152"/>
      <c r="B468" s="132"/>
      <c r="C468" s="132"/>
      <c r="D468" s="277"/>
      <c r="E468" s="132"/>
      <c r="F468" s="170"/>
      <c r="G468" s="150"/>
      <c r="H468" s="152"/>
      <c r="I468" s="204"/>
      <c r="J468" s="285"/>
      <c r="K468" s="251"/>
      <c r="L468" s="133" t="str">
        <f>IF(AND(I468&lt;&gt;"",ISERROR(IF(ISERROR(VLOOKUP(I468*1,Summary!$C$8:$C$153,1,0)),VLOOKUP(I468,Summary!$C$8:$C$153,1,0),VLOOKUP(I468*1,Summary!$C$8:$C$153,1,0)))),"Add account Number to Summary","")</f>
        <v/>
      </c>
      <c r="M468" s="131" t="str">
        <f t="shared" si="7"/>
        <v/>
      </c>
      <c r="N468" s="287">
        <f>IF(C468="Sale",SUMIFS($D$4:D468,$B$4:B468,B468,$C$4:C468,"")+SUMIFS($D$4:D468,$B$4:B468,B468,$C$4:C468,"Purch")-SUMIFS($D$4:D468,$B$4:B468,B468,$C$4:C468,"Sale"),0)</f>
        <v>0</v>
      </c>
    </row>
    <row r="469" spans="1:14" x14ac:dyDescent="0.2">
      <c r="A469" s="152"/>
      <c r="B469" s="132"/>
      <c r="C469" s="132"/>
      <c r="D469" s="277"/>
      <c r="E469" s="132"/>
      <c r="F469" s="170"/>
      <c r="G469" s="150"/>
      <c r="H469" s="152"/>
      <c r="I469" s="204"/>
      <c r="J469" s="285"/>
      <c r="K469" s="251"/>
      <c r="L469" s="133" t="str">
        <f>IF(AND(I469&lt;&gt;"",ISERROR(IF(ISERROR(VLOOKUP(I469*1,Summary!$C$8:$C$153,1,0)),VLOOKUP(I469,Summary!$C$8:$C$153,1,0),VLOOKUP(I469*1,Summary!$C$8:$C$153,1,0)))),"Add account Number to Summary","")</f>
        <v/>
      </c>
      <c r="M469" s="131" t="str">
        <f t="shared" si="7"/>
        <v/>
      </c>
      <c r="N469" s="287">
        <f>IF(C469="Sale",SUMIFS($D$4:D469,$B$4:B469,B469,$C$4:C469,"")+SUMIFS($D$4:D469,$B$4:B469,B469,$C$4:C469,"Purch")-SUMIFS($D$4:D469,$B$4:B469,B469,$C$4:C469,"Sale"),0)</f>
        <v>0</v>
      </c>
    </row>
    <row r="470" spans="1:14" x14ac:dyDescent="0.2">
      <c r="A470" s="152"/>
      <c r="B470" s="132"/>
      <c r="C470" s="132"/>
      <c r="D470" s="277"/>
      <c r="E470" s="132"/>
      <c r="F470" s="170"/>
      <c r="G470" s="150"/>
      <c r="H470" s="152"/>
      <c r="I470" s="204"/>
      <c r="J470" s="285"/>
      <c r="K470" s="251"/>
      <c r="L470" s="133" t="str">
        <f>IF(AND(I470&lt;&gt;"",ISERROR(IF(ISERROR(VLOOKUP(I470*1,Summary!$C$8:$C$153,1,0)),VLOOKUP(I470,Summary!$C$8:$C$153,1,0),VLOOKUP(I470*1,Summary!$C$8:$C$153,1,0)))),"Add account Number to Summary","")</f>
        <v/>
      </c>
      <c r="M470" s="131" t="str">
        <f t="shared" si="7"/>
        <v/>
      </c>
      <c r="N470" s="287">
        <f>IF(C470="Sale",SUMIFS($D$4:D470,$B$4:B470,B470,$C$4:C470,"")+SUMIFS($D$4:D470,$B$4:B470,B470,$C$4:C470,"Purch")-SUMIFS($D$4:D470,$B$4:B470,B470,$C$4:C470,"Sale"),0)</f>
        <v>0</v>
      </c>
    </row>
    <row r="471" spans="1:14" x14ac:dyDescent="0.2">
      <c r="A471" s="152"/>
      <c r="B471" s="132"/>
      <c r="C471" s="132"/>
      <c r="D471" s="277"/>
      <c r="E471" s="132"/>
      <c r="F471" s="170"/>
      <c r="G471" s="150"/>
      <c r="H471" s="152"/>
      <c r="I471" s="204"/>
      <c r="J471" s="285"/>
      <c r="K471" s="251"/>
      <c r="L471" s="133" t="str">
        <f>IF(AND(I471&lt;&gt;"",ISERROR(IF(ISERROR(VLOOKUP(I471*1,Summary!$C$8:$C$153,1,0)),VLOOKUP(I471,Summary!$C$8:$C$153,1,0),VLOOKUP(I471*1,Summary!$C$8:$C$153,1,0)))),"Add account Number to Summary","")</f>
        <v/>
      </c>
      <c r="M471" s="131" t="str">
        <f t="shared" si="7"/>
        <v/>
      </c>
      <c r="N471" s="287">
        <f>IF(C471="Sale",SUMIFS($D$4:D471,$B$4:B471,B471,$C$4:C471,"")+SUMIFS($D$4:D471,$B$4:B471,B471,$C$4:C471,"Purch")-SUMIFS($D$4:D471,$B$4:B471,B471,$C$4:C471,"Sale"),0)</f>
        <v>0</v>
      </c>
    </row>
    <row r="472" spans="1:14" x14ac:dyDescent="0.2">
      <c r="A472" s="152"/>
      <c r="B472" s="132"/>
      <c r="C472" s="132"/>
      <c r="D472" s="277"/>
      <c r="E472" s="132"/>
      <c r="F472" s="170"/>
      <c r="G472" s="150"/>
      <c r="H472" s="152"/>
      <c r="I472" s="204"/>
      <c r="J472" s="285"/>
      <c r="K472" s="251"/>
      <c r="L472" s="133" t="str">
        <f>IF(AND(I472&lt;&gt;"",ISERROR(IF(ISERROR(VLOOKUP(I472*1,Summary!$C$8:$C$153,1,0)),VLOOKUP(I472,Summary!$C$8:$C$153,1,0),VLOOKUP(I472*1,Summary!$C$8:$C$153,1,0)))),"Add account Number to Summary","")</f>
        <v/>
      </c>
      <c r="M472" s="131" t="str">
        <f t="shared" si="7"/>
        <v/>
      </c>
      <c r="N472" s="287">
        <f>IF(C472="Sale",SUMIFS($D$4:D472,$B$4:B472,B472,$C$4:C472,"")+SUMIFS($D$4:D472,$B$4:B472,B472,$C$4:C472,"Purch")-SUMIFS($D$4:D472,$B$4:B472,B472,$C$4:C472,"Sale"),0)</f>
        <v>0</v>
      </c>
    </row>
    <row r="473" spans="1:14" x14ac:dyDescent="0.2">
      <c r="A473" s="152"/>
      <c r="B473" s="132"/>
      <c r="C473" s="132"/>
      <c r="D473" s="277"/>
      <c r="E473" s="132"/>
      <c r="F473" s="170"/>
      <c r="G473" s="150"/>
      <c r="H473" s="152"/>
      <c r="I473" s="204"/>
      <c r="J473" s="285"/>
      <c r="K473" s="251"/>
      <c r="L473" s="133" t="str">
        <f>IF(AND(I473&lt;&gt;"",ISERROR(IF(ISERROR(VLOOKUP(I473*1,Summary!$C$8:$C$153,1,0)),VLOOKUP(I473,Summary!$C$8:$C$153,1,0),VLOOKUP(I473*1,Summary!$C$8:$C$153,1,0)))),"Add account Number to Summary","")</f>
        <v/>
      </c>
      <c r="M473" s="131" t="str">
        <f t="shared" si="7"/>
        <v/>
      </c>
      <c r="N473" s="287">
        <f>IF(C473="Sale",SUMIFS($D$4:D473,$B$4:B473,B473,$C$4:C473,"")+SUMIFS($D$4:D473,$B$4:B473,B473,$C$4:C473,"Purch")-SUMIFS($D$4:D473,$B$4:B473,B473,$C$4:C473,"Sale"),0)</f>
        <v>0</v>
      </c>
    </row>
    <row r="474" spans="1:14" x14ac:dyDescent="0.2">
      <c r="A474" s="152"/>
      <c r="B474" s="132"/>
      <c r="C474" s="132"/>
      <c r="D474" s="277"/>
      <c r="E474" s="132"/>
      <c r="F474" s="170"/>
      <c r="G474" s="150"/>
      <c r="H474" s="152"/>
      <c r="I474" s="204"/>
      <c r="J474" s="285"/>
      <c r="K474" s="251"/>
      <c r="L474" s="133" t="str">
        <f>IF(AND(I474&lt;&gt;"",ISERROR(IF(ISERROR(VLOOKUP(I474*1,Summary!$C$8:$C$153,1,0)),VLOOKUP(I474,Summary!$C$8:$C$153,1,0),VLOOKUP(I474*1,Summary!$C$8:$C$153,1,0)))),"Add account Number to Summary","")</f>
        <v/>
      </c>
      <c r="M474" s="131" t="str">
        <f t="shared" si="7"/>
        <v/>
      </c>
      <c r="N474" s="287">
        <f>IF(C474="Sale",SUMIFS($D$4:D474,$B$4:B474,B474,$C$4:C474,"")+SUMIFS($D$4:D474,$B$4:B474,B474,$C$4:C474,"Purch")-SUMIFS($D$4:D474,$B$4:B474,B474,$C$4:C474,"Sale"),0)</f>
        <v>0</v>
      </c>
    </row>
    <row r="475" spans="1:14" x14ac:dyDescent="0.2">
      <c r="A475" s="152"/>
      <c r="B475" s="132"/>
      <c r="C475" s="132"/>
      <c r="D475" s="277"/>
      <c r="E475" s="132"/>
      <c r="F475" s="170"/>
      <c r="G475" s="150"/>
      <c r="H475" s="152"/>
      <c r="I475" s="204"/>
      <c r="J475" s="285"/>
      <c r="K475" s="251"/>
      <c r="L475" s="133" t="str">
        <f>IF(AND(I475&lt;&gt;"",ISERROR(IF(ISERROR(VLOOKUP(I475*1,Summary!$C$8:$C$153,1,0)),VLOOKUP(I475,Summary!$C$8:$C$153,1,0),VLOOKUP(I475*1,Summary!$C$8:$C$153,1,0)))),"Add account Number to Summary","")</f>
        <v/>
      </c>
      <c r="M475" s="131" t="str">
        <f t="shared" si="7"/>
        <v/>
      </c>
      <c r="N475" s="287">
        <f>IF(C475="Sale",SUMIFS($D$4:D475,$B$4:B475,B475,$C$4:C475,"")+SUMIFS($D$4:D475,$B$4:B475,B475,$C$4:C475,"Purch")-SUMIFS($D$4:D475,$B$4:B475,B475,$C$4:C475,"Sale"),0)</f>
        <v>0</v>
      </c>
    </row>
    <row r="476" spans="1:14" x14ac:dyDescent="0.2">
      <c r="A476" s="152"/>
      <c r="B476" s="132"/>
      <c r="C476" s="132"/>
      <c r="D476" s="277"/>
      <c r="E476" s="132"/>
      <c r="F476" s="170"/>
      <c r="G476" s="150"/>
      <c r="H476" s="152"/>
      <c r="I476" s="204"/>
      <c r="J476" s="285"/>
      <c r="K476" s="251"/>
      <c r="L476" s="133" t="str">
        <f>IF(AND(I476&lt;&gt;"",ISERROR(IF(ISERROR(VLOOKUP(I476*1,Summary!$C$8:$C$153,1,0)),VLOOKUP(I476,Summary!$C$8:$C$153,1,0),VLOOKUP(I476*1,Summary!$C$8:$C$153,1,0)))),"Add account Number to Summary","")</f>
        <v/>
      </c>
      <c r="M476" s="131" t="str">
        <f t="shared" si="7"/>
        <v/>
      </c>
      <c r="N476" s="287">
        <f>IF(C476="Sale",SUMIFS($D$4:D476,$B$4:B476,B476,$C$4:C476,"")+SUMIFS($D$4:D476,$B$4:B476,B476,$C$4:C476,"Purch")-SUMIFS($D$4:D476,$B$4:B476,B476,$C$4:C476,"Sale"),0)</f>
        <v>0</v>
      </c>
    </row>
    <row r="477" spans="1:14" x14ac:dyDescent="0.2">
      <c r="A477" s="152"/>
      <c r="B477" s="132"/>
      <c r="C477" s="132"/>
      <c r="D477" s="277"/>
      <c r="E477" s="132"/>
      <c r="F477" s="170"/>
      <c r="G477" s="150"/>
      <c r="H477" s="152"/>
      <c r="I477" s="204"/>
      <c r="J477" s="285"/>
      <c r="K477" s="251"/>
      <c r="L477" s="133" t="str">
        <f>IF(AND(I477&lt;&gt;"",ISERROR(IF(ISERROR(VLOOKUP(I477*1,Summary!$C$8:$C$153,1,0)),VLOOKUP(I477,Summary!$C$8:$C$153,1,0),VLOOKUP(I477*1,Summary!$C$8:$C$153,1,0)))),"Add account Number to Summary","")</f>
        <v/>
      </c>
      <c r="M477" s="131" t="str">
        <f t="shared" si="7"/>
        <v/>
      </c>
      <c r="N477" s="287">
        <f>IF(C477="Sale",SUMIFS($D$4:D477,$B$4:B477,B477,$C$4:C477,"")+SUMIFS($D$4:D477,$B$4:B477,B477,$C$4:C477,"Purch")-SUMIFS($D$4:D477,$B$4:B477,B477,$C$4:C477,"Sale"),0)</f>
        <v>0</v>
      </c>
    </row>
    <row r="478" spans="1:14" x14ac:dyDescent="0.2">
      <c r="A478" s="152"/>
      <c r="B478" s="132"/>
      <c r="C478" s="132"/>
      <c r="D478" s="277"/>
      <c r="E478" s="132"/>
      <c r="F478" s="170"/>
      <c r="G478" s="150"/>
      <c r="H478" s="152"/>
      <c r="I478" s="204"/>
      <c r="J478" s="285"/>
      <c r="K478" s="251"/>
      <c r="L478" s="133" t="str">
        <f>IF(AND(I478&lt;&gt;"",ISERROR(IF(ISERROR(VLOOKUP(I478*1,Summary!$C$8:$C$153,1,0)),VLOOKUP(I478,Summary!$C$8:$C$153,1,0),VLOOKUP(I478*1,Summary!$C$8:$C$153,1,0)))),"Add account Number to Summary","")</f>
        <v/>
      </c>
      <c r="M478" s="131" t="str">
        <f t="shared" si="7"/>
        <v/>
      </c>
      <c r="N478" s="287">
        <f>IF(C478="Sale",SUMIFS($D$4:D478,$B$4:B478,B478,$C$4:C478,"")+SUMIFS($D$4:D478,$B$4:B478,B478,$C$4:C478,"Purch")-SUMIFS($D$4:D478,$B$4:B478,B478,$C$4:C478,"Sale"),0)</f>
        <v>0</v>
      </c>
    </row>
    <row r="479" spans="1:14" x14ac:dyDescent="0.2">
      <c r="A479" s="152"/>
      <c r="B479" s="132"/>
      <c r="C479" s="132"/>
      <c r="D479" s="277"/>
      <c r="E479" s="132"/>
      <c r="F479" s="170"/>
      <c r="G479" s="150"/>
      <c r="H479" s="152"/>
      <c r="I479" s="204"/>
      <c r="J479" s="285"/>
      <c r="K479" s="251"/>
      <c r="L479" s="133" t="str">
        <f>IF(AND(I479&lt;&gt;"",ISERROR(IF(ISERROR(VLOOKUP(I479*1,Summary!$C$8:$C$153,1,0)),VLOOKUP(I479,Summary!$C$8:$C$153,1,0),VLOOKUP(I479*1,Summary!$C$8:$C$153,1,0)))),"Add account Number to Summary","")</f>
        <v/>
      </c>
      <c r="M479" s="131" t="str">
        <f t="shared" si="7"/>
        <v/>
      </c>
      <c r="N479" s="287">
        <f>IF(C479="Sale",SUMIFS($D$4:D479,$B$4:B479,B479,$C$4:C479,"")+SUMIFS($D$4:D479,$B$4:B479,B479,$C$4:C479,"Purch")-SUMIFS($D$4:D479,$B$4:B479,B479,$C$4:C479,"Sale"),0)</f>
        <v>0</v>
      </c>
    </row>
    <row r="480" spans="1:14" x14ac:dyDescent="0.2">
      <c r="A480" s="152"/>
      <c r="B480" s="132"/>
      <c r="C480" s="132"/>
      <c r="D480" s="277"/>
      <c r="E480" s="132"/>
      <c r="F480" s="170"/>
      <c r="G480" s="150"/>
      <c r="H480" s="152"/>
      <c r="I480" s="204"/>
      <c r="J480" s="285"/>
      <c r="K480" s="251"/>
      <c r="L480" s="133" t="str">
        <f>IF(AND(I480&lt;&gt;"",ISERROR(IF(ISERROR(VLOOKUP(I480*1,Summary!$C$8:$C$153,1,0)),VLOOKUP(I480,Summary!$C$8:$C$153,1,0),VLOOKUP(I480*1,Summary!$C$8:$C$153,1,0)))),"Add account Number to Summary","")</f>
        <v/>
      </c>
      <c r="M480" s="131" t="str">
        <f t="shared" si="7"/>
        <v/>
      </c>
      <c r="N480" s="287">
        <f>IF(C480="Sale",SUMIFS($D$4:D480,$B$4:B480,B480,$C$4:C480,"")+SUMIFS($D$4:D480,$B$4:B480,B480,$C$4:C480,"Purch")-SUMIFS($D$4:D480,$B$4:B480,B480,$C$4:C480,"Sale"),0)</f>
        <v>0</v>
      </c>
    </row>
    <row r="481" spans="1:14" x14ac:dyDescent="0.2">
      <c r="A481" s="152"/>
      <c r="B481" s="132"/>
      <c r="C481" s="132"/>
      <c r="D481" s="277"/>
      <c r="E481" s="132"/>
      <c r="F481" s="170"/>
      <c r="G481" s="150"/>
      <c r="H481" s="152"/>
      <c r="I481" s="204"/>
      <c r="J481" s="285"/>
      <c r="K481" s="251"/>
      <c r="L481" s="133" t="str">
        <f>IF(AND(I481&lt;&gt;"",ISERROR(IF(ISERROR(VLOOKUP(I481*1,Summary!$C$8:$C$153,1,0)),VLOOKUP(I481,Summary!$C$8:$C$153,1,0),VLOOKUP(I481*1,Summary!$C$8:$C$153,1,0)))),"Add account Number to Summary","")</f>
        <v/>
      </c>
      <c r="M481" s="131" t="str">
        <f t="shared" si="7"/>
        <v/>
      </c>
      <c r="N481" s="287">
        <f>IF(C481="Sale",SUMIFS($D$4:D481,$B$4:B481,B481,$C$4:C481,"")+SUMIFS($D$4:D481,$B$4:B481,B481,$C$4:C481,"Purch")-SUMIFS($D$4:D481,$B$4:B481,B481,$C$4:C481,"Sale"),0)</f>
        <v>0</v>
      </c>
    </row>
    <row r="482" spans="1:14" x14ac:dyDescent="0.2">
      <c r="A482" s="152"/>
      <c r="B482" s="132"/>
      <c r="C482" s="132"/>
      <c r="D482" s="277"/>
      <c r="E482" s="132"/>
      <c r="F482" s="170"/>
      <c r="G482" s="150"/>
      <c r="H482" s="152"/>
      <c r="I482" s="204"/>
      <c r="J482" s="285"/>
      <c r="K482" s="251"/>
      <c r="L482" s="133" t="str">
        <f>IF(AND(I482&lt;&gt;"",ISERROR(IF(ISERROR(VLOOKUP(I482*1,Summary!$C$8:$C$153,1,0)),VLOOKUP(I482,Summary!$C$8:$C$153,1,0),VLOOKUP(I482*1,Summary!$C$8:$C$153,1,0)))),"Add account Number to Summary","")</f>
        <v/>
      </c>
      <c r="M482" s="131" t="str">
        <f t="shared" si="7"/>
        <v/>
      </c>
      <c r="N482" s="287">
        <f>IF(C482="Sale",SUMIFS($D$4:D482,$B$4:B482,B482,$C$4:C482,"")+SUMIFS($D$4:D482,$B$4:B482,B482,$C$4:C482,"Purch")-SUMIFS($D$4:D482,$B$4:B482,B482,$C$4:C482,"Sale"),0)</f>
        <v>0</v>
      </c>
    </row>
    <row r="483" spans="1:14" x14ac:dyDescent="0.2">
      <c r="A483" s="152"/>
      <c r="B483" s="132"/>
      <c r="C483" s="132"/>
      <c r="D483" s="277"/>
      <c r="E483" s="132"/>
      <c r="F483" s="170"/>
      <c r="G483" s="150"/>
      <c r="H483" s="152"/>
      <c r="I483" s="204"/>
      <c r="J483" s="285"/>
      <c r="K483" s="251"/>
      <c r="L483" s="133" t="str">
        <f>IF(AND(I483&lt;&gt;"",ISERROR(IF(ISERROR(VLOOKUP(I483*1,Summary!$C$8:$C$153,1,0)),VLOOKUP(I483,Summary!$C$8:$C$153,1,0),VLOOKUP(I483*1,Summary!$C$8:$C$153,1,0)))),"Add account Number to Summary","")</f>
        <v/>
      </c>
      <c r="M483" s="131" t="str">
        <f t="shared" si="7"/>
        <v/>
      </c>
      <c r="N483" s="287">
        <f>IF(C483="Sale",SUMIFS($D$4:D483,$B$4:B483,B483,$C$4:C483,"")+SUMIFS($D$4:D483,$B$4:B483,B483,$C$4:C483,"Purch")-SUMIFS($D$4:D483,$B$4:B483,B483,$C$4:C483,"Sale"),0)</f>
        <v>0</v>
      </c>
    </row>
    <row r="484" spans="1:14" x14ac:dyDescent="0.2">
      <c r="A484" s="152"/>
      <c r="B484" s="132"/>
      <c r="C484" s="132"/>
      <c r="D484" s="277"/>
      <c r="E484" s="132"/>
      <c r="F484" s="170"/>
      <c r="G484" s="150"/>
      <c r="H484" s="152"/>
      <c r="I484" s="204"/>
      <c r="J484" s="285"/>
      <c r="K484" s="251"/>
      <c r="L484" s="133" t="str">
        <f>IF(AND(I484&lt;&gt;"",ISERROR(IF(ISERROR(VLOOKUP(I484*1,Summary!$C$8:$C$153,1,0)),VLOOKUP(I484,Summary!$C$8:$C$153,1,0),VLOOKUP(I484*1,Summary!$C$8:$C$153,1,0)))),"Add account Number to Summary","")</f>
        <v/>
      </c>
      <c r="M484" s="131" t="str">
        <f t="shared" si="7"/>
        <v/>
      </c>
      <c r="N484" s="287">
        <f>IF(C484="Sale",SUMIFS($D$4:D484,$B$4:B484,B484,$C$4:C484,"")+SUMIFS($D$4:D484,$B$4:B484,B484,$C$4:C484,"Purch")-SUMIFS($D$4:D484,$B$4:B484,B484,$C$4:C484,"Sale"),0)</f>
        <v>0</v>
      </c>
    </row>
    <row r="485" spans="1:14" x14ac:dyDescent="0.2">
      <c r="A485" s="152"/>
      <c r="B485" s="132"/>
      <c r="C485" s="132"/>
      <c r="D485" s="277"/>
      <c r="E485" s="132"/>
      <c r="F485" s="170"/>
      <c r="G485" s="150"/>
      <c r="H485" s="152"/>
      <c r="I485" s="204"/>
      <c r="J485" s="285"/>
      <c r="K485" s="251"/>
      <c r="L485" s="133" t="str">
        <f>IF(AND(I485&lt;&gt;"",ISERROR(IF(ISERROR(VLOOKUP(I485*1,Summary!$C$8:$C$153,1,0)),VLOOKUP(I485,Summary!$C$8:$C$153,1,0),VLOOKUP(I485*1,Summary!$C$8:$C$153,1,0)))),"Add account Number to Summary","")</f>
        <v/>
      </c>
      <c r="M485" s="131" t="str">
        <f t="shared" si="7"/>
        <v/>
      </c>
      <c r="N485" s="287">
        <f>IF(C485="Sale",SUMIFS($D$4:D485,$B$4:B485,B485,$C$4:C485,"")+SUMIFS($D$4:D485,$B$4:B485,B485,$C$4:C485,"Purch")-SUMIFS($D$4:D485,$B$4:B485,B485,$C$4:C485,"Sale"),0)</f>
        <v>0</v>
      </c>
    </row>
    <row r="486" spans="1:14" x14ac:dyDescent="0.2">
      <c r="A486" s="152"/>
      <c r="B486" s="132"/>
      <c r="C486" s="132"/>
      <c r="D486" s="277"/>
      <c r="E486" s="132"/>
      <c r="F486" s="170"/>
      <c r="G486" s="150"/>
      <c r="H486" s="152"/>
      <c r="I486" s="204"/>
      <c r="J486" s="285"/>
      <c r="K486" s="251"/>
      <c r="L486" s="133" t="str">
        <f>IF(AND(I486&lt;&gt;"",ISERROR(IF(ISERROR(VLOOKUP(I486*1,Summary!$C$8:$C$153,1,0)),VLOOKUP(I486,Summary!$C$8:$C$153,1,0),VLOOKUP(I486*1,Summary!$C$8:$C$153,1,0)))),"Add account Number to Summary","")</f>
        <v/>
      </c>
      <c r="M486" s="131" t="str">
        <f t="shared" si="7"/>
        <v/>
      </c>
      <c r="N486" s="287">
        <f>IF(C486="Sale",SUMIFS($D$4:D486,$B$4:B486,B486,$C$4:C486,"")+SUMIFS($D$4:D486,$B$4:B486,B486,$C$4:C486,"Purch")-SUMIFS($D$4:D486,$B$4:B486,B486,$C$4:C486,"Sale"),0)</f>
        <v>0</v>
      </c>
    </row>
    <row r="487" spans="1:14" x14ac:dyDescent="0.2">
      <c r="A487" s="152"/>
      <c r="B487" s="132"/>
      <c r="C487" s="132"/>
      <c r="D487" s="277"/>
      <c r="E487" s="132"/>
      <c r="F487" s="170"/>
      <c r="G487" s="150"/>
      <c r="H487" s="152"/>
      <c r="I487" s="204"/>
      <c r="J487" s="285"/>
      <c r="K487" s="251"/>
      <c r="L487" s="133" t="str">
        <f>IF(AND(I487&lt;&gt;"",ISERROR(IF(ISERROR(VLOOKUP(I487*1,Summary!$C$8:$C$153,1,0)),VLOOKUP(I487,Summary!$C$8:$C$153,1,0),VLOOKUP(I487*1,Summary!$C$8:$C$153,1,0)))),"Add account Number to Summary","")</f>
        <v/>
      </c>
      <c r="M487" s="131" t="str">
        <f t="shared" si="7"/>
        <v/>
      </c>
      <c r="N487" s="287">
        <f>IF(C487="Sale",SUMIFS($D$4:D487,$B$4:B487,B487,$C$4:C487,"")+SUMIFS($D$4:D487,$B$4:B487,B487,$C$4:C487,"Purch")-SUMIFS($D$4:D487,$B$4:B487,B487,$C$4:C487,"Sale"),0)</f>
        <v>0</v>
      </c>
    </row>
    <row r="488" spans="1:14" x14ac:dyDescent="0.2">
      <c r="A488" s="152"/>
      <c r="B488" s="132"/>
      <c r="C488" s="132"/>
      <c r="D488" s="277"/>
      <c r="E488" s="132"/>
      <c r="F488" s="170"/>
      <c r="G488" s="150"/>
      <c r="H488" s="152"/>
      <c r="I488" s="204"/>
      <c r="J488" s="285"/>
      <c r="K488" s="251"/>
      <c r="L488" s="133" t="str">
        <f>IF(AND(I488&lt;&gt;"",ISERROR(IF(ISERROR(VLOOKUP(I488*1,Summary!$C$8:$C$153,1,0)),VLOOKUP(I488,Summary!$C$8:$C$153,1,0),VLOOKUP(I488*1,Summary!$C$8:$C$153,1,0)))),"Add account Number to Summary","")</f>
        <v/>
      </c>
      <c r="M488" s="131" t="str">
        <f t="shared" si="7"/>
        <v/>
      </c>
      <c r="N488" s="287">
        <f>IF(C488="Sale",SUMIFS($D$4:D488,$B$4:B488,B488,$C$4:C488,"")+SUMIFS($D$4:D488,$B$4:B488,B488,$C$4:C488,"Purch")-SUMIFS($D$4:D488,$B$4:B488,B488,$C$4:C488,"Sale"),0)</f>
        <v>0</v>
      </c>
    </row>
    <row r="489" spans="1:14" x14ac:dyDescent="0.2">
      <c r="A489" s="152"/>
      <c r="B489" s="132"/>
      <c r="C489" s="132"/>
      <c r="D489" s="277"/>
      <c r="E489" s="132"/>
      <c r="F489" s="170"/>
      <c r="G489" s="150"/>
      <c r="H489" s="152"/>
      <c r="I489" s="204"/>
      <c r="J489" s="285"/>
      <c r="K489" s="251"/>
      <c r="L489" s="133" t="str">
        <f>IF(AND(I489&lt;&gt;"",ISERROR(IF(ISERROR(VLOOKUP(I489*1,Summary!$C$8:$C$153,1,0)),VLOOKUP(I489,Summary!$C$8:$C$153,1,0),VLOOKUP(I489*1,Summary!$C$8:$C$153,1,0)))),"Add account Number to Summary","")</f>
        <v/>
      </c>
      <c r="M489" s="131" t="str">
        <f t="shared" si="7"/>
        <v/>
      </c>
      <c r="N489" s="287">
        <f>IF(C489="Sale",SUMIFS($D$4:D489,$B$4:B489,B489,$C$4:C489,"")+SUMIFS($D$4:D489,$B$4:B489,B489,$C$4:C489,"Purch")-SUMIFS($D$4:D489,$B$4:B489,B489,$C$4:C489,"Sale"),0)</f>
        <v>0</v>
      </c>
    </row>
    <row r="490" spans="1:14" x14ac:dyDescent="0.2">
      <c r="A490" s="152"/>
      <c r="B490" s="132"/>
      <c r="C490" s="132"/>
      <c r="D490" s="277"/>
      <c r="E490" s="132"/>
      <c r="F490" s="170"/>
      <c r="G490" s="150"/>
      <c r="H490" s="152"/>
      <c r="I490" s="204"/>
      <c r="J490" s="285"/>
      <c r="K490" s="251"/>
      <c r="L490" s="133" t="str">
        <f>IF(AND(I490&lt;&gt;"",ISERROR(IF(ISERROR(VLOOKUP(I490*1,Summary!$C$8:$C$153,1,0)),VLOOKUP(I490,Summary!$C$8:$C$153,1,0),VLOOKUP(I490*1,Summary!$C$8:$C$153,1,0)))),"Add account Number to Summary","")</f>
        <v/>
      </c>
      <c r="M490" s="131" t="str">
        <f t="shared" si="7"/>
        <v/>
      </c>
      <c r="N490" s="287">
        <f>IF(C490="Sale",SUMIFS($D$4:D490,$B$4:B490,B490,$C$4:C490,"")+SUMIFS($D$4:D490,$B$4:B490,B490,$C$4:C490,"Purch")-SUMIFS($D$4:D490,$B$4:B490,B490,$C$4:C490,"Sale"),0)</f>
        <v>0</v>
      </c>
    </row>
    <row r="491" spans="1:14" x14ac:dyDescent="0.2">
      <c r="A491" s="152"/>
      <c r="B491" s="132"/>
      <c r="C491" s="132"/>
      <c r="D491" s="277"/>
      <c r="E491" s="132"/>
      <c r="F491" s="170"/>
      <c r="G491" s="150"/>
      <c r="H491" s="152"/>
      <c r="I491" s="204"/>
      <c r="J491" s="285"/>
      <c r="K491" s="251"/>
      <c r="L491" s="133" t="str">
        <f>IF(AND(I491&lt;&gt;"",ISERROR(IF(ISERROR(VLOOKUP(I491*1,Summary!$C$8:$C$153,1,0)),VLOOKUP(I491,Summary!$C$8:$C$153,1,0),VLOOKUP(I491*1,Summary!$C$8:$C$153,1,0)))),"Add account Number to Summary","")</f>
        <v/>
      </c>
      <c r="M491" s="131" t="str">
        <f t="shared" si="7"/>
        <v/>
      </c>
      <c r="N491" s="287">
        <f>IF(C491="Sale",SUMIFS($D$4:D491,$B$4:B491,B491,$C$4:C491,"")+SUMIFS($D$4:D491,$B$4:B491,B491,$C$4:C491,"Purch")-SUMIFS($D$4:D491,$B$4:B491,B491,$C$4:C491,"Sale"),0)</f>
        <v>0</v>
      </c>
    </row>
    <row r="492" spans="1:14" x14ac:dyDescent="0.2">
      <c r="A492" s="152"/>
      <c r="B492" s="132"/>
      <c r="C492" s="132"/>
      <c r="D492" s="277"/>
      <c r="E492" s="132"/>
      <c r="F492" s="170"/>
      <c r="G492" s="150"/>
      <c r="H492" s="152"/>
      <c r="I492" s="204"/>
      <c r="J492" s="285"/>
      <c r="K492" s="251"/>
      <c r="L492" s="133" t="str">
        <f>IF(AND(I492&lt;&gt;"",ISERROR(IF(ISERROR(VLOOKUP(I492*1,Summary!$C$8:$C$153,1,0)),VLOOKUP(I492,Summary!$C$8:$C$153,1,0),VLOOKUP(I492*1,Summary!$C$8:$C$153,1,0)))),"Add account Number to Summary","")</f>
        <v/>
      </c>
      <c r="M492" s="131" t="str">
        <f t="shared" ref="M492:M555" si="8">IF(K492="Yes",IF(YEAR(A492)&lt;&gt;YEAR(date),"Check Date",""),"")</f>
        <v/>
      </c>
      <c r="N492" s="287">
        <f>IF(C492="Sale",SUMIFS($D$4:D492,$B$4:B492,B492,$C$4:C492,"")+SUMIFS($D$4:D492,$B$4:B492,B492,$C$4:C492,"Purch")-SUMIFS($D$4:D492,$B$4:B492,B492,$C$4:C492,"Sale"),0)</f>
        <v>0</v>
      </c>
    </row>
    <row r="493" spans="1:14" x14ac:dyDescent="0.2">
      <c r="A493" s="152"/>
      <c r="B493" s="132"/>
      <c r="C493" s="132"/>
      <c r="D493" s="277"/>
      <c r="E493" s="132"/>
      <c r="F493" s="170"/>
      <c r="G493" s="150"/>
      <c r="H493" s="152"/>
      <c r="I493" s="204"/>
      <c r="J493" s="285"/>
      <c r="K493" s="251"/>
      <c r="L493" s="133" t="str">
        <f>IF(AND(I493&lt;&gt;"",ISERROR(IF(ISERROR(VLOOKUP(I493*1,Summary!$C$8:$C$153,1,0)),VLOOKUP(I493,Summary!$C$8:$C$153,1,0),VLOOKUP(I493*1,Summary!$C$8:$C$153,1,0)))),"Add account Number to Summary","")</f>
        <v/>
      </c>
      <c r="M493" s="131" t="str">
        <f t="shared" si="8"/>
        <v/>
      </c>
      <c r="N493" s="287">
        <f>IF(C493="Sale",SUMIFS($D$4:D493,$B$4:B493,B493,$C$4:C493,"")+SUMIFS($D$4:D493,$B$4:B493,B493,$C$4:C493,"Purch")-SUMIFS($D$4:D493,$B$4:B493,B493,$C$4:C493,"Sale"),0)</f>
        <v>0</v>
      </c>
    </row>
    <row r="494" spans="1:14" x14ac:dyDescent="0.2">
      <c r="A494" s="152"/>
      <c r="B494" s="132"/>
      <c r="C494" s="132"/>
      <c r="D494" s="277"/>
      <c r="E494" s="132"/>
      <c r="F494" s="170"/>
      <c r="G494" s="150"/>
      <c r="H494" s="152"/>
      <c r="I494" s="204"/>
      <c r="J494" s="285"/>
      <c r="K494" s="251"/>
      <c r="L494" s="133" t="str">
        <f>IF(AND(I494&lt;&gt;"",ISERROR(IF(ISERROR(VLOOKUP(I494*1,Summary!$C$8:$C$153,1,0)),VLOOKUP(I494,Summary!$C$8:$C$153,1,0),VLOOKUP(I494*1,Summary!$C$8:$C$153,1,0)))),"Add account Number to Summary","")</f>
        <v/>
      </c>
      <c r="M494" s="131" t="str">
        <f t="shared" si="8"/>
        <v/>
      </c>
      <c r="N494" s="287">
        <f>IF(C494="Sale",SUMIFS($D$4:D494,$B$4:B494,B494,$C$4:C494,"")+SUMIFS($D$4:D494,$B$4:B494,B494,$C$4:C494,"Purch")-SUMIFS($D$4:D494,$B$4:B494,B494,$C$4:C494,"Sale"),0)</f>
        <v>0</v>
      </c>
    </row>
    <row r="495" spans="1:14" x14ac:dyDescent="0.2">
      <c r="A495" s="152"/>
      <c r="B495" s="132"/>
      <c r="C495" s="132"/>
      <c r="D495" s="277"/>
      <c r="E495" s="132"/>
      <c r="F495" s="170"/>
      <c r="G495" s="150"/>
      <c r="H495" s="152"/>
      <c r="I495" s="204"/>
      <c r="J495" s="285"/>
      <c r="K495" s="251"/>
      <c r="L495" s="133" t="str">
        <f>IF(AND(I495&lt;&gt;"",ISERROR(IF(ISERROR(VLOOKUP(I495*1,Summary!$C$8:$C$153,1,0)),VLOOKUP(I495,Summary!$C$8:$C$153,1,0),VLOOKUP(I495*1,Summary!$C$8:$C$153,1,0)))),"Add account Number to Summary","")</f>
        <v/>
      </c>
      <c r="M495" s="131" t="str">
        <f t="shared" si="8"/>
        <v/>
      </c>
      <c r="N495" s="287">
        <f>IF(C495="Sale",SUMIFS($D$4:D495,$B$4:B495,B495,$C$4:C495,"")+SUMIFS($D$4:D495,$B$4:B495,B495,$C$4:C495,"Purch")-SUMIFS($D$4:D495,$B$4:B495,B495,$C$4:C495,"Sale"),0)</f>
        <v>0</v>
      </c>
    </row>
    <row r="496" spans="1:14" x14ac:dyDescent="0.2">
      <c r="A496" s="152"/>
      <c r="B496" s="132"/>
      <c r="C496" s="132"/>
      <c r="D496" s="277"/>
      <c r="E496" s="132"/>
      <c r="F496" s="170"/>
      <c r="G496" s="150"/>
      <c r="H496" s="152"/>
      <c r="I496" s="204"/>
      <c r="J496" s="285"/>
      <c r="K496" s="251"/>
      <c r="L496" s="133" t="str">
        <f>IF(AND(I496&lt;&gt;"",ISERROR(IF(ISERROR(VLOOKUP(I496*1,Summary!$C$8:$C$153,1,0)),VLOOKUP(I496,Summary!$C$8:$C$153,1,0),VLOOKUP(I496*1,Summary!$C$8:$C$153,1,0)))),"Add account Number to Summary","")</f>
        <v/>
      </c>
      <c r="M496" s="131" t="str">
        <f t="shared" si="8"/>
        <v/>
      </c>
      <c r="N496" s="287">
        <f>IF(C496="Sale",SUMIFS($D$4:D496,$B$4:B496,B496,$C$4:C496,"")+SUMIFS($D$4:D496,$B$4:B496,B496,$C$4:C496,"Purch")-SUMIFS($D$4:D496,$B$4:B496,B496,$C$4:C496,"Sale"),0)</f>
        <v>0</v>
      </c>
    </row>
    <row r="497" spans="1:14" x14ac:dyDescent="0.2">
      <c r="A497" s="152"/>
      <c r="B497" s="132"/>
      <c r="C497" s="132"/>
      <c r="D497" s="277"/>
      <c r="E497" s="132"/>
      <c r="F497" s="170"/>
      <c r="G497" s="150"/>
      <c r="H497" s="152"/>
      <c r="I497" s="204"/>
      <c r="J497" s="285"/>
      <c r="K497" s="251"/>
      <c r="L497" s="133" t="str">
        <f>IF(AND(I497&lt;&gt;"",ISERROR(IF(ISERROR(VLOOKUP(I497*1,Summary!$C$8:$C$153,1,0)),VLOOKUP(I497,Summary!$C$8:$C$153,1,0),VLOOKUP(I497*1,Summary!$C$8:$C$153,1,0)))),"Add account Number to Summary","")</f>
        <v/>
      </c>
      <c r="M497" s="131" t="str">
        <f t="shared" si="8"/>
        <v/>
      </c>
      <c r="N497" s="287">
        <f>IF(C497="Sale",SUMIFS($D$4:D497,$B$4:B497,B497,$C$4:C497,"")+SUMIFS($D$4:D497,$B$4:B497,B497,$C$4:C497,"Purch")-SUMIFS($D$4:D497,$B$4:B497,B497,$C$4:C497,"Sale"),0)</f>
        <v>0</v>
      </c>
    </row>
    <row r="498" spans="1:14" x14ac:dyDescent="0.2">
      <c r="A498" s="152"/>
      <c r="B498" s="132"/>
      <c r="C498" s="132"/>
      <c r="D498" s="277"/>
      <c r="E498" s="132"/>
      <c r="F498" s="170"/>
      <c r="G498" s="150"/>
      <c r="H498" s="152"/>
      <c r="I498" s="204"/>
      <c r="J498" s="285"/>
      <c r="K498" s="251"/>
      <c r="L498" s="133" t="str">
        <f>IF(AND(I498&lt;&gt;"",ISERROR(IF(ISERROR(VLOOKUP(I498*1,Summary!$C$8:$C$153,1,0)),VLOOKUP(I498,Summary!$C$8:$C$153,1,0),VLOOKUP(I498*1,Summary!$C$8:$C$153,1,0)))),"Add account Number to Summary","")</f>
        <v/>
      </c>
      <c r="M498" s="131" t="str">
        <f t="shared" si="8"/>
        <v/>
      </c>
      <c r="N498" s="287">
        <f>IF(C498="Sale",SUMIFS($D$4:D498,$B$4:B498,B498,$C$4:C498,"")+SUMIFS($D$4:D498,$B$4:B498,B498,$C$4:C498,"Purch")-SUMIFS($D$4:D498,$B$4:B498,B498,$C$4:C498,"Sale"),0)</f>
        <v>0</v>
      </c>
    </row>
    <row r="499" spans="1:14" x14ac:dyDescent="0.2">
      <c r="A499" s="152"/>
      <c r="B499" s="132"/>
      <c r="C499" s="132"/>
      <c r="D499" s="277"/>
      <c r="E499" s="132"/>
      <c r="F499" s="170"/>
      <c r="G499" s="150"/>
      <c r="H499" s="152"/>
      <c r="I499" s="204"/>
      <c r="J499" s="285"/>
      <c r="K499" s="251"/>
      <c r="L499" s="133" t="str">
        <f>IF(AND(I499&lt;&gt;"",ISERROR(IF(ISERROR(VLOOKUP(I499*1,Summary!$C$8:$C$153,1,0)),VLOOKUP(I499,Summary!$C$8:$C$153,1,0),VLOOKUP(I499*1,Summary!$C$8:$C$153,1,0)))),"Add account Number to Summary","")</f>
        <v/>
      </c>
      <c r="M499" s="131" t="str">
        <f t="shared" si="8"/>
        <v/>
      </c>
      <c r="N499" s="287">
        <f>IF(C499="Sale",SUMIFS($D$4:D499,$B$4:B499,B499,$C$4:C499,"")+SUMIFS($D$4:D499,$B$4:B499,B499,$C$4:C499,"Purch")-SUMIFS($D$4:D499,$B$4:B499,B499,$C$4:C499,"Sale"),0)</f>
        <v>0</v>
      </c>
    </row>
    <row r="500" spans="1:14" x14ac:dyDescent="0.2">
      <c r="A500" s="152"/>
      <c r="B500" s="132"/>
      <c r="C500" s="132"/>
      <c r="D500" s="277"/>
      <c r="E500" s="132"/>
      <c r="F500" s="170"/>
      <c r="G500" s="150"/>
      <c r="H500" s="152"/>
      <c r="I500" s="204"/>
      <c r="J500" s="285"/>
      <c r="K500" s="251"/>
      <c r="L500" s="133" t="str">
        <f>IF(AND(I500&lt;&gt;"",ISERROR(IF(ISERROR(VLOOKUP(I500*1,Summary!$C$8:$C$153,1,0)),VLOOKUP(I500,Summary!$C$8:$C$153,1,0),VLOOKUP(I500*1,Summary!$C$8:$C$153,1,0)))),"Add account Number to Summary","")</f>
        <v/>
      </c>
      <c r="M500" s="131" t="str">
        <f t="shared" si="8"/>
        <v/>
      </c>
      <c r="N500" s="287">
        <f>IF(C500="Sale",SUMIFS($D$4:D500,$B$4:B500,B500,$C$4:C500,"")+SUMIFS($D$4:D500,$B$4:B500,B500,$C$4:C500,"Purch")-SUMIFS($D$4:D500,$B$4:B500,B500,$C$4:C500,"Sale"),0)</f>
        <v>0</v>
      </c>
    </row>
    <row r="501" spans="1:14" x14ac:dyDescent="0.2">
      <c r="A501" s="152"/>
      <c r="B501" s="132"/>
      <c r="C501" s="132"/>
      <c r="D501" s="277"/>
      <c r="E501" s="132"/>
      <c r="F501" s="170"/>
      <c r="G501" s="150"/>
      <c r="H501" s="152"/>
      <c r="I501" s="204"/>
      <c r="J501" s="285"/>
      <c r="K501" s="251"/>
      <c r="L501" s="133" t="str">
        <f>IF(AND(I501&lt;&gt;"",ISERROR(IF(ISERROR(VLOOKUP(I501*1,Summary!$C$8:$C$153,1,0)),VLOOKUP(I501,Summary!$C$8:$C$153,1,0),VLOOKUP(I501*1,Summary!$C$8:$C$153,1,0)))),"Add account Number to Summary","")</f>
        <v/>
      </c>
      <c r="M501" s="131" t="str">
        <f t="shared" si="8"/>
        <v/>
      </c>
      <c r="N501" s="287">
        <f>IF(C501="Sale",SUMIFS($D$4:D501,$B$4:B501,B501,$C$4:C501,"")+SUMIFS($D$4:D501,$B$4:B501,B501,$C$4:C501,"Purch")-SUMIFS($D$4:D501,$B$4:B501,B501,$C$4:C501,"Sale"),0)</f>
        <v>0</v>
      </c>
    </row>
    <row r="502" spans="1:14" x14ac:dyDescent="0.2">
      <c r="A502" s="152"/>
      <c r="B502" s="132"/>
      <c r="C502" s="132"/>
      <c r="D502" s="277"/>
      <c r="E502" s="132"/>
      <c r="F502" s="170"/>
      <c r="G502" s="150"/>
      <c r="H502" s="152"/>
      <c r="I502" s="204"/>
      <c r="J502" s="285"/>
      <c r="K502" s="251"/>
      <c r="L502" s="133" t="str">
        <f>IF(AND(I502&lt;&gt;"",ISERROR(IF(ISERROR(VLOOKUP(I502*1,Summary!$C$8:$C$153,1,0)),VLOOKUP(I502,Summary!$C$8:$C$153,1,0),VLOOKUP(I502*1,Summary!$C$8:$C$153,1,0)))),"Add account Number to Summary","")</f>
        <v/>
      </c>
      <c r="M502" s="131" t="str">
        <f t="shared" si="8"/>
        <v/>
      </c>
      <c r="N502" s="287">
        <f>IF(C502="Sale",SUMIFS($D$4:D502,$B$4:B502,B502,$C$4:C502,"")+SUMIFS($D$4:D502,$B$4:B502,B502,$C$4:C502,"Purch")-SUMIFS($D$4:D502,$B$4:B502,B502,$C$4:C502,"Sale"),0)</f>
        <v>0</v>
      </c>
    </row>
    <row r="503" spans="1:14" x14ac:dyDescent="0.2">
      <c r="A503" s="152"/>
      <c r="B503" s="132"/>
      <c r="C503" s="132"/>
      <c r="D503" s="277"/>
      <c r="E503" s="132"/>
      <c r="F503" s="170"/>
      <c r="G503" s="150"/>
      <c r="H503" s="152"/>
      <c r="I503" s="204"/>
      <c r="J503" s="285"/>
      <c r="K503" s="251"/>
      <c r="L503" s="133" t="str">
        <f>IF(AND(I503&lt;&gt;"",ISERROR(IF(ISERROR(VLOOKUP(I503*1,Summary!$C$8:$C$153,1,0)),VLOOKUP(I503,Summary!$C$8:$C$153,1,0),VLOOKUP(I503*1,Summary!$C$8:$C$153,1,0)))),"Add account Number to Summary","")</f>
        <v/>
      </c>
      <c r="M503" s="131" t="str">
        <f t="shared" si="8"/>
        <v/>
      </c>
      <c r="N503" s="287">
        <f>IF(C503="Sale",SUMIFS($D$4:D503,$B$4:B503,B503,$C$4:C503,"")+SUMIFS($D$4:D503,$B$4:B503,B503,$C$4:C503,"Purch")-SUMIFS($D$4:D503,$B$4:B503,B503,$C$4:C503,"Sale"),0)</f>
        <v>0</v>
      </c>
    </row>
    <row r="504" spans="1:14" x14ac:dyDescent="0.2">
      <c r="A504" s="152"/>
      <c r="B504" s="132"/>
      <c r="C504" s="132"/>
      <c r="D504" s="277"/>
      <c r="E504" s="132"/>
      <c r="F504" s="170"/>
      <c r="G504" s="150"/>
      <c r="H504" s="152"/>
      <c r="I504" s="204"/>
      <c r="J504" s="285"/>
      <c r="K504" s="251"/>
      <c r="L504" s="133" t="str">
        <f>IF(AND(I504&lt;&gt;"",ISERROR(IF(ISERROR(VLOOKUP(I504*1,Summary!$C$8:$C$153,1,0)),VLOOKUP(I504,Summary!$C$8:$C$153,1,0),VLOOKUP(I504*1,Summary!$C$8:$C$153,1,0)))),"Add account Number to Summary","")</f>
        <v/>
      </c>
      <c r="M504" s="131" t="str">
        <f t="shared" si="8"/>
        <v/>
      </c>
      <c r="N504" s="287">
        <f>IF(C504="Sale",SUMIFS($D$4:D504,$B$4:B504,B504,$C$4:C504,"")+SUMIFS($D$4:D504,$B$4:B504,B504,$C$4:C504,"Purch")-SUMIFS($D$4:D504,$B$4:B504,B504,$C$4:C504,"Sale"),0)</f>
        <v>0</v>
      </c>
    </row>
    <row r="505" spans="1:14" x14ac:dyDescent="0.2">
      <c r="A505" s="152"/>
      <c r="B505" s="132"/>
      <c r="C505" s="132"/>
      <c r="D505" s="277"/>
      <c r="E505" s="132"/>
      <c r="F505" s="170"/>
      <c r="G505" s="150"/>
      <c r="H505" s="152"/>
      <c r="I505" s="204"/>
      <c r="J505" s="285"/>
      <c r="K505" s="251"/>
      <c r="L505" s="133" t="str">
        <f>IF(AND(I505&lt;&gt;"",ISERROR(IF(ISERROR(VLOOKUP(I505*1,Summary!$C$8:$C$153,1,0)),VLOOKUP(I505,Summary!$C$8:$C$153,1,0),VLOOKUP(I505*1,Summary!$C$8:$C$153,1,0)))),"Add account Number to Summary","")</f>
        <v/>
      </c>
      <c r="M505" s="131" t="str">
        <f t="shared" si="8"/>
        <v/>
      </c>
      <c r="N505" s="287">
        <f>IF(C505="Sale",SUMIFS($D$4:D505,$B$4:B505,B505,$C$4:C505,"")+SUMIFS($D$4:D505,$B$4:B505,B505,$C$4:C505,"Purch")-SUMIFS($D$4:D505,$B$4:B505,B505,$C$4:C505,"Sale"),0)</f>
        <v>0</v>
      </c>
    </row>
    <row r="506" spans="1:14" x14ac:dyDescent="0.2">
      <c r="A506" s="152"/>
      <c r="B506" s="132"/>
      <c r="C506" s="132"/>
      <c r="D506" s="277"/>
      <c r="E506" s="132"/>
      <c r="F506" s="170"/>
      <c r="G506" s="150"/>
      <c r="H506" s="152"/>
      <c r="I506" s="204"/>
      <c r="J506" s="285"/>
      <c r="K506" s="251"/>
      <c r="L506" s="133" t="str">
        <f>IF(AND(I506&lt;&gt;"",ISERROR(IF(ISERROR(VLOOKUP(I506*1,Summary!$C$8:$C$153,1,0)),VLOOKUP(I506,Summary!$C$8:$C$153,1,0),VLOOKUP(I506*1,Summary!$C$8:$C$153,1,0)))),"Add account Number to Summary","")</f>
        <v/>
      </c>
      <c r="M506" s="131" t="str">
        <f t="shared" si="8"/>
        <v/>
      </c>
      <c r="N506" s="287">
        <f>IF(C506="Sale",SUMIFS($D$4:D506,$B$4:B506,B506,$C$4:C506,"")+SUMIFS($D$4:D506,$B$4:B506,B506,$C$4:C506,"Purch")-SUMIFS($D$4:D506,$B$4:B506,B506,$C$4:C506,"Sale"),0)</f>
        <v>0</v>
      </c>
    </row>
    <row r="507" spans="1:14" x14ac:dyDescent="0.2">
      <c r="A507" s="152"/>
      <c r="B507" s="132"/>
      <c r="C507" s="132"/>
      <c r="D507" s="277"/>
      <c r="E507" s="132"/>
      <c r="F507" s="170"/>
      <c r="G507" s="150"/>
      <c r="H507" s="152"/>
      <c r="I507" s="204"/>
      <c r="J507" s="285"/>
      <c r="K507" s="251"/>
      <c r="L507" s="133" t="str">
        <f>IF(AND(I507&lt;&gt;"",ISERROR(IF(ISERROR(VLOOKUP(I507*1,Summary!$C$8:$C$153,1,0)),VLOOKUP(I507,Summary!$C$8:$C$153,1,0),VLOOKUP(I507*1,Summary!$C$8:$C$153,1,0)))),"Add account Number to Summary","")</f>
        <v/>
      </c>
      <c r="M507" s="131" t="str">
        <f t="shared" si="8"/>
        <v/>
      </c>
      <c r="N507" s="287">
        <f>IF(C507="Sale",SUMIFS($D$4:D507,$B$4:B507,B507,$C$4:C507,"")+SUMIFS($D$4:D507,$B$4:B507,B507,$C$4:C507,"Purch")-SUMIFS($D$4:D507,$B$4:B507,B507,$C$4:C507,"Sale"),0)</f>
        <v>0</v>
      </c>
    </row>
    <row r="508" spans="1:14" x14ac:dyDescent="0.2">
      <c r="A508" s="152"/>
      <c r="B508" s="132"/>
      <c r="C508" s="132"/>
      <c r="D508" s="277"/>
      <c r="E508" s="132"/>
      <c r="F508" s="170"/>
      <c r="G508" s="150"/>
      <c r="H508" s="152"/>
      <c r="I508" s="204"/>
      <c r="J508" s="285"/>
      <c r="K508" s="251"/>
      <c r="L508" s="133" t="str">
        <f>IF(AND(I508&lt;&gt;"",ISERROR(IF(ISERROR(VLOOKUP(I508*1,Summary!$C$8:$C$153,1,0)),VLOOKUP(I508,Summary!$C$8:$C$153,1,0),VLOOKUP(I508*1,Summary!$C$8:$C$153,1,0)))),"Add account Number to Summary","")</f>
        <v/>
      </c>
      <c r="M508" s="131" t="str">
        <f t="shared" si="8"/>
        <v/>
      </c>
      <c r="N508" s="287">
        <f>IF(C508="Sale",SUMIFS($D$4:D508,$B$4:B508,B508,$C$4:C508,"")+SUMIFS($D$4:D508,$B$4:B508,B508,$C$4:C508,"Purch")-SUMIFS($D$4:D508,$B$4:B508,B508,$C$4:C508,"Sale"),0)</f>
        <v>0</v>
      </c>
    </row>
    <row r="509" spans="1:14" x14ac:dyDescent="0.2">
      <c r="A509" s="152"/>
      <c r="B509" s="132"/>
      <c r="C509" s="132"/>
      <c r="D509" s="277"/>
      <c r="E509" s="132"/>
      <c r="F509" s="170"/>
      <c r="G509" s="150"/>
      <c r="H509" s="152"/>
      <c r="I509" s="204"/>
      <c r="J509" s="285"/>
      <c r="K509" s="251"/>
      <c r="L509" s="133" t="str">
        <f>IF(AND(I509&lt;&gt;"",ISERROR(IF(ISERROR(VLOOKUP(I509*1,Summary!$C$8:$C$153,1,0)),VLOOKUP(I509,Summary!$C$8:$C$153,1,0),VLOOKUP(I509*1,Summary!$C$8:$C$153,1,0)))),"Add account Number to Summary","")</f>
        <v/>
      </c>
      <c r="M509" s="131" t="str">
        <f t="shared" si="8"/>
        <v/>
      </c>
      <c r="N509" s="287">
        <f>IF(C509="Sale",SUMIFS($D$4:D509,$B$4:B509,B509,$C$4:C509,"")+SUMIFS($D$4:D509,$B$4:B509,B509,$C$4:C509,"Purch")-SUMIFS($D$4:D509,$B$4:B509,B509,$C$4:C509,"Sale"),0)</f>
        <v>0</v>
      </c>
    </row>
    <row r="510" spans="1:14" x14ac:dyDescent="0.2">
      <c r="A510" s="152"/>
      <c r="B510" s="132"/>
      <c r="C510" s="132"/>
      <c r="D510" s="277"/>
      <c r="E510" s="132"/>
      <c r="F510" s="170"/>
      <c r="G510" s="150"/>
      <c r="H510" s="152"/>
      <c r="I510" s="204"/>
      <c r="J510" s="285"/>
      <c r="K510" s="251"/>
      <c r="L510" s="133" t="str">
        <f>IF(AND(I510&lt;&gt;"",ISERROR(IF(ISERROR(VLOOKUP(I510*1,Summary!$C$8:$C$153,1,0)),VLOOKUP(I510,Summary!$C$8:$C$153,1,0),VLOOKUP(I510*1,Summary!$C$8:$C$153,1,0)))),"Add account Number to Summary","")</f>
        <v/>
      </c>
      <c r="M510" s="131" t="str">
        <f t="shared" si="8"/>
        <v/>
      </c>
      <c r="N510" s="287">
        <f>IF(C510="Sale",SUMIFS($D$4:D510,$B$4:B510,B510,$C$4:C510,"")+SUMIFS($D$4:D510,$B$4:B510,B510,$C$4:C510,"Purch")-SUMIFS($D$4:D510,$B$4:B510,B510,$C$4:C510,"Sale"),0)</f>
        <v>0</v>
      </c>
    </row>
    <row r="511" spans="1:14" x14ac:dyDescent="0.2">
      <c r="A511" s="152"/>
      <c r="B511" s="132"/>
      <c r="C511" s="132"/>
      <c r="D511" s="277"/>
      <c r="E511" s="132"/>
      <c r="F511" s="170"/>
      <c r="G511" s="150"/>
      <c r="H511" s="152"/>
      <c r="I511" s="204"/>
      <c r="J511" s="285"/>
      <c r="K511" s="251"/>
      <c r="L511" s="133" t="str">
        <f>IF(AND(I511&lt;&gt;"",ISERROR(IF(ISERROR(VLOOKUP(I511*1,Summary!$C$8:$C$153,1,0)),VLOOKUP(I511,Summary!$C$8:$C$153,1,0),VLOOKUP(I511*1,Summary!$C$8:$C$153,1,0)))),"Add account Number to Summary","")</f>
        <v/>
      </c>
      <c r="M511" s="131" t="str">
        <f t="shared" si="8"/>
        <v/>
      </c>
      <c r="N511" s="287">
        <f>IF(C511="Sale",SUMIFS($D$4:D511,$B$4:B511,B511,$C$4:C511,"")+SUMIFS($D$4:D511,$B$4:B511,B511,$C$4:C511,"Purch")-SUMIFS($D$4:D511,$B$4:B511,B511,$C$4:C511,"Sale"),0)</f>
        <v>0</v>
      </c>
    </row>
    <row r="512" spans="1:14" x14ac:dyDescent="0.2">
      <c r="A512" s="152"/>
      <c r="B512" s="132"/>
      <c r="C512" s="132"/>
      <c r="D512" s="277"/>
      <c r="E512" s="132"/>
      <c r="F512" s="170"/>
      <c r="G512" s="150"/>
      <c r="H512" s="152"/>
      <c r="I512" s="204"/>
      <c r="J512" s="285"/>
      <c r="K512" s="251"/>
      <c r="L512" s="133" t="str">
        <f>IF(AND(I512&lt;&gt;"",ISERROR(IF(ISERROR(VLOOKUP(I512*1,Summary!$C$8:$C$153,1,0)),VLOOKUP(I512,Summary!$C$8:$C$153,1,0),VLOOKUP(I512*1,Summary!$C$8:$C$153,1,0)))),"Add account Number to Summary","")</f>
        <v/>
      </c>
      <c r="M512" s="131" t="str">
        <f t="shared" si="8"/>
        <v/>
      </c>
      <c r="N512" s="287">
        <f>IF(C512="Sale",SUMIFS($D$4:D512,$B$4:B512,B512,$C$4:C512,"")+SUMIFS($D$4:D512,$B$4:B512,B512,$C$4:C512,"Purch")-SUMIFS($D$4:D512,$B$4:B512,B512,$C$4:C512,"Sale"),0)</f>
        <v>0</v>
      </c>
    </row>
    <row r="513" spans="1:14" x14ac:dyDescent="0.2">
      <c r="A513" s="152"/>
      <c r="B513" s="132"/>
      <c r="C513" s="132"/>
      <c r="D513" s="277"/>
      <c r="E513" s="132"/>
      <c r="F513" s="170"/>
      <c r="G513" s="150"/>
      <c r="H513" s="152"/>
      <c r="I513" s="204"/>
      <c r="J513" s="285"/>
      <c r="K513" s="251"/>
      <c r="L513" s="133" t="str">
        <f>IF(AND(I513&lt;&gt;"",ISERROR(IF(ISERROR(VLOOKUP(I513*1,Summary!$C$8:$C$153,1,0)),VLOOKUP(I513,Summary!$C$8:$C$153,1,0),VLOOKUP(I513*1,Summary!$C$8:$C$153,1,0)))),"Add account Number to Summary","")</f>
        <v/>
      </c>
      <c r="M513" s="131" t="str">
        <f t="shared" si="8"/>
        <v/>
      </c>
      <c r="N513" s="287">
        <f>IF(C513="Sale",SUMIFS($D$4:D513,$B$4:B513,B513,$C$4:C513,"")+SUMIFS($D$4:D513,$B$4:B513,B513,$C$4:C513,"Purch")-SUMIFS($D$4:D513,$B$4:B513,B513,$C$4:C513,"Sale"),0)</f>
        <v>0</v>
      </c>
    </row>
    <row r="514" spans="1:14" x14ac:dyDescent="0.2">
      <c r="A514" s="152"/>
      <c r="B514" s="132"/>
      <c r="C514" s="132"/>
      <c r="D514" s="277"/>
      <c r="E514" s="132"/>
      <c r="F514" s="170"/>
      <c r="G514" s="150"/>
      <c r="H514" s="152"/>
      <c r="I514" s="204"/>
      <c r="J514" s="285"/>
      <c r="K514" s="251"/>
      <c r="L514" s="133" t="str">
        <f>IF(AND(I514&lt;&gt;"",ISERROR(IF(ISERROR(VLOOKUP(I514*1,Summary!$C$8:$C$153,1,0)),VLOOKUP(I514,Summary!$C$8:$C$153,1,0),VLOOKUP(I514*1,Summary!$C$8:$C$153,1,0)))),"Add account Number to Summary","")</f>
        <v/>
      </c>
      <c r="M514" s="131" t="str">
        <f t="shared" si="8"/>
        <v/>
      </c>
      <c r="N514" s="287">
        <f>IF(C514="Sale",SUMIFS($D$4:D514,$B$4:B514,B514,$C$4:C514,"")+SUMIFS($D$4:D514,$B$4:B514,B514,$C$4:C514,"Purch")-SUMIFS($D$4:D514,$B$4:B514,B514,$C$4:C514,"Sale"),0)</f>
        <v>0</v>
      </c>
    </row>
    <row r="515" spans="1:14" x14ac:dyDescent="0.2">
      <c r="A515" s="152"/>
      <c r="B515" s="132"/>
      <c r="C515" s="132"/>
      <c r="D515" s="277"/>
      <c r="E515" s="132"/>
      <c r="F515" s="170"/>
      <c r="G515" s="150"/>
      <c r="H515" s="152"/>
      <c r="I515" s="204"/>
      <c r="J515" s="285"/>
      <c r="K515" s="251"/>
      <c r="L515" s="133" t="str">
        <f>IF(AND(I515&lt;&gt;"",ISERROR(IF(ISERROR(VLOOKUP(I515*1,Summary!$C$8:$C$153,1,0)),VLOOKUP(I515,Summary!$C$8:$C$153,1,0),VLOOKUP(I515*1,Summary!$C$8:$C$153,1,0)))),"Add account Number to Summary","")</f>
        <v/>
      </c>
      <c r="M515" s="131" t="str">
        <f t="shared" si="8"/>
        <v/>
      </c>
      <c r="N515" s="287">
        <f>IF(C515="Sale",SUMIFS($D$4:D515,$B$4:B515,B515,$C$4:C515,"")+SUMIFS($D$4:D515,$B$4:B515,B515,$C$4:C515,"Purch")-SUMIFS($D$4:D515,$B$4:B515,B515,$C$4:C515,"Sale"),0)</f>
        <v>0</v>
      </c>
    </row>
    <row r="516" spans="1:14" x14ac:dyDescent="0.2">
      <c r="A516" s="152"/>
      <c r="B516" s="132"/>
      <c r="C516" s="132"/>
      <c r="D516" s="277"/>
      <c r="E516" s="132"/>
      <c r="F516" s="170"/>
      <c r="G516" s="150"/>
      <c r="H516" s="152"/>
      <c r="I516" s="204"/>
      <c r="J516" s="285"/>
      <c r="K516" s="251"/>
      <c r="L516" s="133" t="str">
        <f>IF(AND(I516&lt;&gt;"",ISERROR(IF(ISERROR(VLOOKUP(I516*1,Summary!$C$8:$C$153,1,0)),VLOOKUP(I516,Summary!$C$8:$C$153,1,0),VLOOKUP(I516*1,Summary!$C$8:$C$153,1,0)))),"Add account Number to Summary","")</f>
        <v/>
      </c>
      <c r="M516" s="131" t="str">
        <f t="shared" si="8"/>
        <v/>
      </c>
      <c r="N516" s="287">
        <f>IF(C516="Sale",SUMIFS($D$4:D516,$B$4:B516,B516,$C$4:C516,"")+SUMIFS($D$4:D516,$B$4:B516,B516,$C$4:C516,"Purch")-SUMIFS($D$4:D516,$B$4:B516,B516,$C$4:C516,"Sale"),0)</f>
        <v>0</v>
      </c>
    </row>
    <row r="517" spans="1:14" x14ac:dyDescent="0.2">
      <c r="A517" s="152"/>
      <c r="B517" s="132"/>
      <c r="C517" s="132"/>
      <c r="D517" s="277"/>
      <c r="E517" s="132"/>
      <c r="F517" s="170"/>
      <c r="G517" s="150"/>
      <c r="H517" s="152"/>
      <c r="I517" s="204"/>
      <c r="J517" s="285"/>
      <c r="K517" s="251"/>
      <c r="L517" s="133" t="str">
        <f>IF(AND(I517&lt;&gt;"",ISERROR(IF(ISERROR(VLOOKUP(I517*1,Summary!$C$8:$C$153,1,0)),VLOOKUP(I517,Summary!$C$8:$C$153,1,0),VLOOKUP(I517*1,Summary!$C$8:$C$153,1,0)))),"Add account Number to Summary","")</f>
        <v/>
      </c>
      <c r="M517" s="131" t="str">
        <f t="shared" si="8"/>
        <v/>
      </c>
      <c r="N517" s="287">
        <f>IF(C517="Sale",SUMIFS($D$4:D517,$B$4:B517,B517,$C$4:C517,"")+SUMIFS($D$4:D517,$B$4:B517,B517,$C$4:C517,"Purch")-SUMIFS($D$4:D517,$B$4:B517,B517,$C$4:C517,"Sale"),0)</f>
        <v>0</v>
      </c>
    </row>
    <row r="518" spans="1:14" x14ac:dyDescent="0.2">
      <c r="A518" s="152"/>
      <c r="B518" s="132"/>
      <c r="C518" s="132"/>
      <c r="D518" s="277"/>
      <c r="E518" s="132"/>
      <c r="F518" s="170"/>
      <c r="G518" s="150"/>
      <c r="H518" s="152"/>
      <c r="I518" s="204"/>
      <c r="J518" s="285"/>
      <c r="K518" s="251"/>
      <c r="L518" s="133" t="str">
        <f>IF(AND(I518&lt;&gt;"",ISERROR(IF(ISERROR(VLOOKUP(I518*1,Summary!$C$8:$C$153,1,0)),VLOOKUP(I518,Summary!$C$8:$C$153,1,0),VLOOKUP(I518*1,Summary!$C$8:$C$153,1,0)))),"Add account Number to Summary","")</f>
        <v/>
      </c>
      <c r="M518" s="131" t="str">
        <f t="shared" si="8"/>
        <v/>
      </c>
      <c r="N518" s="287">
        <f>IF(C518="Sale",SUMIFS($D$4:D518,$B$4:B518,B518,$C$4:C518,"")+SUMIFS($D$4:D518,$B$4:B518,B518,$C$4:C518,"Purch")-SUMIFS($D$4:D518,$B$4:B518,B518,$C$4:C518,"Sale"),0)</f>
        <v>0</v>
      </c>
    </row>
    <row r="519" spans="1:14" x14ac:dyDescent="0.2">
      <c r="A519" s="152"/>
      <c r="B519" s="132"/>
      <c r="C519" s="132"/>
      <c r="D519" s="277"/>
      <c r="E519" s="132"/>
      <c r="F519" s="170"/>
      <c r="G519" s="150"/>
      <c r="H519" s="152"/>
      <c r="I519" s="204"/>
      <c r="J519" s="285"/>
      <c r="K519" s="251"/>
      <c r="L519" s="133" t="str">
        <f>IF(AND(I519&lt;&gt;"",ISERROR(IF(ISERROR(VLOOKUP(I519*1,Summary!$C$8:$C$153,1,0)),VLOOKUP(I519,Summary!$C$8:$C$153,1,0),VLOOKUP(I519*1,Summary!$C$8:$C$153,1,0)))),"Add account Number to Summary","")</f>
        <v/>
      </c>
      <c r="M519" s="131" t="str">
        <f t="shared" si="8"/>
        <v/>
      </c>
      <c r="N519" s="287">
        <f>IF(C519="Sale",SUMIFS($D$4:D519,$B$4:B519,B519,$C$4:C519,"")+SUMIFS($D$4:D519,$B$4:B519,B519,$C$4:C519,"Purch")-SUMIFS($D$4:D519,$B$4:B519,B519,$C$4:C519,"Sale"),0)</f>
        <v>0</v>
      </c>
    </row>
    <row r="520" spans="1:14" x14ac:dyDescent="0.2">
      <c r="A520" s="152"/>
      <c r="B520" s="132"/>
      <c r="C520" s="132"/>
      <c r="D520" s="277"/>
      <c r="E520" s="132"/>
      <c r="F520" s="170"/>
      <c r="G520" s="150"/>
      <c r="H520" s="152"/>
      <c r="I520" s="204"/>
      <c r="J520" s="285"/>
      <c r="K520" s="251"/>
      <c r="L520" s="133" t="str">
        <f>IF(AND(I520&lt;&gt;"",ISERROR(IF(ISERROR(VLOOKUP(I520*1,Summary!$C$8:$C$153,1,0)),VLOOKUP(I520,Summary!$C$8:$C$153,1,0),VLOOKUP(I520*1,Summary!$C$8:$C$153,1,0)))),"Add account Number to Summary","")</f>
        <v/>
      </c>
      <c r="M520" s="131" t="str">
        <f t="shared" si="8"/>
        <v/>
      </c>
      <c r="N520" s="287">
        <f>IF(C520="Sale",SUMIFS($D$4:D520,$B$4:B520,B520,$C$4:C520,"")+SUMIFS($D$4:D520,$B$4:B520,B520,$C$4:C520,"Purch")-SUMIFS($D$4:D520,$B$4:B520,B520,$C$4:C520,"Sale"),0)</f>
        <v>0</v>
      </c>
    </row>
    <row r="521" spans="1:14" x14ac:dyDescent="0.2">
      <c r="A521" s="152"/>
      <c r="B521" s="132"/>
      <c r="C521" s="132"/>
      <c r="D521" s="277"/>
      <c r="E521" s="132"/>
      <c r="F521" s="170"/>
      <c r="G521" s="150"/>
      <c r="H521" s="152"/>
      <c r="I521" s="204"/>
      <c r="J521" s="285"/>
      <c r="K521" s="251"/>
      <c r="L521" s="133" t="str">
        <f>IF(AND(I521&lt;&gt;"",ISERROR(IF(ISERROR(VLOOKUP(I521*1,Summary!$C$8:$C$153,1,0)),VLOOKUP(I521,Summary!$C$8:$C$153,1,0),VLOOKUP(I521*1,Summary!$C$8:$C$153,1,0)))),"Add account Number to Summary","")</f>
        <v/>
      </c>
      <c r="M521" s="131" t="str">
        <f t="shared" si="8"/>
        <v/>
      </c>
      <c r="N521" s="287">
        <f>IF(C521="Sale",SUMIFS($D$4:D521,$B$4:B521,B521,$C$4:C521,"")+SUMIFS($D$4:D521,$B$4:B521,B521,$C$4:C521,"Purch")-SUMIFS($D$4:D521,$B$4:B521,B521,$C$4:C521,"Sale"),0)</f>
        <v>0</v>
      </c>
    </row>
    <row r="522" spans="1:14" x14ac:dyDescent="0.2">
      <c r="A522" s="152"/>
      <c r="B522" s="132"/>
      <c r="C522" s="132"/>
      <c r="D522" s="277"/>
      <c r="E522" s="132"/>
      <c r="F522" s="170"/>
      <c r="G522" s="150"/>
      <c r="H522" s="152"/>
      <c r="I522" s="204"/>
      <c r="J522" s="285"/>
      <c r="K522" s="251"/>
      <c r="L522" s="133" t="str">
        <f>IF(AND(I522&lt;&gt;"",ISERROR(IF(ISERROR(VLOOKUP(I522*1,Summary!$C$8:$C$153,1,0)),VLOOKUP(I522,Summary!$C$8:$C$153,1,0),VLOOKUP(I522*1,Summary!$C$8:$C$153,1,0)))),"Add account Number to Summary","")</f>
        <v/>
      </c>
      <c r="M522" s="131" t="str">
        <f t="shared" si="8"/>
        <v/>
      </c>
      <c r="N522" s="287">
        <f>IF(C522="Sale",SUMIFS($D$4:D522,$B$4:B522,B522,$C$4:C522,"")+SUMIFS($D$4:D522,$B$4:B522,B522,$C$4:C522,"Purch")-SUMIFS($D$4:D522,$B$4:B522,B522,$C$4:C522,"Sale"),0)</f>
        <v>0</v>
      </c>
    </row>
    <row r="523" spans="1:14" x14ac:dyDescent="0.2">
      <c r="A523" s="152"/>
      <c r="B523" s="132"/>
      <c r="C523" s="132"/>
      <c r="D523" s="277"/>
      <c r="E523" s="132"/>
      <c r="F523" s="170"/>
      <c r="G523" s="150"/>
      <c r="H523" s="152"/>
      <c r="I523" s="204"/>
      <c r="J523" s="285"/>
      <c r="K523" s="251"/>
      <c r="L523" s="133" t="str">
        <f>IF(AND(I523&lt;&gt;"",ISERROR(IF(ISERROR(VLOOKUP(I523*1,Summary!$C$8:$C$153,1,0)),VLOOKUP(I523,Summary!$C$8:$C$153,1,0),VLOOKUP(I523*1,Summary!$C$8:$C$153,1,0)))),"Add account Number to Summary","")</f>
        <v/>
      </c>
      <c r="M523" s="131" t="str">
        <f t="shared" si="8"/>
        <v/>
      </c>
      <c r="N523" s="287">
        <f>IF(C523="Sale",SUMIFS($D$4:D523,$B$4:B523,B523,$C$4:C523,"")+SUMIFS($D$4:D523,$B$4:B523,B523,$C$4:C523,"Purch")-SUMIFS($D$4:D523,$B$4:B523,B523,$C$4:C523,"Sale"),0)</f>
        <v>0</v>
      </c>
    </row>
    <row r="524" spans="1:14" x14ac:dyDescent="0.2">
      <c r="A524" s="152"/>
      <c r="B524" s="132"/>
      <c r="C524" s="132"/>
      <c r="D524" s="277"/>
      <c r="E524" s="132"/>
      <c r="F524" s="170"/>
      <c r="G524" s="150"/>
      <c r="H524" s="152"/>
      <c r="I524" s="204"/>
      <c r="J524" s="285"/>
      <c r="K524" s="251"/>
      <c r="L524" s="133" t="str">
        <f>IF(AND(I524&lt;&gt;"",ISERROR(IF(ISERROR(VLOOKUP(I524*1,Summary!$C$8:$C$153,1,0)),VLOOKUP(I524,Summary!$C$8:$C$153,1,0),VLOOKUP(I524*1,Summary!$C$8:$C$153,1,0)))),"Add account Number to Summary","")</f>
        <v/>
      </c>
      <c r="M524" s="131" t="str">
        <f t="shared" si="8"/>
        <v/>
      </c>
      <c r="N524" s="287">
        <f>IF(C524="Sale",SUMIFS($D$4:D524,$B$4:B524,B524,$C$4:C524,"")+SUMIFS($D$4:D524,$B$4:B524,B524,$C$4:C524,"Purch")-SUMIFS($D$4:D524,$B$4:B524,B524,$C$4:C524,"Sale"),0)</f>
        <v>0</v>
      </c>
    </row>
    <row r="525" spans="1:14" x14ac:dyDescent="0.2">
      <c r="A525" s="152"/>
      <c r="B525" s="132"/>
      <c r="C525" s="132"/>
      <c r="D525" s="277"/>
      <c r="E525" s="132"/>
      <c r="F525" s="170"/>
      <c r="G525" s="150"/>
      <c r="H525" s="152"/>
      <c r="I525" s="204"/>
      <c r="J525" s="285"/>
      <c r="K525" s="251"/>
      <c r="L525" s="133" t="str">
        <f>IF(AND(I525&lt;&gt;"",ISERROR(IF(ISERROR(VLOOKUP(I525*1,Summary!$C$8:$C$153,1,0)),VLOOKUP(I525,Summary!$C$8:$C$153,1,0),VLOOKUP(I525*1,Summary!$C$8:$C$153,1,0)))),"Add account Number to Summary","")</f>
        <v/>
      </c>
      <c r="M525" s="131" t="str">
        <f t="shared" si="8"/>
        <v/>
      </c>
      <c r="N525" s="287">
        <f>IF(C525="Sale",SUMIFS($D$4:D525,$B$4:B525,B525,$C$4:C525,"")+SUMIFS($D$4:D525,$B$4:B525,B525,$C$4:C525,"Purch")-SUMIFS($D$4:D525,$B$4:B525,B525,$C$4:C525,"Sale"),0)</f>
        <v>0</v>
      </c>
    </row>
    <row r="526" spans="1:14" x14ac:dyDescent="0.2">
      <c r="A526" s="152"/>
      <c r="B526" s="132"/>
      <c r="C526" s="132"/>
      <c r="D526" s="277"/>
      <c r="E526" s="132"/>
      <c r="F526" s="170"/>
      <c r="G526" s="150"/>
      <c r="H526" s="152"/>
      <c r="I526" s="204"/>
      <c r="J526" s="285"/>
      <c r="K526" s="251"/>
      <c r="L526" s="133" t="str">
        <f>IF(AND(I526&lt;&gt;"",ISERROR(IF(ISERROR(VLOOKUP(I526*1,Summary!$C$8:$C$153,1,0)),VLOOKUP(I526,Summary!$C$8:$C$153,1,0),VLOOKUP(I526*1,Summary!$C$8:$C$153,1,0)))),"Add account Number to Summary","")</f>
        <v/>
      </c>
      <c r="M526" s="131" t="str">
        <f t="shared" si="8"/>
        <v/>
      </c>
      <c r="N526" s="287">
        <f>IF(C526="Sale",SUMIFS($D$4:D526,$B$4:B526,B526,$C$4:C526,"")+SUMIFS($D$4:D526,$B$4:B526,B526,$C$4:C526,"Purch")-SUMIFS($D$4:D526,$B$4:B526,B526,$C$4:C526,"Sale"),0)</f>
        <v>0</v>
      </c>
    </row>
    <row r="527" spans="1:14" x14ac:dyDescent="0.2">
      <c r="A527" s="152"/>
      <c r="B527" s="132"/>
      <c r="C527" s="132"/>
      <c r="D527" s="277"/>
      <c r="E527" s="132"/>
      <c r="F527" s="170"/>
      <c r="G527" s="150"/>
      <c r="H527" s="152"/>
      <c r="I527" s="204"/>
      <c r="J527" s="285"/>
      <c r="K527" s="251"/>
      <c r="L527" s="133" t="str">
        <f>IF(AND(I527&lt;&gt;"",ISERROR(IF(ISERROR(VLOOKUP(I527*1,Summary!$C$8:$C$153,1,0)),VLOOKUP(I527,Summary!$C$8:$C$153,1,0),VLOOKUP(I527*1,Summary!$C$8:$C$153,1,0)))),"Add account Number to Summary","")</f>
        <v/>
      </c>
      <c r="M527" s="131" t="str">
        <f t="shared" si="8"/>
        <v/>
      </c>
      <c r="N527" s="287">
        <f>IF(C527="Sale",SUMIFS($D$4:D527,$B$4:B527,B527,$C$4:C527,"")+SUMIFS($D$4:D527,$B$4:B527,B527,$C$4:C527,"Purch")-SUMIFS($D$4:D527,$B$4:B527,B527,$C$4:C527,"Sale"),0)</f>
        <v>0</v>
      </c>
    </row>
    <row r="528" spans="1:14" x14ac:dyDescent="0.2">
      <c r="A528" s="152"/>
      <c r="B528" s="132"/>
      <c r="C528" s="132"/>
      <c r="D528" s="277"/>
      <c r="E528" s="132"/>
      <c r="F528" s="170"/>
      <c r="G528" s="150"/>
      <c r="H528" s="152"/>
      <c r="I528" s="204"/>
      <c r="J528" s="285"/>
      <c r="K528" s="251"/>
      <c r="L528" s="133" t="str">
        <f>IF(AND(I528&lt;&gt;"",ISERROR(IF(ISERROR(VLOOKUP(I528*1,Summary!$C$8:$C$153,1,0)),VLOOKUP(I528,Summary!$C$8:$C$153,1,0),VLOOKUP(I528*1,Summary!$C$8:$C$153,1,0)))),"Add account Number to Summary","")</f>
        <v/>
      </c>
      <c r="M528" s="131" t="str">
        <f t="shared" si="8"/>
        <v/>
      </c>
      <c r="N528" s="287">
        <f>IF(C528="Sale",SUMIFS($D$4:D528,$B$4:B528,B528,$C$4:C528,"")+SUMIFS($D$4:D528,$B$4:B528,B528,$C$4:C528,"Purch")-SUMIFS($D$4:D528,$B$4:B528,B528,$C$4:C528,"Sale"),0)</f>
        <v>0</v>
      </c>
    </row>
    <row r="529" spans="1:14" x14ac:dyDescent="0.2">
      <c r="A529" s="152"/>
      <c r="B529" s="132"/>
      <c r="C529" s="132"/>
      <c r="D529" s="277"/>
      <c r="E529" s="132"/>
      <c r="F529" s="170"/>
      <c r="G529" s="150"/>
      <c r="H529" s="152"/>
      <c r="I529" s="204"/>
      <c r="J529" s="285"/>
      <c r="K529" s="251"/>
      <c r="L529" s="133" t="str">
        <f>IF(AND(I529&lt;&gt;"",ISERROR(IF(ISERROR(VLOOKUP(I529*1,Summary!$C$8:$C$153,1,0)),VLOOKUP(I529,Summary!$C$8:$C$153,1,0),VLOOKUP(I529*1,Summary!$C$8:$C$153,1,0)))),"Add account Number to Summary","")</f>
        <v/>
      </c>
      <c r="M529" s="131" t="str">
        <f t="shared" si="8"/>
        <v/>
      </c>
      <c r="N529" s="287">
        <f>IF(C529="Sale",SUMIFS($D$4:D529,$B$4:B529,B529,$C$4:C529,"")+SUMIFS($D$4:D529,$B$4:B529,B529,$C$4:C529,"Purch")-SUMIFS($D$4:D529,$B$4:B529,B529,$C$4:C529,"Sale"),0)</f>
        <v>0</v>
      </c>
    </row>
    <row r="530" spans="1:14" x14ac:dyDescent="0.2">
      <c r="A530" s="152"/>
      <c r="B530" s="132"/>
      <c r="C530" s="132"/>
      <c r="D530" s="277"/>
      <c r="E530" s="132"/>
      <c r="F530" s="170"/>
      <c r="G530" s="150"/>
      <c r="H530" s="152"/>
      <c r="I530" s="204"/>
      <c r="J530" s="285"/>
      <c r="K530" s="251"/>
      <c r="L530" s="133" t="str">
        <f>IF(AND(I530&lt;&gt;"",ISERROR(IF(ISERROR(VLOOKUP(I530*1,Summary!$C$8:$C$153,1,0)),VLOOKUP(I530,Summary!$C$8:$C$153,1,0),VLOOKUP(I530*1,Summary!$C$8:$C$153,1,0)))),"Add account Number to Summary","")</f>
        <v/>
      </c>
      <c r="M530" s="131" t="str">
        <f t="shared" si="8"/>
        <v/>
      </c>
      <c r="N530" s="287">
        <f>IF(C530="Sale",SUMIFS($D$4:D530,$B$4:B530,B530,$C$4:C530,"")+SUMIFS($D$4:D530,$B$4:B530,B530,$C$4:C530,"Purch")-SUMIFS($D$4:D530,$B$4:B530,B530,$C$4:C530,"Sale"),0)</f>
        <v>0</v>
      </c>
    </row>
    <row r="531" spans="1:14" x14ac:dyDescent="0.2">
      <c r="A531" s="152"/>
      <c r="B531" s="132"/>
      <c r="C531" s="132"/>
      <c r="D531" s="277"/>
      <c r="E531" s="132"/>
      <c r="F531" s="170"/>
      <c r="G531" s="150"/>
      <c r="H531" s="152"/>
      <c r="I531" s="204"/>
      <c r="J531" s="285"/>
      <c r="K531" s="251"/>
      <c r="L531" s="133" t="str">
        <f>IF(AND(I531&lt;&gt;"",ISERROR(IF(ISERROR(VLOOKUP(I531*1,Summary!$C$8:$C$153,1,0)),VLOOKUP(I531,Summary!$C$8:$C$153,1,0),VLOOKUP(I531*1,Summary!$C$8:$C$153,1,0)))),"Add account Number to Summary","")</f>
        <v/>
      </c>
      <c r="M531" s="131" t="str">
        <f t="shared" si="8"/>
        <v/>
      </c>
      <c r="N531" s="287">
        <f>IF(C531="Sale",SUMIFS($D$4:D531,$B$4:B531,B531,$C$4:C531,"")+SUMIFS($D$4:D531,$B$4:B531,B531,$C$4:C531,"Purch")-SUMIFS($D$4:D531,$B$4:B531,B531,$C$4:C531,"Sale"),0)</f>
        <v>0</v>
      </c>
    </row>
    <row r="532" spans="1:14" x14ac:dyDescent="0.2">
      <c r="A532" s="152"/>
      <c r="B532" s="132"/>
      <c r="C532" s="132"/>
      <c r="D532" s="277"/>
      <c r="E532" s="132"/>
      <c r="F532" s="170"/>
      <c r="G532" s="150"/>
      <c r="H532" s="152"/>
      <c r="I532" s="204"/>
      <c r="J532" s="285"/>
      <c r="K532" s="251"/>
      <c r="L532" s="133" t="str">
        <f>IF(AND(I532&lt;&gt;"",ISERROR(IF(ISERROR(VLOOKUP(I532*1,Summary!$C$8:$C$153,1,0)),VLOOKUP(I532,Summary!$C$8:$C$153,1,0),VLOOKUP(I532*1,Summary!$C$8:$C$153,1,0)))),"Add account Number to Summary","")</f>
        <v/>
      </c>
      <c r="M532" s="131" t="str">
        <f t="shared" si="8"/>
        <v/>
      </c>
      <c r="N532" s="287">
        <f>IF(C532="Sale",SUMIFS($D$4:D532,$B$4:B532,B532,$C$4:C532,"")+SUMIFS($D$4:D532,$B$4:B532,B532,$C$4:C532,"Purch")-SUMIFS($D$4:D532,$B$4:B532,B532,$C$4:C532,"Sale"),0)</f>
        <v>0</v>
      </c>
    </row>
    <row r="533" spans="1:14" x14ac:dyDescent="0.2">
      <c r="A533" s="152"/>
      <c r="B533" s="132"/>
      <c r="C533" s="132"/>
      <c r="D533" s="277"/>
      <c r="E533" s="132"/>
      <c r="F533" s="170"/>
      <c r="G533" s="150"/>
      <c r="H533" s="152"/>
      <c r="I533" s="204"/>
      <c r="J533" s="285"/>
      <c r="K533" s="251"/>
      <c r="L533" s="133" t="str">
        <f>IF(AND(I533&lt;&gt;"",ISERROR(IF(ISERROR(VLOOKUP(I533*1,Summary!$C$8:$C$153,1,0)),VLOOKUP(I533,Summary!$C$8:$C$153,1,0),VLOOKUP(I533*1,Summary!$C$8:$C$153,1,0)))),"Add account Number to Summary","")</f>
        <v/>
      </c>
      <c r="M533" s="131" t="str">
        <f t="shared" si="8"/>
        <v/>
      </c>
      <c r="N533" s="287">
        <f>IF(C533="Sale",SUMIFS($D$4:D533,$B$4:B533,B533,$C$4:C533,"")+SUMIFS($D$4:D533,$B$4:B533,B533,$C$4:C533,"Purch")-SUMIFS($D$4:D533,$B$4:B533,B533,$C$4:C533,"Sale"),0)</f>
        <v>0</v>
      </c>
    </row>
    <row r="534" spans="1:14" x14ac:dyDescent="0.2">
      <c r="A534" s="152"/>
      <c r="B534" s="132"/>
      <c r="C534" s="132"/>
      <c r="D534" s="277"/>
      <c r="E534" s="132"/>
      <c r="F534" s="170"/>
      <c r="G534" s="150"/>
      <c r="H534" s="152"/>
      <c r="I534" s="204"/>
      <c r="J534" s="285"/>
      <c r="K534" s="251"/>
      <c r="L534" s="133" t="str">
        <f>IF(AND(I534&lt;&gt;"",ISERROR(IF(ISERROR(VLOOKUP(I534*1,Summary!$C$8:$C$153,1,0)),VLOOKUP(I534,Summary!$C$8:$C$153,1,0),VLOOKUP(I534*1,Summary!$C$8:$C$153,1,0)))),"Add account Number to Summary","")</f>
        <v/>
      </c>
      <c r="M534" s="131" t="str">
        <f t="shared" si="8"/>
        <v/>
      </c>
      <c r="N534" s="287">
        <f>IF(C534="Sale",SUMIFS($D$4:D534,$B$4:B534,B534,$C$4:C534,"")+SUMIFS($D$4:D534,$B$4:B534,B534,$C$4:C534,"Purch")-SUMIFS($D$4:D534,$B$4:B534,B534,$C$4:C534,"Sale"),0)</f>
        <v>0</v>
      </c>
    </row>
    <row r="535" spans="1:14" x14ac:dyDescent="0.2">
      <c r="A535" s="152"/>
      <c r="B535" s="132"/>
      <c r="C535" s="132"/>
      <c r="D535" s="277"/>
      <c r="E535" s="132"/>
      <c r="F535" s="170"/>
      <c r="G535" s="150"/>
      <c r="H535" s="152"/>
      <c r="I535" s="204"/>
      <c r="J535" s="285"/>
      <c r="K535" s="251"/>
      <c r="L535" s="133" t="str">
        <f>IF(AND(I535&lt;&gt;"",ISERROR(IF(ISERROR(VLOOKUP(I535*1,Summary!$C$8:$C$153,1,0)),VLOOKUP(I535,Summary!$C$8:$C$153,1,0),VLOOKUP(I535*1,Summary!$C$8:$C$153,1,0)))),"Add account Number to Summary","")</f>
        <v/>
      </c>
      <c r="M535" s="131" t="str">
        <f t="shared" si="8"/>
        <v/>
      </c>
      <c r="N535" s="287">
        <f>IF(C535="Sale",SUMIFS($D$4:D535,$B$4:B535,B535,$C$4:C535,"")+SUMIFS($D$4:D535,$B$4:B535,B535,$C$4:C535,"Purch")-SUMIFS($D$4:D535,$B$4:B535,B535,$C$4:C535,"Sale"),0)</f>
        <v>0</v>
      </c>
    </row>
    <row r="536" spans="1:14" x14ac:dyDescent="0.2">
      <c r="A536" s="152"/>
      <c r="B536" s="132"/>
      <c r="C536" s="132"/>
      <c r="D536" s="277"/>
      <c r="E536" s="132"/>
      <c r="F536" s="170"/>
      <c r="G536" s="150"/>
      <c r="H536" s="152"/>
      <c r="I536" s="204"/>
      <c r="J536" s="285"/>
      <c r="K536" s="251"/>
      <c r="L536" s="133" t="str">
        <f>IF(AND(I536&lt;&gt;"",ISERROR(IF(ISERROR(VLOOKUP(I536*1,Summary!$C$8:$C$153,1,0)),VLOOKUP(I536,Summary!$C$8:$C$153,1,0),VLOOKUP(I536*1,Summary!$C$8:$C$153,1,0)))),"Add account Number to Summary","")</f>
        <v/>
      </c>
      <c r="M536" s="131" t="str">
        <f t="shared" si="8"/>
        <v/>
      </c>
      <c r="N536" s="287">
        <f>IF(C536="Sale",SUMIFS($D$4:D536,$B$4:B536,B536,$C$4:C536,"")+SUMIFS($D$4:D536,$B$4:B536,B536,$C$4:C536,"Purch")-SUMIFS($D$4:D536,$B$4:B536,B536,$C$4:C536,"Sale"),0)</f>
        <v>0</v>
      </c>
    </row>
    <row r="537" spans="1:14" x14ac:dyDescent="0.2">
      <c r="A537" s="152"/>
      <c r="B537" s="132"/>
      <c r="C537" s="132"/>
      <c r="D537" s="277"/>
      <c r="E537" s="132"/>
      <c r="F537" s="170"/>
      <c r="G537" s="150"/>
      <c r="H537" s="152"/>
      <c r="I537" s="204"/>
      <c r="J537" s="285"/>
      <c r="K537" s="251"/>
      <c r="L537" s="133" t="str">
        <f>IF(AND(I537&lt;&gt;"",ISERROR(IF(ISERROR(VLOOKUP(I537*1,Summary!$C$8:$C$153,1,0)),VLOOKUP(I537,Summary!$C$8:$C$153,1,0),VLOOKUP(I537*1,Summary!$C$8:$C$153,1,0)))),"Add account Number to Summary","")</f>
        <v/>
      </c>
      <c r="M537" s="131" t="str">
        <f t="shared" si="8"/>
        <v/>
      </c>
      <c r="N537" s="287">
        <f>IF(C537="Sale",SUMIFS($D$4:D537,$B$4:B537,B537,$C$4:C537,"")+SUMIFS($D$4:D537,$B$4:B537,B537,$C$4:C537,"Purch")-SUMIFS($D$4:D537,$B$4:B537,B537,$C$4:C537,"Sale"),0)</f>
        <v>0</v>
      </c>
    </row>
    <row r="538" spans="1:14" x14ac:dyDescent="0.2">
      <c r="A538" s="152"/>
      <c r="B538" s="132"/>
      <c r="C538" s="132"/>
      <c r="D538" s="277"/>
      <c r="E538" s="132"/>
      <c r="F538" s="170"/>
      <c r="G538" s="150"/>
      <c r="H538" s="152"/>
      <c r="I538" s="204"/>
      <c r="J538" s="285"/>
      <c r="K538" s="251"/>
      <c r="L538" s="133" t="str">
        <f>IF(AND(I538&lt;&gt;"",ISERROR(IF(ISERROR(VLOOKUP(I538*1,Summary!$C$8:$C$153,1,0)),VLOOKUP(I538,Summary!$C$8:$C$153,1,0),VLOOKUP(I538*1,Summary!$C$8:$C$153,1,0)))),"Add account Number to Summary","")</f>
        <v/>
      </c>
      <c r="M538" s="131" t="str">
        <f t="shared" si="8"/>
        <v/>
      </c>
      <c r="N538" s="287">
        <f>IF(C538="Sale",SUMIFS($D$4:D538,$B$4:B538,B538,$C$4:C538,"")+SUMIFS($D$4:D538,$B$4:B538,B538,$C$4:C538,"Purch")-SUMIFS($D$4:D538,$B$4:B538,B538,$C$4:C538,"Sale"),0)</f>
        <v>0</v>
      </c>
    </row>
    <row r="539" spans="1:14" x14ac:dyDescent="0.2">
      <c r="A539" s="152"/>
      <c r="B539" s="132"/>
      <c r="C539" s="132"/>
      <c r="D539" s="277"/>
      <c r="E539" s="132"/>
      <c r="F539" s="170"/>
      <c r="G539" s="150"/>
      <c r="H539" s="152"/>
      <c r="I539" s="204"/>
      <c r="J539" s="285"/>
      <c r="K539" s="251"/>
      <c r="L539" s="133" t="str">
        <f>IF(AND(I539&lt;&gt;"",ISERROR(IF(ISERROR(VLOOKUP(I539*1,Summary!$C$8:$C$153,1,0)),VLOOKUP(I539,Summary!$C$8:$C$153,1,0),VLOOKUP(I539*1,Summary!$C$8:$C$153,1,0)))),"Add account Number to Summary","")</f>
        <v/>
      </c>
      <c r="M539" s="131" t="str">
        <f t="shared" si="8"/>
        <v/>
      </c>
      <c r="N539" s="287">
        <f>IF(C539="Sale",SUMIFS($D$4:D539,$B$4:B539,B539,$C$4:C539,"")+SUMIFS($D$4:D539,$B$4:B539,B539,$C$4:C539,"Purch")-SUMIFS($D$4:D539,$B$4:B539,B539,$C$4:C539,"Sale"),0)</f>
        <v>0</v>
      </c>
    </row>
    <row r="540" spans="1:14" x14ac:dyDescent="0.2">
      <c r="A540" s="152"/>
      <c r="B540" s="132"/>
      <c r="C540" s="132"/>
      <c r="D540" s="277"/>
      <c r="E540" s="132"/>
      <c r="F540" s="170"/>
      <c r="G540" s="150"/>
      <c r="H540" s="152"/>
      <c r="I540" s="204"/>
      <c r="J540" s="285"/>
      <c r="K540" s="251"/>
      <c r="L540" s="133" t="str">
        <f>IF(AND(I540&lt;&gt;"",ISERROR(IF(ISERROR(VLOOKUP(I540*1,Summary!$C$8:$C$153,1,0)),VLOOKUP(I540,Summary!$C$8:$C$153,1,0),VLOOKUP(I540*1,Summary!$C$8:$C$153,1,0)))),"Add account Number to Summary","")</f>
        <v/>
      </c>
      <c r="M540" s="131" t="str">
        <f t="shared" si="8"/>
        <v/>
      </c>
      <c r="N540" s="287">
        <f>IF(C540="Sale",SUMIFS($D$4:D540,$B$4:B540,B540,$C$4:C540,"")+SUMIFS($D$4:D540,$B$4:B540,B540,$C$4:C540,"Purch")-SUMIFS($D$4:D540,$B$4:B540,B540,$C$4:C540,"Sale"),0)</f>
        <v>0</v>
      </c>
    </row>
    <row r="541" spans="1:14" x14ac:dyDescent="0.2">
      <c r="A541" s="152"/>
      <c r="B541" s="132"/>
      <c r="C541" s="132"/>
      <c r="D541" s="277"/>
      <c r="E541" s="132"/>
      <c r="F541" s="170"/>
      <c r="G541" s="150"/>
      <c r="H541" s="152"/>
      <c r="I541" s="204"/>
      <c r="J541" s="285"/>
      <c r="K541" s="251"/>
      <c r="L541" s="133" t="str">
        <f>IF(AND(I541&lt;&gt;"",ISERROR(IF(ISERROR(VLOOKUP(I541*1,Summary!$C$8:$C$153,1,0)),VLOOKUP(I541,Summary!$C$8:$C$153,1,0),VLOOKUP(I541*1,Summary!$C$8:$C$153,1,0)))),"Add account Number to Summary","")</f>
        <v/>
      </c>
      <c r="M541" s="131" t="str">
        <f t="shared" si="8"/>
        <v/>
      </c>
      <c r="N541" s="287">
        <f>IF(C541="Sale",SUMIFS($D$4:D541,$B$4:B541,B541,$C$4:C541,"")+SUMIFS($D$4:D541,$B$4:B541,B541,$C$4:C541,"Purch")-SUMIFS($D$4:D541,$B$4:B541,B541,$C$4:C541,"Sale"),0)</f>
        <v>0</v>
      </c>
    </row>
    <row r="542" spans="1:14" x14ac:dyDescent="0.2">
      <c r="A542" s="152"/>
      <c r="B542" s="132"/>
      <c r="C542" s="132"/>
      <c r="D542" s="277"/>
      <c r="E542" s="132"/>
      <c r="F542" s="170"/>
      <c r="G542" s="150"/>
      <c r="H542" s="152"/>
      <c r="I542" s="204"/>
      <c r="J542" s="285"/>
      <c r="K542" s="251"/>
      <c r="L542" s="133" t="str">
        <f>IF(AND(I542&lt;&gt;"",ISERROR(IF(ISERROR(VLOOKUP(I542*1,Summary!$C$8:$C$153,1,0)),VLOOKUP(I542,Summary!$C$8:$C$153,1,0),VLOOKUP(I542*1,Summary!$C$8:$C$153,1,0)))),"Add account Number to Summary","")</f>
        <v/>
      </c>
      <c r="M542" s="131" t="str">
        <f t="shared" si="8"/>
        <v/>
      </c>
      <c r="N542" s="287">
        <f>IF(C542="Sale",SUMIFS($D$4:D542,$B$4:B542,B542,$C$4:C542,"")+SUMIFS($D$4:D542,$B$4:B542,B542,$C$4:C542,"Purch")-SUMIFS($D$4:D542,$B$4:B542,B542,$C$4:C542,"Sale"),0)</f>
        <v>0</v>
      </c>
    </row>
    <row r="543" spans="1:14" x14ac:dyDescent="0.2">
      <c r="A543" s="152"/>
      <c r="B543" s="132"/>
      <c r="C543" s="132"/>
      <c r="D543" s="277"/>
      <c r="E543" s="132"/>
      <c r="F543" s="170"/>
      <c r="G543" s="150"/>
      <c r="H543" s="152"/>
      <c r="I543" s="204"/>
      <c r="J543" s="285"/>
      <c r="K543" s="251"/>
      <c r="L543" s="133" t="str">
        <f>IF(AND(I543&lt;&gt;"",ISERROR(IF(ISERROR(VLOOKUP(I543*1,Summary!$C$8:$C$153,1,0)),VLOOKUP(I543,Summary!$C$8:$C$153,1,0),VLOOKUP(I543*1,Summary!$C$8:$C$153,1,0)))),"Add account Number to Summary","")</f>
        <v/>
      </c>
      <c r="M543" s="131" t="str">
        <f t="shared" si="8"/>
        <v/>
      </c>
      <c r="N543" s="287">
        <f>IF(C543="Sale",SUMIFS($D$4:D543,$B$4:B543,B543,$C$4:C543,"")+SUMIFS($D$4:D543,$B$4:B543,B543,$C$4:C543,"Purch")-SUMIFS($D$4:D543,$B$4:B543,B543,$C$4:C543,"Sale"),0)</f>
        <v>0</v>
      </c>
    </row>
    <row r="544" spans="1:14" x14ac:dyDescent="0.2">
      <c r="A544" s="152"/>
      <c r="B544" s="132"/>
      <c r="C544" s="132"/>
      <c r="D544" s="277"/>
      <c r="E544" s="132"/>
      <c r="F544" s="170"/>
      <c r="G544" s="150"/>
      <c r="H544" s="152"/>
      <c r="I544" s="204"/>
      <c r="J544" s="285"/>
      <c r="K544" s="251"/>
      <c r="L544" s="133" t="str">
        <f>IF(AND(I544&lt;&gt;"",ISERROR(IF(ISERROR(VLOOKUP(I544*1,Summary!$C$8:$C$153,1,0)),VLOOKUP(I544,Summary!$C$8:$C$153,1,0),VLOOKUP(I544*1,Summary!$C$8:$C$153,1,0)))),"Add account Number to Summary","")</f>
        <v/>
      </c>
      <c r="M544" s="131" t="str">
        <f t="shared" si="8"/>
        <v/>
      </c>
      <c r="N544" s="287">
        <f>IF(C544="Sale",SUMIFS($D$4:D544,$B$4:B544,B544,$C$4:C544,"")+SUMIFS($D$4:D544,$B$4:B544,B544,$C$4:C544,"Purch")-SUMIFS($D$4:D544,$B$4:B544,B544,$C$4:C544,"Sale"),0)</f>
        <v>0</v>
      </c>
    </row>
    <row r="545" spans="1:14" x14ac:dyDescent="0.2">
      <c r="A545" s="152"/>
      <c r="B545" s="132"/>
      <c r="C545" s="132"/>
      <c r="D545" s="277"/>
      <c r="E545" s="132"/>
      <c r="F545" s="170"/>
      <c r="G545" s="150"/>
      <c r="H545" s="152"/>
      <c r="I545" s="204"/>
      <c r="J545" s="285"/>
      <c r="K545" s="251"/>
      <c r="L545" s="133" t="str">
        <f>IF(AND(I545&lt;&gt;"",ISERROR(IF(ISERROR(VLOOKUP(I545*1,Summary!$C$8:$C$153,1,0)),VLOOKUP(I545,Summary!$C$8:$C$153,1,0),VLOOKUP(I545*1,Summary!$C$8:$C$153,1,0)))),"Add account Number to Summary","")</f>
        <v/>
      </c>
      <c r="M545" s="131" t="str">
        <f t="shared" si="8"/>
        <v/>
      </c>
      <c r="N545" s="287">
        <f>IF(C545="Sale",SUMIFS($D$4:D545,$B$4:B545,B545,$C$4:C545,"")+SUMIFS($D$4:D545,$B$4:B545,B545,$C$4:C545,"Purch")-SUMIFS($D$4:D545,$B$4:B545,B545,$C$4:C545,"Sale"),0)</f>
        <v>0</v>
      </c>
    </row>
    <row r="546" spans="1:14" x14ac:dyDescent="0.2">
      <c r="A546" s="152"/>
      <c r="B546" s="132"/>
      <c r="C546" s="132"/>
      <c r="D546" s="277"/>
      <c r="E546" s="132"/>
      <c r="F546" s="170"/>
      <c r="G546" s="150"/>
      <c r="H546" s="152"/>
      <c r="I546" s="204"/>
      <c r="J546" s="285"/>
      <c r="K546" s="251"/>
      <c r="L546" s="133" t="str">
        <f>IF(AND(I546&lt;&gt;"",ISERROR(IF(ISERROR(VLOOKUP(I546*1,Summary!$C$8:$C$153,1,0)),VLOOKUP(I546,Summary!$C$8:$C$153,1,0),VLOOKUP(I546*1,Summary!$C$8:$C$153,1,0)))),"Add account Number to Summary","")</f>
        <v/>
      </c>
      <c r="M546" s="131" t="str">
        <f t="shared" si="8"/>
        <v/>
      </c>
      <c r="N546" s="287">
        <f>IF(C546="Sale",SUMIFS($D$4:D546,$B$4:B546,B546,$C$4:C546,"")+SUMIFS($D$4:D546,$B$4:B546,B546,$C$4:C546,"Purch")-SUMIFS($D$4:D546,$B$4:B546,B546,$C$4:C546,"Sale"),0)</f>
        <v>0</v>
      </c>
    </row>
    <row r="547" spans="1:14" x14ac:dyDescent="0.2">
      <c r="A547" s="152"/>
      <c r="B547" s="132"/>
      <c r="C547" s="132"/>
      <c r="D547" s="277"/>
      <c r="E547" s="132"/>
      <c r="F547" s="170"/>
      <c r="G547" s="150"/>
      <c r="H547" s="152"/>
      <c r="I547" s="204"/>
      <c r="J547" s="285"/>
      <c r="K547" s="251"/>
      <c r="L547" s="133" t="str">
        <f>IF(AND(I547&lt;&gt;"",ISERROR(IF(ISERROR(VLOOKUP(I547*1,Summary!$C$8:$C$153,1,0)),VLOOKUP(I547,Summary!$C$8:$C$153,1,0),VLOOKUP(I547*1,Summary!$C$8:$C$153,1,0)))),"Add account Number to Summary","")</f>
        <v/>
      </c>
      <c r="M547" s="131" t="str">
        <f t="shared" si="8"/>
        <v/>
      </c>
      <c r="N547" s="287">
        <f>IF(C547="Sale",SUMIFS($D$4:D547,$B$4:B547,B547,$C$4:C547,"")+SUMIFS($D$4:D547,$B$4:B547,B547,$C$4:C547,"Purch")-SUMIFS($D$4:D547,$B$4:B547,B547,$C$4:C547,"Sale"),0)</f>
        <v>0</v>
      </c>
    </row>
    <row r="548" spans="1:14" x14ac:dyDescent="0.2">
      <c r="A548" s="152"/>
      <c r="B548" s="132"/>
      <c r="C548" s="132"/>
      <c r="D548" s="277"/>
      <c r="E548" s="132"/>
      <c r="F548" s="170"/>
      <c r="G548" s="150"/>
      <c r="H548" s="152"/>
      <c r="I548" s="204"/>
      <c r="J548" s="285"/>
      <c r="K548" s="251"/>
      <c r="L548" s="133" t="str">
        <f>IF(AND(I548&lt;&gt;"",ISERROR(IF(ISERROR(VLOOKUP(I548*1,Summary!$C$8:$C$153,1,0)),VLOOKUP(I548,Summary!$C$8:$C$153,1,0),VLOOKUP(I548*1,Summary!$C$8:$C$153,1,0)))),"Add account Number to Summary","")</f>
        <v/>
      </c>
      <c r="M548" s="131" t="str">
        <f t="shared" si="8"/>
        <v/>
      </c>
      <c r="N548" s="287">
        <f>IF(C548="Sale",SUMIFS($D$4:D548,$B$4:B548,B548,$C$4:C548,"")+SUMIFS($D$4:D548,$B$4:B548,B548,$C$4:C548,"Purch")-SUMIFS($D$4:D548,$B$4:B548,B548,$C$4:C548,"Sale"),0)</f>
        <v>0</v>
      </c>
    </row>
    <row r="549" spans="1:14" x14ac:dyDescent="0.2">
      <c r="A549" s="152"/>
      <c r="B549" s="132"/>
      <c r="C549" s="132"/>
      <c r="D549" s="277"/>
      <c r="E549" s="132"/>
      <c r="F549" s="170"/>
      <c r="G549" s="150"/>
      <c r="H549" s="152"/>
      <c r="I549" s="204"/>
      <c r="J549" s="285"/>
      <c r="K549" s="251"/>
      <c r="L549" s="133" t="str">
        <f>IF(AND(I549&lt;&gt;"",ISERROR(IF(ISERROR(VLOOKUP(I549*1,Summary!$C$8:$C$153,1,0)),VLOOKUP(I549,Summary!$C$8:$C$153,1,0),VLOOKUP(I549*1,Summary!$C$8:$C$153,1,0)))),"Add account Number to Summary","")</f>
        <v/>
      </c>
      <c r="M549" s="131" t="str">
        <f t="shared" si="8"/>
        <v/>
      </c>
      <c r="N549" s="287">
        <f>IF(C549="Sale",SUMIFS($D$4:D549,$B$4:B549,B549,$C$4:C549,"")+SUMIFS($D$4:D549,$B$4:B549,B549,$C$4:C549,"Purch")-SUMIFS($D$4:D549,$B$4:B549,B549,$C$4:C549,"Sale"),0)</f>
        <v>0</v>
      </c>
    </row>
    <row r="550" spans="1:14" x14ac:dyDescent="0.2">
      <c r="A550" s="152"/>
      <c r="B550" s="132"/>
      <c r="C550" s="132"/>
      <c r="D550" s="277"/>
      <c r="E550" s="132"/>
      <c r="F550" s="170"/>
      <c r="G550" s="150"/>
      <c r="H550" s="152"/>
      <c r="I550" s="204"/>
      <c r="J550" s="285"/>
      <c r="K550" s="251"/>
      <c r="L550" s="133" t="str">
        <f>IF(AND(I550&lt;&gt;"",ISERROR(IF(ISERROR(VLOOKUP(I550*1,Summary!$C$8:$C$153,1,0)),VLOOKUP(I550,Summary!$C$8:$C$153,1,0),VLOOKUP(I550*1,Summary!$C$8:$C$153,1,0)))),"Add account Number to Summary","")</f>
        <v/>
      </c>
      <c r="M550" s="131" t="str">
        <f t="shared" si="8"/>
        <v/>
      </c>
      <c r="N550" s="287">
        <f>IF(C550="Sale",SUMIFS($D$4:D550,$B$4:B550,B550,$C$4:C550,"")+SUMIFS($D$4:D550,$B$4:B550,B550,$C$4:C550,"Purch")-SUMIFS($D$4:D550,$B$4:B550,B550,$C$4:C550,"Sale"),0)</f>
        <v>0</v>
      </c>
    </row>
    <row r="551" spans="1:14" x14ac:dyDescent="0.2">
      <c r="A551" s="152"/>
      <c r="B551" s="132"/>
      <c r="C551" s="132"/>
      <c r="D551" s="277"/>
      <c r="E551" s="132"/>
      <c r="F551" s="170"/>
      <c r="G551" s="150"/>
      <c r="H551" s="152"/>
      <c r="I551" s="204"/>
      <c r="J551" s="285"/>
      <c r="K551" s="251"/>
      <c r="L551" s="133" t="str">
        <f>IF(AND(I551&lt;&gt;"",ISERROR(IF(ISERROR(VLOOKUP(I551*1,Summary!$C$8:$C$153,1,0)),VLOOKUP(I551,Summary!$C$8:$C$153,1,0),VLOOKUP(I551*1,Summary!$C$8:$C$153,1,0)))),"Add account Number to Summary","")</f>
        <v/>
      </c>
      <c r="M551" s="131" t="str">
        <f t="shared" si="8"/>
        <v/>
      </c>
      <c r="N551" s="287">
        <f>IF(C551="Sale",SUMIFS($D$4:D551,$B$4:B551,B551,$C$4:C551,"")+SUMIFS($D$4:D551,$B$4:B551,B551,$C$4:C551,"Purch")-SUMIFS($D$4:D551,$B$4:B551,B551,$C$4:C551,"Sale"),0)</f>
        <v>0</v>
      </c>
    </row>
    <row r="552" spans="1:14" x14ac:dyDescent="0.2">
      <c r="A552" s="152"/>
      <c r="B552" s="132"/>
      <c r="C552" s="132"/>
      <c r="D552" s="277"/>
      <c r="E552" s="132"/>
      <c r="F552" s="170"/>
      <c r="G552" s="150"/>
      <c r="H552" s="152"/>
      <c r="I552" s="204"/>
      <c r="J552" s="285"/>
      <c r="K552" s="251"/>
      <c r="L552" s="133" t="str">
        <f>IF(AND(I552&lt;&gt;"",ISERROR(IF(ISERROR(VLOOKUP(I552*1,Summary!$C$8:$C$153,1,0)),VLOOKUP(I552,Summary!$C$8:$C$153,1,0),VLOOKUP(I552*1,Summary!$C$8:$C$153,1,0)))),"Add account Number to Summary","")</f>
        <v/>
      </c>
      <c r="M552" s="131" t="str">
        <f t="shared" si="8"/>
        <v/>
      </c>
      <c r="N552" s="287">
        <f>IF(C552="Sale",SUMIFS($D$4:D552,$B$4:B552,B552,$C$4:C552,"")+SUMIFS($D$4:D552,$B$4:B552,B552,$C$4:C552,"Purch")-SUMIFS($D$4:D552,$B$4:B552,B552,$C$4:C552,"Sale"),0)</f>
        <v>0</v>
      </c>
    </row>
    <row r="553" spans="1:14" x14ac:dyDescent="0.2">
      <c r="A553" s="152"/>
      <c r="B553" s="132"/>
      <c r="C553" s="132"/>
      <c r="D553" s="277"/>
      <c r="E553" s="132"/>
      <c r="F553" s="170"/>
      <c r="G553" s="150"/>
      <c r="H553" s="152"/>
      <c r="I553" s="204"/>
      <c r="J553" s="285"/>
      <c r="K553" s="251"/>
      <c r="L553" s="133" t="str">
        <f>IF(AND(I553&lt;&gt;"",ISERROR(IF(ISERROR(VLOOKUP(I553*1,Summary!$C$8:$C$153,1,0)),VLOOKUP(I553,Summary!$C$8:$C$153,1,0),VLOOKUP(I553*1,Summary!$C$8:$C$153,1,0)))),"Add account Number to Summary","")</f>
        <v/>
      </c>
      <c r="M553" s="131" t="str">
        <f t="shared" si="8"/>
        <v/>
      </c>
      <c r="N553" s="287">
        <f>IF(C553="Sale",SUMIFS($D$4:D553,$B$4:B553,B553,$C$4:C553,"")+SUMIFS($D$4:D553,$B$4:B553,B553,$C$4:C553,"Purch")-SUMIFS($D$4:D553,$B$4:B553,B553,$C$4:C553,"Sale"),0)</f>
        <v>0</v>
      </c>
    </row>
    <row r="554" spans="1:14" x14ac:dyDescent="0.2">
      <c r="A554" s="152"/>
      <c r="B554" s="132"/>
      <c r="C554" s="132"/>
      <c r="D554" s="277"/>
      <c r="E554" s="132"/>
      <c r="F554" s="170"/>
      <c r="G554" s="150"/>
      <c r="H554" s="152"/>
      <c r="I554" s="204"/>
      <c r="J554" s="285"/>
      <c r="K554" s="251"/>
      <c r="L554" s="133" t="str">
        <f>IF(AND(I554&lt;&gt;"",ISERROR(IF(ISERROR(VLOOKUP(I554*1,Summary!$C$8:$C$153,1,0)),VLOOKUP(I554,Summary!$C$8:$C$153,1,0),VLOOKUP(I554*1,Summary!$C$8:$C$153,1,0)))),"Add account Number to Summary","")</f>
        <v/>
      </c>
      <c r="M554" s="131" t="str">
        <f t="shared" si="8"/>
        <v/>
      </c>
      <c r="N554" s="287">
        <f>IF(C554="Sale",SUMIFS($D$4:D554,$B$4:B554,B554,$C$4:C554,"")+SUMIFS($D$4:D554,$B$4:B554,B554,$C$4:C554,"Purch")-SUMIFS($D$4:D554,$B$4:B554,B554,$C$4:C554,"Sale"),0)</f>
        <v>0</v>
      </c>
    </row>
    <row r="555" spans="1:14" x14ac:dyDescent="0.2">
      <c r="A555" s="152"/>
      <c r="B555" s="132"/>
      <c r="C555" s="132"/>
      <c r="D555" s="277"/>
      <c r="E555" s="132"/>
      <c r="F555" s="170"/>
      <c r="G555" s="150"/>
      <c r="H555" s="152"/>
      <c r="I555" s="204"/>
      <c r="J555" s="285"/>
      <c r="K555" s="251"/>
      <c r="L555" s="133" t="str">
        <f>IF(AND(I555&lt;&gt;"",ISERROR(IF(ISERROR(VLOOKUP(I555*1,Summary!$C$8:$C$153,1,0)),VLOOKUP(I555,Summary!$C$8:$C$153,1,0),VLOOKUP(I555*1,Summary!$C$8:$C$153,1,0)))),"Add account Number to Summary","")</f>
        <v/>
      </c>
      <c r="M555" s="131" t="str">
        <f t="shared" si="8"/>
        <v/>
      </c>
      <c r="N555" s="287">
        <f>IF(C555="Sale",SUMIFS($D$4:D555,$B$4:B555,B555,$C$4:C555,"")+SUMIFS($D$4:D555,$B$4:B555,B555,$C$4:C555,"Purch")-SUMIFS($D$4:D555,$B$4:B555,B555,$C$4:C555,"Sale"),0)</f>
        <v>0</v>
      </c>
    </row>
    <row r="556" spans="1:14" x14ac:dyDescent="0.2">
      <c r="A556" s="152"/>
      <c r="B556" s="132"/>
      <c r="C556" s="132"/>
      <c r="D556" s="277"/>
      <c r="E556" s="132"/>
      <c r="F556" s="170"/>
      <c r="G556" s="150"/>
      <c r="H556" s="152"/>
      <c r="I556" s="204"/>
      <c r="J556" s="285"/>
      <c r="K556" s="251"/>
      <c r="L556" s="133" t="str">
        <f>IF(AND(I556&lt;&gt;"",ISERROR(IF(ISERROR(VLOOKUP(I556*1,Summary!$C$8:$C$153,1,0)),VLOOKUP(I556,Summary!$C$8:$C$153,1,0),VLOOKUP(I556*1,Summary!$C$8:$C$153,1,0)))),"Add account Number to Summary","")</f>
        <v/>
      </c>
      <c r="M556" s="131" t="str">
        <f t="shared" ref="M556:M619" si="9">IF(K556="Yes",IF(YEAR(A556)&lt;&gt;YEAR(date),"Check Date",""),"")</f>
        <v/>
      </c>
      <c r="N556" s="287">
        <f>IF(C556="Sale",SUMIFS($D$4:D556,$B$4:B556,B556,$C$4:C556,"")+SUMIFS($D$4:D556,$B$4:B556,B556,$C$4:C556,"Purch")-SUMIFS($D$4:D556,$B$4:B556,B556,$C$4:C556,"Sale"),0)</f>
        <v>0</v>
      </c>
    </row>
    <row r="557" spans="1:14" x14ac:dyDescent="0.2">
      <c r="A557" s="152"/>
      <c r="B557" s="132"/>
      <c r="C557" s="132"/>
      <c r="D557" s="277"/>
      <c r="E557" s="132"/>
      <c r="F557" s="170"/>
      <c r="G557" s="150"/>
      <c r="H557" s="152"/>
      <c r="I557" s="204"/>
      <c r="J557" s="285"/>
      <c r="K557" s="251"/>
      <c r="L557" s="133" t="str">
        <f>IF(AND(I557&lt;&gt;"",ISERROR(IF(ISERROR(VLOOKUP(I557*1,Summary!$C$8:$C$153,1,0)),VLOOKUP(I557,Summary!$C$8:$C$153,1,0),VLOOKUP(I557*1,Summary!$C$8:$C$153,1,0)))),"Add account Number to Summary","")</f>
        <v/>
      </c>
      <c r="M557" s="131" t="str">
        <f t="shared" si="9"/>
        <v/>
      </c>
      <c r="N557" s="287">
        <f>IF(C557="Sale",SUMIFS($D$4:D557,$B$4:B557,B557,$C$4:C557,"")+SUMIFS($D$4:D557,$B$4:B557,B557,$C$4:C557,"Purch")-SUMIFS($D$4:D557,$B$4:B557,B557,$C$4:C557,"Sale"),0)</f>
        <v>0</v>
      </c>
    </row>
    <row r="558" spans="1:14" x14ac:dyDescent="0.2">
      <c r="A558" s="152"/>
      <c r="B558" s="132"/>
      <c r="C558" s="132"/>
      <c r="D558" s="277"/>
      <c r="E558" s="132"/>
      <c r="F558" s="170"/>
      <c r="G558" s="150"/>
      <c r="H558" s="152"/>
      <c r="I558" s="204"/>
      <c r="J558" s="285"/>
      <c r="K558" s="251"/>
      <c r="L558" s="133" t="str">
        <f>IF(AND(I558&lt;&gt;"",ISERROR(IF(ISERROR(VLOOKUP(I558*1,Summary!$C$8:$C$153,1,0)),VLOOKUP(I558,Summary!$C$8:$C$153,1,0),VLOOKUP(I558*1,Summary!$C$8:$C$153,1,0)))),"Add account Number to Summary","")</f>
        <v/>
      </c>
      <c r="M558" s="131" t="str">
        <f t="shared" si="9"/>
        <v/>
      </c>
      <c r="N558" s="287">
        <f>IF(C558="Sale",SUMIFS($D$4:D558,$B$4:B558,B558,$C$4:C558,"")+SUMIFS($D$4:D558,$B$4:B558,B558,$C$4:C558,"Purch")-SUMIFS($D$4:D558,$B$4:B558,B558,$C$4:C558,"Sale"),0)</f>
        <v>0</v>
      </c>
    </row>
    <row r="559" spans="1:14" x14ac:dyDescent="0.2">
      <c r="A559" s="152"/>
      <c r="B559" s="132"/>
      <c r="C559" s="132"/>
      <c r="D559" s="277"/>
      <c r="E559" s="132"/>
      <c r="F559" s="170"/>
      <c r="G559" s="150"/>
      <c r="H559" s="152"/>
      <c r="I559" s="204"/>
      <c r="J559" s="285"/>
      <c r="K559" s="251"/>
      <c r="L559" s="133" t="str">
        <f>IF(AND(I559&lt;&gt;"",ISERROR(IF(ISERROR(VLOOKUP(I559*1,Summary!$C$8:$C$153,1,0)),VLOOKUP(I559,Summary!$C$8:$C$153,1,0),VLOOKUP(I559*1,Summary!$C$8:$C$153,1,0)))),"Add account Number to Summary","")</f>
        <v/>
      </c>
      <c r="M559" s="131" t="str">
        <f t="shared" si="9"/>
        <v/>
      </c>
      <c r="N559" s="287">
        <f>IF(C559="Sale",SUMIFS($D$4:D559,$B$4:B559,B559,$C$4:C559,"")+SUMIFS($D$4:D559,$B$4:B559,B559,$C$4:C559,"Purch")-SUMIFS($D$4:D559,$B$4:B559,B559,$C$4:C559,"Sale"),0)</f>
        <v>0</v>
      </c>
    </row>
    <row r="560" spans="1:14" x14ac:dyDescent="0.2">
      <c r="A560" s="152"/>
      <c r="B560" s="132"/>
      <c r="C560" s="132"/>
      <c r="D560" s="277"/>
      <c r="E560" s="132"/>
      <c r="F560" s="170"/>
      <c r="G560" s="150"/>
      <c r="H560" s="152"/>
      <c r="I560" s="204"/>
      <c r="J560" s="285"/>
      <c r="K560" s="251"/>
      <c r="L560" s="133" t="str">
        <f>IF(AND(I560&lt;&gt;"",ISERROR(IF(ISERROR(VLOOKUP(I560*1,Summary!$C$8:$C$153,1,0)),VLOOKUP(I560,Summary!$C$8:$C$153,1,0),VLOOKUP(I560*1,Summary!$C$8:$C$153,1,0)))),"Add account Number to Summary","")</f>
        <v/>
      </c>
      <c r="M560" s="131" t="str">
        <f t="shared" si="9"/>
        <v/>
      </c>
      <c r="N560" s="287">
        <f>IF(C560="Sale",SUMIFS($D$4:D560,$B$4:B560,B560,$C$4:C560,"")+SUMIFS($D$4:D560,$B$4:B560,B560,$C$4:C560,"Purch")-SUMIFS($D$4:D560,$B$4:B560,B560,$C$4:C560,"Sale"),0)</f>
        <v>0</v>
      </c>
    </row>
    <row r="561" spans="1:14" x14ac:dyDescent="0.2">
      <c r="A561" s="152"/>
      <c r="B561" s="132"/>
      <c r="C561" s="132"/>
      <c r="D561" s="277"/>
      <c r="E561" s="132"/>
      <c r="F561" s="170"/>
      <c r="G561" s="150"/>
      <c r="H561" s="152"/>
      <c r="I561" s="204"/>
      <c r="J561" s="285"/>
      <c r="K561" s="251"/>
      <c r="L561" s="133" t="str">
        <f>IF(AND(I561&lt;&gt;"",ISERROR(IF(ISERROR(VLOOKUP(I561*1,Summary!$C$8:$C$153,1,0)),VLOOKUP(I561,Summary!$C$8:$C$153,1,0),VLOOKUP(I561*1,Summary!$C$8:$C$153,1,0)))),"Add account Number to Summary","")</f>
        <v/>
      </c>
      <c r="M561" s="131" t="str">
        <f t="shared" si="9"/>
        <v/>
      </c>
      <c r="N561" s="287">
        <f>IF(C561="Sale",SUMIFS($D$4:D561,$B$4:B561,B561,$C$4:C561,"")+SUMIFS($D$4:D561,$B$4:B561,B561,$C$4:C561,"Purch")-SUMIFS($D$4:D561,$B$4:B561,B561,$C$4:C561,"Sale"),0)</f>
        <v>0</v>
      </c>
    </row>
    <row r="562" spans="1:14" x14ac:dyDescent="0.2">
      <c r="A562" s="152"/>
      <c r="B562" s="132"/>
      <c r="C562" s="132"/>
      <c r="D562" s="277"/>
      <c r="E562" s="132"/>
      <c r="F562" s="170"/>
      <c r="G562" s="150"/>
      <c r="H562" s="152"/>
      <c r="I562" s="204"/>
      <c r="J562" s="285"/>
      <c r="K562" s="251"/>
      <c r="L562" s="133" t="str">
        <f>IF(AND(I562&lt;&gt;"",ISERROR(IF(ISERROR(VLOOKUP(I562*1,Summary!$C$8:$C$153,1,0)),VLOOKUP(I562,Summary!$C$8:$C$153,1,0),VLOOKUP(I562*1,Summary!$C$8:$C$153,1,0)))),"Add account Number to Summary","")</f>
        <v/>
      </c>
      <c r="M562" s="131" t="str">
        <f t="shared" si="9"/>
        <v/>
      </c>
      <c r="N562" s="287">
        <f>IF(C562="Sale",SUMIFS($D$4:D562,$B$4:B562,B562,$C$4:C562,"")+SUMIFS($D$4:D562,$B$4:B562,B562,$C$4:C562,"Purch")-SUMIFS($D$4:D562,$B$4:B562,B562,$C$4:C562,"Sale"),0)</f>
        <v>0</v>
      </c>
    </row>
    <row r="563" spans="1:14" x14ac:dyDescent="0.2">
      <c r="A563" s="152"/>
      <c r="B563" s="132"/>
      <c r="C563" s="132"/>
      <c r="D563" s="277"/>
      <c r="E563" s="132"/>
      <c r="F563" s="170"/>
      <c r="G563" s="150"/>
      <c r="H563" s="152"/>
      <c r="I563" s="204"/>
      <c r="J563" s="285"/>
      <c r="K563" s="251"/>
      <c r="L563" s="133" t="str">
        <f>IF(AND(I563&lt;&gt;"",ISERROR(IF(ISERROR(VLOOKUP(I563*1,Summary!$C$8:$C$153,1,0)),VLOOKUP(I563,Summary!$C$8:$C$153,1,0),VLOOKUP(I563*1,Summary!$C$8:$C$153,1,0)))),"Add account Number to Summary","")</f>
        <v/>
      </c>
      <c r="M563" s="131" t="str">
        <f t="shared" si="9"/>
        <v/>
      </c>
      <c r="N563" s="287">
        <f>IF(C563="Sale",SUMIFS($D$4:D563,$B$4:B563,B563,$C$4:C563,"")+SUMIFS($D$4:D563,$B$4:B563,B563,$C$4:C563,"Purch")-SUMIFS($D$4:D563,$B$4:B563,B563,$C$4:C563,"Sale"),0)</f>
        <v>0</v>
      </c>
    </row>
    <row r="564" spans="1:14" x14ac:dyDescent="0.2">
      <c r="A564" s="152"/>
      <c r="B564" s="132"/>
      <c r="C564" s="132"/>
      <c r="D564" s="277"/>
      <c r="E564" s="132"/>
      <c r="F564" s="170"/>
      <c r="G564" s="150"/>
      <c r="H564" s="152"/>
      <c r="I564" s="204"/>
      <c r="J564" s="285"/>
      <c r="K564" s="251"/>
      <c r="L564" s="133" t="str">
        <f>IF(AND(I564&lt;&gt;"",ISERROR(IF(ISERROR(VLOOKUP(I564*1,Summary!$C$8:$C$153,1,0)),VLOOKUP(I564,Summary!$C$8:$C$153,1,0),VLOOKUP(I564*1,Summary!$C$8:$C$153,1,0)))),"Add account Number to Summary","")</f>
        <v/>
      </c>
      <c r="M564" s="131" t="str">
        <f t="shared" si="9"/>
        <v/>
      </c>
      <c r="N564" s="287">
        <f>IF(C564="Sale",SUMIFS($D$4:D564,$B$4:B564,B564,$C$4:C564,"")+SUMIFS($D$4:D564,$B$4:B564,B564,$C$4:C564,"Purch")-SUMIFS($D$4:D564,$B$4:B564,B564,$C$4:C564,"Sale"),0)</f>
        <v>0</v>
      </c>
    </row>
    <row r="565" spans="1:14" x14ac:dyDescent="0.2">
      <c r="A565" s="152"/>
      <c r="B565" s="132"/>
      <c r="C565" s="132"/>
      <c r="D565" s="277"/>
      <c r="E565" s="132"/>
      <c r="F565" s="170"/>
      <c r="G565" s="150"/>
      <c r="H565" s="152"/>
      <c r="I565" s="204"/>
      <c r="J565" s="285"/>
      <c r="K565" s="251"/>
      <c r="L565" s="133" t="str">
        <f>IF(AND(I565&lt;&gt;"",ISERROR(IF(ISERROR(VLOOKUP(I565*1,Summary!$C$8:$C$153,1,0)),VLOOKUP(I565,Summary!$C$8:$C$153,1,0),VLOOKUP(I565*1,Summary!$C$8:$C$153,1,0)))),"Add account Number to Summary","")</f>
        <v/>
      </c>
      <c r="M565" s="131" t="str">
        <f t="shared" si="9"/>
        <v/>
      </c>
      <c r="N565" s="287">
        <f>IF(C565="Sale",SUMIFS($D$4:D565,$B$4:B565,B565,$C$4:C565,"")+SUMIFS($D$4:D565,$B$4:B565,B565,$C$4:C565,"Purch")-SUMIFS($D$4:D565,$B$4:B565,B565,$C$4:C565,"Sale"),0)</f>
        <v>0</v>
      </c>
    </row>
    <row r="566" spans="1:14" x14ac:dyDescent="0.2">
      <c r="A566" s="152"/>
      <c r="B566" s="132"/>
      <c r="C566" s="132"/>
      <c r="D566" s="277"/>
      <c r="E566" s="132"/>
      <c r="F566" s="170"/>
      <c r="G566" s="150"/>
      <c r="H566" s="152"/>
      <c r="I566" s="204"/>
      <c r="J566" s="285"/>
      <c r="K566" s="251"/>
      <c r="L566" s="133" t="str">
        <f>IF(AND(I566&lt;&gt;"",ISERROR(IF(ISERROR(VLOOKUP(I566*1,Summary!$C$8:$C$153,1,0)),VLOOKUP(I566,Summary!$C$8:$C$153,1,0),VLOOKUP(I566*1,Summary!$C$8:$C$153,1,0)))),"Add account Number to Summary","")</f>
        <v/>
      </c>
      <c r="M566" s="131" t="str">
        <f t="shared" si="9"/>
        <v/>
      </c>
      <c r="N566" s="287">
        <f>IF(C566="Sale",SUMIFS($D$4:D566,$B$4:B566,B566,$C$4:C566,"")+SUMIFS($D$4:D566,$B$4:B566,B566,$C$4:C566,"Purch")-SUMIFS($D$4:D566,$B$4:B566,B566,$C$4:C566,"Sale"),0)</f>
        <v>0</v>
      </c>
    </row>
    <row r="567" spans="1:14" x14ac:dyDescent="0.2">
      <c r="A567" s="152"/>
      <c r="B567" s="132"/>
      <c r="C567" s="132"/>
      <c r="D567" s="277"/>
      <c r="E567" s="132"/>
      <c r="F567" s="170"/>
      <c r="G567" s="150"/>
      <c r="H567" s="152"/>
      <c r="I567" s="204"/>
      <c r="J567" s="285"/>
      <c r="K567" s="251"/>
      <c r="L567" s="133" t="str">
        <f>IF(AND(I567&lt;&gt;"",ISERROR(IF(ISERROR(VLOOKUP(I567*1,Summary!$C$8:$C$153,1,0)),VLOOKUP(I567,Summary!$C$8:$C$153,1,0),VLOOKUP(I567*1,Summary!$C$8:$C$153,1,0)))),"Add account Number to Summary","")</f>
        <v/>
      </c>
      <c r="M567" s="131" t="str">
        <f t="shared" si="9"/>
        <v/>
      </c>
      <c r="N567" s="287">
        <f>IF(C567="Sale",SUMIFS($D$4:D567,$B$4:B567,B567,$C$4:C567,"")+SUMIFS($D$4:D567,$B$4:B567,B567,$C$4:C567,"Purch")-SUMIFS($D$4:D567,$B$4:B567,B567,$C$4:C567,"Sale"),0)</f>
        <v>0</v>
      </c>
    </row>
    <row r="568" spans="1:14" x14ac:dyDescent="0.2">
      <c r="A568" s="152"/>
      <c r="B568" s="132"/>
      <c r="C568" s="132"/>
      <c r="D568" s="277"/>
      <c r="E568" s="132"/>
      <c r="F568" s="170"/>
      <c r="G568" s="150"/>
      <c r="H568" s="152"/>
      <c r="I568" s="204"/>
      <c r="J568" s="285"/>
      <c r="K568" s="251"/>
      <c r="L568" s="133" t="str">
        <f>IF(AND(I568&lt;&gt;"",ISERROR(IF(ISERROR(VLOOKUP(I568*1,Summary!$C$8:$C$153,1,0)),VLOOKUP(I568,Summary!$C$8:$C$153,1,0),VLOOKUP(I568*1,Summary!$C$8:$C$153,1,0)))),"Add account Number to Summary","")</f>
        <v/>
      </c>
      <c r="M568" s="131" t="str">
        <f t="shared" si="9"/>
        <v/>
      </c>
      <c r="N568" s="287">
        <f>IF(C568="Sale",SUMIFS($D$4:D568,$B$4:B568,B568,$C$4:C568,"")+SUMIFS($D$4:D568,$B$4:B568,B568,$C$4:C568,"Purch")-SUMIFS($D$4:D568,$B$4:B568,B568,$C$4:C568,"Sale"),0)</f>
        <v>0</v>
      </c>
    </row>
    <row r="569" spans="1:14" x14ac:dyDescent="0.2">
      <c r="A569" s="152"/>
      <c r="B569" s="132"/>
      <c r="C569" s="132"/>
      <c r="D569" s="277"/>
      <c r="E569" s="132"/>
      <c r="F569" s="170"/>
      <c r="G569" s="150"/>
      <c r="H569" s="152"/>
      <c r="I569" s="204"/>
      <c r="J569" s="285"/>
      <c r="K569" s="251"/>
      <c r="L569" s="133" t="str">
        <f>IF(AND(I569&lt;&gt;"",ISERROR(IF(ISERROR(VLOOKUP(I569*1,Summary!$C$8:$C$153,1,0)),VLOOKUP(I569,Summary!$C$8:$C$153,1,0),VLOOKUP(I569*1,Summary!$C$8:$C$153,1,0)))),"Add account Number to Summary","")</f>
        <v/>
      </c>
      <c r="M569" s="131" t="str">
        <f t="shared" si="9"/>
        <v/>
      </c>
      <c r="N569" s="287">
        <f>IF(C569="Sale",SUMIFS($D$4:D569,$B$4:B569,B569,$C$4:C569,"")+SUMIFS($D$4:D569,$B$4:B569,B569,$C$4:C569,"Purch")-SUMIFS($D$4:D569,$B$4:B569,B569,$C$4:C569,"Sale"),0)</f>
        <v>0</v>
      </c>
    </row>
    <row r="570" spans="1:14" x14ac:dyDescent="0.2">
      <c r="A570" s="152"/>
      <c r="B570" s="132"/>
      <c r="C570" s="132"/>
      <c r="D570" s="277"/>
      <c r="E570" s="132"/>
      <c r="F570" s="170"/>
      <c r="G570" s="150"/>
      <c r="H570" s="152"/>
      <c r="I570" s="204"/>
      <c r="J570" s="285"/>
      <c r="K570" s="251"/>
      <c r="L570" s="133" t="str">
        <f>IF(AND(I570&lt;&gt;"",ISERROR(IF(ISERROR(VLOOKUP(I570*1,Summary!$C$8:$C$153,1,0)),VLOOKUP(I570,Summary!$C$8:$C$153,1,0),VLOOKUP(I570*1,Summary!$C$8:$C$153,1,0)))),"Add account Number to Summary","")</f>
        <v/>
      </c>
      <c r="M570" s="131" t="str">
        <f t="shared" si="9"/>
        <v/>
      </c>
      <c r="N570" s="287">
        <f>IF(C570="Sale",SUMIFS($D$4:D570,$B$4:B570,B570,$C$4:C570,"")+SUMIFS($D$4:D570,$B$4:B570,B570,$C$4:C570,"Purch")-SUMIFS($D$4:D570,$B$4:B570,B570,$C$4:C570,"Sale"),0)</f>
        <v>0</v>
      </c>
    </row>
    <row r="571" spans="1:14" x14ac:dyDescent="0.2">
      <c r="A571" s="152"/>
      <c r="B571" s="132"/>
      <c r="C571" s="132"/>
      <c r="D571" s="277"/>
      <c r="E571" s="132"/>
      <c r="F571" s="170"/>
      <c r="G571" s="150"/>
      <c r="H571" s="152"/>
      <c r="I571" s="204"/>
      <c r="J571" s="285"/>
      <c r="K571" s="251"/>
      <c r="L571" s="133" t="str">
        <f>IF(AND(I571&lt;&gt;"",ISERROR(IF(ISERROR(VLOOKUP(I571*1,Summary!$C$8:$C$153,1,0)),VLOOKUP(I571,Summary!$C$8:$C$153,1,0),VLOOKUP(I571*1,Summary!$C$8:$C$153,1,0)))),"Add account Number to Summary","")</f>
        <v/>
      </c>
      <c r="M571" s="131" t="str">
        <f t="shared" si="9"/>
        <v/>
      </c>
      <c r="N571" s="287">
        <f>IF(C571="Sale",SUMIFS($D$4:D571,$B$4:B571,B571,$C$4:C571,"")+SUMIFS($D$4:D571,$B$4:B571,B571,$C$4:C571,"Purch")-SUMIFS($D$4:D571,$B$4:B571,B571,$C$4:C571,"Sale"),0)</f>
        <v>0</v>
      </c>
    </row>
    <row r="572" spans="1:14" x14ac:dyDescent="0.2">
      <c r="A572" s="152"/>
      <c r="B572" s="132"/>
      <c r="C572" s="132"/>
      <c r="D572" s="277"/>
      <c r="E572" s="132"/>
      <c r="F572" s="170"/>
      <c r="G572" s="150"/>
      <c r="H572" s="152"/>
      <c r="I572" s="204"/>
      <c r="J572" s="285"/>
      <c r="K572" s="251"/>
      <c r="L572" s="133" t="str">
        <f>IF(AND(I572&lt;&gt;"",ISERROR(IF(ISERROR(VLOOKUP(I572*1,Summary!$C$8:$C$153,1,0)),VLOOKUP(I572,Summary!$C$8:$C$153,1,0),VLOOKUP(I572*1,Summary!$C$8:$C$153,1,0)))),"Add account Number to Summary","")</f>
        <v/>
      </c>
      <c r="M572" s="131" t="str">
        <f t="shared" si="9"/>
        <v/>
      </c>
      <c r="N572" s="287">
        <f>IF(C572="Sale",SUMIFS($D$4:D572,$B$4:B572,B572,$C$4:C572,"")+SUMIFS($D$4:D572,$B$4:B572,B572,$C$4:C572,"Purch")-SUMIFS($D$4:D572,$B$4:B572,B572,$C$4:C572,"Sale"),0)</f>
        <v>0</v>
      </c>
    </row>
    <row r="573" spans="1:14" x14ac:dyDescent="0.2">
      <c r="A573" s="152"/>
      <c r="B573" s="132"/>
      <c r="C573" s="132"/>
      <c r="D573" s="277"/>
      <c r="E573" s="132"/>
      <c r="F573" s="170"/>
      <c r="G573" s="150"/>
      <c r="H573" s="152"/>
      <c r="I573" s="204"/>
      <c r="J573" s="285"/>
      <c r="K573" s="251"/>
      <c r="L573" s="133" t="str">
        <f>IF(AND(I573&lt;&gt;"",ISERROR(IF(ISERROR(VLOOKUP(I573*1,Summary!$C$8:$C$153,1,0)),VLOOKUP(I573,Summary!$C$8:$C$153,1,0),VLOOKUP(I573*1,Summary!$C$8:$C$153,1,0)))),"Add account Number to Summary","")</f>
        <v/>
      </c>
      <c r="M573" s="131" t="str">
        <f t="shared" si="9"/>
        <v/>
      </c>
      <c r="N573" s="287">
        <f>IF(C573="Sale",SUMIFS($D$4:D573,$B$4:B573,B573,$C$4:C573,"")+SUMIFS($D$4:D573,$B$4:B573,B573,$C$4:C573,"Purch")-SUMIFS($D$4:D573,$B$4:B573,B573,$C$4:C573,"Sale"),0)</f>
        <v>0</v>
      </c>
    </row>
    <row r="574" spans="1:14" x14ac:dyDescent="0.2">
      <c r="A574" s="152"/>
      <c r="B574" s="132"/>
      <c r="C574" s="132"/>
      <c r="D574" s="277"/>
      <c r="E574" s="132"/>
      <c r="F574" s="170"/>
      <c r="G574" s="150"/>
      <c r="H574" s="152"/>
      <c r="I574" s="204"/>
      <c r="J574" s="285"/>
      <c r="K574" s="251"/>
      <c r="L574" s="133" t="str">
        <f>IF(AND(I574&lt;&gt;"",ISERROR(IF(ISERROR(VLOOKUP(I574*1,Summary!$C$8:$C$153,1,0)),VLOOKUP(I574,Summary!$C$8:$C$153,1,0),VLOOKUP(I574*1,Summary!$C$8:$C$153,1,0)))),"Add account Number to Summary","")</f>
        <v/>
      </c>
      <c r="M574" s="131" t="str">
        <f t="shared" si="9"/>
        <v/>
      </c>
      <c r="N574" s="287">
        <f>IF(C574="Sale",SUMIFS($D$4:D574,$B$4:B574,B574,$C$4:C574,"")+SUMIFS($D$4:D574,$B$4:B574,B574,$C$4:C574,"Purch")-SUMIFS($D$4:D574,$B$4:B574,B574,$C$4:C574,"Sale"),0)</f>
        <v>0</v>
      </c>
    </row>
    <row r="575" spans="1:14" x14ac:dyDescent="0.2">
      <c r="A575" s="152"/>
      <c r="B575" s="132"/>
      <c r="C575" s="132"/>
      <c r="D575" s="277"/>
      <c r="E575" s="132"/>
      <c r="F575" s="170"/>
      <c r="G575" s="150"/>
      <c r="H575" s="152"/>
      <c r="I575" s="204"/>
      <c r="J575" s="285"/>
      <c r="K575" s="251"/>
      <c r="L575" s="133" t="str">
        <f>IF(AND(I575&lt;&gt;"",ISERROR(IF(ISERROR(VLOOKUP(I575*1,Summary!$C$8:$C$153,1,0)),VLOOKUP(I575,Summary!$C$8:$C$153,1,0),VLOOKUP(I575*1,Summary!$C$8:$C$153,1,0)))),"Add account Number to Summary","")</f>
        <v/>
      </c>
      <c r="M575" s="131" t="str">
        <f t="shared" si="9"/>
        <v/>
      </c>
      <c r="N575" s="287">
        <f>IF(C575="Sale",SUMIFS($D$4:D575,$B$4:B575,B575,$C$4:C575,"")+SUMIFS($D$4:D575,$B$4:B575,B575,$C$4:C575,"Purch")-SUMIFS($D$4:D575,$B$4:B575,B575,$C$4:C575,"Sale"),0)</f>
        <v>0</v>
      </c>
    </row>
    <row r="576" spans="1:14" x14ac:dyDescent="0.2">
      <c r="A576" s="152"/>
      <c r="B576" s="132"/>
      <c r="C576" s="132"/>
      <c r="D576" s="277"/>
      <c r="E576" s="132"/>
      <c r="F576" s="170"/>
      <c r="G576" s="150"/>
      <c r="H576" s="152"/>
      <c r="I576" s="204"/>
      <c r="J576" s="285"/>
      <c r="K576" s="251"/>
      <c r="L576" s="133" t="str">
        <f>IF(AND(I576&lt;&gt;"",ISERROR(IF(ISERROR(VLOOKUP(I576*1,Summary!$C$8:$C$153,1,0)),VLOOKUP(I576,Summary!$C$8:$C$153,1,0),VLOOKUP(I576*1,Summary!$C$8:$C$153,1,0)))),"Add account Number to Summary","")</f>
        <v/>
      </c>
      <c r="M576" s="131" t="str">
        <f t="shared" si="9"/>
        <v/>
      </c>
      <c r="N576" s="287">
        <f>IF(C576="Sale",SUMIFS($D$4:D576,$B$4:B576,B576,$C$4:C576,"")+SUMIFS($D$4:D576,$B$4:B576,B576,$C$4:C576,"Purch")-SUMIFS($D$4:D576,$B$4:B576,B576,$C$4:C576,"Sale"),0)</f>
        <v>0</v>
      </c>
    </row>
    <row r="577" spans="1:14" x14ac:dyDescent="0.2">
      <c r="A577" s="152"/>
      <c r="B577" s="132"/>
      <c r="C577" s="132"/>
      <c r="D577" s="277"/>
      <c r="E577" s="132"/>
      <c r="F577" s="170"/>
      <c r="G577" s="150"/>
      <c r="H577" s="152"/>
      <c r="I577" s="204"/>
      <c r="J577" s="285"/>
      <c r="K577" s="251"/>
      <c r="L577" s="133" t="str">
        <f>IF(AND(I577&lt;&gt;"",ISERROR(IF(ISERROR(VLOOKUP(I577*1,Summary!$C$8:$C$153,1,0)),VLOOKUP(I577,Summary!$C$8:$C$153,1,0),VLOOKUP(I577*1,Summary!$C$8:$C$153,1,0)))),"Add account Number to Summary","")</f>
        <v/>
      </c>
      <c r="M577" s="131" t="str">
        <f t="shared" si="9"/>
        <v/>
      </c>
      <c r="N577" s="287">
        <f>IF(C577="Sale",SUMIFS($D$4:D577,$B$4:B577,B577,$C$4:C577,"")+SUMIFS($D$4:D577,$B$4:B577,B577,$C$4:C577,"Purch")-SUMIFS($D$4:D577,$B$4:B577,B577,$C$4:C577,"Sale"),0)</f>
        <v>0</v>
      </c>
    </row>
    <row r="578" spans="1:14" x14ac:dyDescent="0.2">
      <c r="A578" s="152"/>
      <c r="B578" s="132"/>
      <c r="C578" s="132"/>
      <c r="D578" s="277"/>
      <c r="E578" s="132"/>
      <c r="F578" s="170"/>
      <c r="G578" s="150"/>
      <c r="H578" s="152"/>
      <c r="I578" s="204"/>
      <c r="J578" s="285"/>
      <c r="K578" s="251"/>
      <c r="L578" s="133" t="str">
        <f>IF(AND(I578&lt;&gt;"",ISERROR(IF(ISERROR(VLOOKUP(I578*1,Summary!$C$8:$C$153,1,0)),VLOOKUP(I578,Summary!$C$8:$C$153,1,0),VLOOKUP(I578*1,Summary!$C$8:$C$153,1,0)))),"Add account Number to Summary","")</f>
        <v/>
      </c>
      <c r="M578" s="131" t="str">
        <f t="shared" si="9"/>
        <v/>
      </c>
      <c r="N578" s="287">
        <f>IF(C578="Sale",SUMIFS($D$4:D578,$B$4:B578,B578,$C$4:C578,"")+SUMIFS($D$4:D578,$B$4:B578,B578,$C$4:C578,"Purch")-SUMIFS($D$4:D578,$B$4:B578,B578,$C$4:C578,"Sale"),0)</f>
        <v>0</v>
      </c>
    </row>
    <row r="579" spans="1:14" x14ac:dyDescent="0.2">
      <c r="A579" s="152"/>
      <c r="B579" s="132"/>
      <c r="C579" s="132"/>
      <c r="D579" s="277"/>
      <c r="E579" s="132"/>
      <c r="F579" s="170"/>
      <c r="G579" s="150"/>
      <c r="H579" s="152"/>
      <c r="I579" s="204"/>
      <c r="J579" s="285"/>
      <c r="K579" s="251"/>
      <c r="L579" s="133" t="str">
        <f>IF(AND(I579&lt;&gt;"",ISERROR(IF(ISERROR(VLOOKUP(I579*1,Summary!$C$8:$C$153,1,0)),VLOOKUP(I579,Summary!$C$8:$C$153,1,0),VLOOKUP(I579*1,Summary!$C$8:$C$153,1,0)))),"Add account Number to Summary","")</f>
        <v/>
      </c>
      <c r="M579" s="131" t="str">
        <f t="shared" si="9"/>
        <v/>
      </c>
      <c r="N579" s="287">
        <f>IF(C579="Sale",SUMIFS($D$4:D579,$B$4:B579,B579,$C$4:C579,"")+SUMIFS($D$4:D579,$B$4:B579,B579,$C$4:C579,"Purch")-SUMIFS($D$4:D579,$B$4:B579,B579,$C$4:C579,"Sale"),0)</f>
        <v>0</v>
      </c>
    </row>
    <row r="580" spans="1:14" x14ac:dyDescent="0.2">
      <c r="A580" s="152"/>
      <c r="B580" s="132"/>
      <c r="C580" s="132"/>
      <c r="D580" s="277"/>
      <c r="E580" s="132"/>
      <c r="F580" s="170"/>
      <c r="G580" s="150"/>
      <c r="H580" s="152"/>
      <c r="I580" s="204"/>
      <c r="J580" s="285"/>
      <c r="K580" s="251"/>
      <c r="L580" s="133" t="str">
        <f>IF(AND(I580&lt;&gt;"",ISERROR(IF(ISERROR(VLOOKUP(I580*1,Summary!$C$8:$C$153,1,0)),VLOOKUP(I580,Summary!$C$8:$C$153,1,0),VLOOKUP(I580*1,Summary!$C$8:$C$153,1,0)))),"Add account Number to Summary","")</f>
        <v/>
      </c>
      <c r="M580" s="131" t="str">
        <f t="shared" si="9"/>
        <v/>
      </c>
      <c r="N580" s="287">
        <f>IF(C580="Sale",SUMIFS($D$4:D580,$B$4:B580,B580,$C$4:C580,"")+SUMIFS($D$4:D580,$B$4:B580,B580,$C$4:C580,"Purch")-SUMIFS($D$4:D580,$B$4:B580,B580,$C$4:C580,"Sale"),0)</f>
        <v>0</v>
      </c>
    </row>
    <row r="581" spans="1:14" x14ac:dyDescent="0.2">
      <c r="A581" s="152"/>
      <c r="B581" s="132"/>
      <c r="C581" s="132"/>
      <c r="D581" s="277"/>
      <c r="E581" s="132"/>
      <c r="F581" s="170"/>
      <c r="G581" s="150"/>
      <c r="H581" s="152"/>
      <c r="I581" s="204"/>
      <c r="J581" s="285"/>
      <c r="K581" s="251"/>
      <c r="L581" s="133" t="str">
        <f>IF(AND(I581&lt;&gt;"",ISERROR(IF(ISERROR(VLOOKUP(I581*1,Summary!$C$8:$C$153,1,0)),VLOOKUP(I581,Summary!$C$8:$C$153,1,0),VLOOKUP(I581*1,Summary!$C$8:$C$153,1,0)))),"Add account Number to Summary","")</f>
        <v/>
      </c>
      <c r="M581" s="131" t="str">
        <f t="shared" si="9"/>
        <v/>
      </c>
      <c r="N581" s="287">
        <f>IF(C581="Sale",SUMIFS($D$4:D581,$B$4:B581,B581,$C$4:C581,"")+SUMIFS($D$4:D581,$B$4:B581,B581,$C$4:C581,"Purch")-SUMIFS($D$4:D581,$B$4:B581,B581,$C$4:C581,"Sale"),0)</f>
        <v>0</v>
      </c>
    </row>
    <row r="582" spans="1:14" x14ac:dyDescent="0.2">
      <c r="A582" s="152"/>
      <c r="B582" s="132"/>
      <c r="C582" s="132"/>
      <c r="D582" s="277"/>
      <c r="E582" s="132"/>
      <c r="F582" s="170"/>
      <c r="G582" s="150"/>
      <c r="H582" s="152"/>
      <c r="I582" s="204"/>
      <c r="J582" s="285"/>
      <c r="K582" s="251"/>
      <c r="L582" s="133" t="str">
        <f>IF(AND(I582&lt;&gt;"",ISERROR(IF(ISERROR(VLOOKUP(I582*1,Summary!$C$8:$C$153,1,0)),VLOOKUP(I582,Summary!$C$8:$C$153,1,0),VLOOKUP(I582*1,Summary!$C$8:$C$153,1,0)))),"Add account Number to Summary","")</f>
        <v/>
      </c>
      <c r="M582" s="131" t="str">
        <f t="shared" si="9"/>
        <v/>
      </c>
      <c r="N582" s="287">
        <f>IF(C582="Sale",SUMIFS($D$4:D582,$B$4:B582,B582,$C$4:C582,"")+SUMIFS($D$4:D582,$B$4:B582,B582,$C$4:C582,"Purch")-SUMIFS($D$4:D582,$B$4:B582,B582,$C$4:C582,"Sale"),0)</f>
        <v>0</v>
      </c>
    </row>
    <row r="583" spans="1:14" x14ac:dyDescent="0.2">
      <c r="A583" s="152"/>
      <c r="B583" s="132"/>
      <c r="C583" s="132"/>
      <c r="D583" s="277"/>
      <c r="E583" s="132"/>
      <c r="F583" s="170"/>
      <c r="G583" s="150"/>
      <c r="H583" s="152"/>
      <c r="I583" s="204"/>
      <c r="J583" s="285"/>
      <c r="K583" s="251"/>
      <c r="L583" s="133" t="str">
        <f>IF(AND(I583&lt;&gt;"",ISERROR(IF(ISERROR(VLOOKUP(I583*1,Summary!$C$8:$C$153,1,0)),VLOOKUP(I583,Summary!$C$8:$C$153,1,0),VLOOKUP(I583*1,Summary!$C$8:$C$153,1,0)))),"Add account Number to Summary","")</f>
        <v/>
      </c>
      <c r="M583" s="131" t="str">
        <f t="shared" si="9"/>
        <v/>
      </c>
      <c r="N583" s="287">
        <f>IF(C583="Sale",SUMIFS($D$4:D583,$B$4:B583,B583,$C$4:C583,"")+SUMIFS($D$4:D583,$B$4:B583,B583,$C$4:C583,"Purch")-SUMIFS($D$4:D583,$B$4:B583,B583,$C$4:C583,"Sale"),0)</f>
        <v>0</v>
      </c>
    </row>
    <row r="584" spans="1:14" x14ac:dyDescent="0.2">
      <c r="A584" s="152"/>
      <c r="B584" s="132"/>
      <c r="C584" s="132"/>
      <c r="D584" s="277"/>
      <c r="E584" s="132"/>
      <c r="F584" s="170"/>
      <c r="G584" s="150"/>
      <c r="H584" s="152"/>
      <c r="I584" s="204"/>
      <c r="J584" s="285"/>
      <c r="K584" s="251"/>
      <c r="L584" s="133" t="str">
        <f>IF(AND(I584&lt;&gt;"",ISERROR(IF(ISERROR(VLOOKUP(I584*1,Summary!$C$8:$C$153,1,0)),VLOOKUP(I584,Summary!$C$8:$C$153,1,0),VLOOKUP(I584*1,Summary!$C$8:$C$153,1,0)))),"Add account Number to Summary","")</f>
        <v/>
      </c>
      <c r="M584" s="131" t="str">
        <f t="shared" si="9"/>
        <v/>
      </c>
      <c r="N584" s="287">
        <f>IF(C584="Sale",SUMIFS($D$4:D584,$B$4:B584,B584,$C$4:C584,"")+SUMIFS($D$4:D584,$B$4:B584,B584,$C$4:C584,"Purch")-SUMIFS($D$4:D584,$B$4:B584,B584,$C$4:C584,"Sale"),0)</f>
        <v>0</v>
      </c>
    </row>
    <row r="585" spans="1:14" x14ac:dyDescent="0.2">
      <c r="A585" s="152"/>
      <c r="B585" s="132"/>
      <c r="C585" s="132"/>
      <c r="D585" s="277"/>
      <c r="E585" s="132"/>
      <c r="F585" s="170"/>
      <c r="G585" s="150"/>
      <c r="H585" s="152"/>
      <c r="I585" s="204"/>
      <c r="J585" s="285"/>
      <c r="K585" s="251"/>
      <c r="L585" s="133" t="str">
        <f>IF(AND(I585&lt;&gt;"",ISERROR(IF(ISERROR(VLOOKUP(I585*1,Summary!$C$8:$C$153,1,0)),VLOOKUP(I585,Summary!$C$8:$C$153,1,0),VLOOKUP(I585*1,Summary!$C$8:$C$153,1,0)))),"Add account Number to Summary","")</f>
        <v/>
      </c>
      <c r="M585" s="131" t="str">
        <f t="shared" si="9"/>
        <v/>
      </c>
      <c r="N585" s="287">
        <f>IF(C585="Sale",SUMIFS($D$4:D585,$B$4:B585,B585,$C$4:C585,"")+SUMIFS($D$4:D585,$B$4:B585,B585,$C$4:C585,"Purch")-SUMIFS($D$4:D585,$B$4:B585,B585,$C$4:C585,"Sale"),0)</f>
        <v>0</v>
      </c>
    </row>
    <row r="586" spans="1:14" x14ac:dyDescent="0.2">
      <c r="A586" s="152"/>
      <c r="B586" s="132"/>
      <c r="C586" s="132"/>
      <c r="D586" s="277"/>
      <c r="E586" s="132"/>
      <c r="F586" s="170"/>
      <c r="G586" s="150"/>
      <c r="H586" s="152"/>
      <c r="I586" s="204"/>
      <c r="J586" s="285"/>
      <c r="K586" s="251"/>
      <c r="L586" s="133" t="str">
        <f>IF(AND(I586&lt;&gt;"",ISERROR(IF(ISERROR(VLOOKUP(I586*1,Summary!$C$8:$C$153,1,0)),VLOOKUP(I586,Summary!$C$8:$C$153,1,0),VLOOKUP(I586*1,Summary!$C$8:$C$153,1,0)))),"Add account Number to Summary","")</f>
        <v/>
      </c>
      <c r="M586" s="131" t="str">
        <f t="shared" si="9"/>
        <v/>
      </c>
      <c r="N586" s="287">
        <f>IF(C586="Sale",SUMIFS($D$4:D586,$B$4:B586,B586,$C$4:C586,"")+SUMIFS($D$4:D586,$B$4:B586,B586,$C$4:C586,"Purch")-SUMIFS($D$4:D586,$B$4:B586,B586,$C$4:C586,"Sale"),0)</f>
        <v>0</v>
      </c>
    </row>
    <row r="587" spans="1:14" x14ac:dyDescent="0.2">
      <c r="A587" s="152"/>
      <c r="B587" s="132"/>
      <c r="C587" s="132"/>
      <c r="D587" s="277"/>
      <c r="E587" s="132"/>
      <c r="F587" s="170"/>
      <c r="G587" s="150"/>
      <c r="H587" s="152"/>
      <c r="I587" s="204"/>
      <c r="J587" s="285"/>
      <c r="K587" s="251"/>
      <c r="L587" s="133" t="str">
        <f>IF(AND(I587&lt;&gt;"",ISERROR(IF(ISERROR(VLOOKUP(I587*1,Summary!$C$8:$C$153,1,0)),VLOOKUP(I587,Summary!$C$8:$C$153,1,0),VLOOKUP(I587*1,Summary!$C$8:$C$153,1,0)))),"Add account Number to Summary","")</f>
        <v/>
      </c>
      <c r="M587" s="131" t="str">
        <f t="shared" si="9"/>
        <v/>
      </c>
      <c r="N587" s="287">
        <f>IF(C587="Sale",SUMIFS($D$4:D587,$B$4:B587,B587,$C$4:C587,"")+SUMIFS($D$4:D587,$B$4:B587,B587,$C$4:C587,"Purch")-SUMIFS($D$4:D587,$B$4:B587,B587,$C$4:C587,"Sale"),0)</f>
        <v>0</v>
      </c>
    </row>
    <row r="588" spans="1:14" x14ac:dyDescent="0.2">
      <c r="A588" s="152"/>
      <c r="B588" s="132"/>
      <c r="C588" s="132"/>
      <c r="D588" s="277"/>
      <c r="E588" s="132"/>
      <c r="F588" s="170"/>
      <c r="G588" s="150"/>
      <c r="H588" s="152"/>
      <c r="I588" s="204"/>
      <c r="J588" s="285"/>
      <c r="K588" s="251"/>
      <c r="L588" s="133" t="str">
        <f>IF(AND(I588&lt;&gt;"",ISERROR(IF(ISERROR(VLOOKUP(I588*1,Summary!$C$8:$C$153,1,0)),VLOOKUP(I588,Summary!$C$8:$C$153,1,0),VLOOKUP(I588*1,Summary!$C$8:$C$153,1,0)))),"Add account Number to Summary","")</f>
        <v/>
      </c>
      <c r="M588" s="131" t="str">
        <f t="shared" si="9"/>
        <v/>
      </c>
      <c r="N588" s="287">
        <f>IF(C588="Sale",SUMIFS($D$4:D588,$B$4:B588,B588,$C$4:C588,"")+SUMIFS($D$4:D588,$B$4:B588,B588,$C$4:C588,"Purch")-SUMIFS($D$4:D588,$B$4:B588,B588,$C$4:C588,"Sale"),0)</f>
        <v>0</v>
      </c>
    </row>
    <row r="589" spans="1:14" x14ac:dyDescent="0.2">
      <c r="A589" s="152"/>
      <c r="B589" s="132"/>
      <c r="C589" s="132"/>
      <c r="D589" s="277"/>
      <c r="E589" s="132"/>
      <c r="F589" s="170"/>
      <c r="G589" s="150"/>
      <c r="H589" s="152"/>
      <c r="I589" s="204"/>
      <c r="J589" s="285"/>
      <c r="K589" s="251"/>
      <c r="L589" s="133" t="str">
        <f>IF(AND(I589&lt;&gt;"",ISERROR(IF(ISERROR(VLOOKUP(I589*1,Summary!$C$8:$C$153,1,0)),VLOOKUP(I589,Summary!$C$8:$C$153,1,0),VLOOKUP(I589*1,Summary!$C$8:$C$153,1,0)))),"Add account Number to Summary","")</f>
        <v/>
      </c>
      <c r="M589" s="131" t="str">
        <f t="shared" si="9"/>
        <v/>
      </c>
      <c r="N589" s="287">
        <f>IF(C589="Sale",SUMIFS($D$4:D589,$B$4:B589,B589,$C$4:C589,"")+SUMIFS($D$4:D589,$B$4:B589,B589,$C$4:C589,"Purch")-SUMIFS($D$4:D589,$B$4:B589,B589,$C$4:C589,"Sale"),0)</f>
        <v>0</v>
      </c>
    </row>
    <row r="590" spans="1:14" x14ac:dyDescent="0.2">
      <c r="A590" s="152"/>
      <c r="B590" s="132"/>
      <c r="C590" s="132"/>
      <c r="D590" s="277"/>
      <c r="E590" s="132"/>
      <c r="F590" s="170"/>
      <c r="G590" s="150"/>
      <c r="H590" s="152"/>
      <c r="I590" s="204"/>
      <c r="J590" s="285"/>
      <c r="K590" s="251"/>
      <c r="L590" s="133" t="str">
        <f>IF(AND(I590&lt;&gt;"",ISERROR(IF(ISERROR(VLOOKUP(I590*1,Summary!$C$8:$C$153,1,0)),VLOOKUP(I590,Summary!$C$8:$C$153,1,0),VLOOKUP(I590*1,Summary!$C$8:$C$153,1,0)))),"Add account Number to Summary","")</f>
        <v/>
      </c>
      <c r="M590" s="131" t="str">
        <f t="shared" si="9"/>
        <v/>
      </c>
      <c r="N590" s="287">
        <f>IF(C590="Sale",SUMIFS($D$4:D590,$B$4:B590,B590,$C$4:C590,"")+SUMIFS($D$4:D590,$B$4:B590,B590,$C$4:C590,"Purch")-SUMIFS($D$4:D590,$B$4:B590,B590,$C$4:C590,"Sale"),0)</f>
        <v>0</v>
      </c>
    </row>
    <row r="591" spans="1:14" x14ac:dyDescent="0.2">
      <c r="A591" s="152"/>
      <c r="B591" s="132"/>
      <c r="C591" s="132"/>
      <c r="D591" s="277"/>
      <c r="E591" s="132"/>
      <c r="F591" s="170"/>
      <c r="G591" s="150"/>
      <c r="H591" s="152"/>
      <c r="I591" s="204"/>
      <c r="J591" s="285"/>
      <c r="K591" s="251"/>
      <c r="L591" s="133" t="str">
        <f>IF(AND(I591&lt;&gt;"",ISERROR(IF(ISERROR(VLOOKUP(I591*1,Summary!$C$8:$C$153,1,0)),VLOOKUP(I591,Summary!$C$8:$C$153,1,0),VLOOKUP(I591*1,Summary!$C$8:$C$153,1,0)))),"Add account Number to Summary","")</f>
        <v/>
      </c>
      <c r="M591" s="131" t="str">
        <f t="shared" si="9"/>
        <v/>
      </c>
      <c r="N591" s="287">
        <f>IF(C591="Sale",SUMIFS($D$4:D591,$B$4:B591,B591,$C$4:C591,"")+SUMIFS($D$4:D591,$B$4:B591,B591,$C$4:C591,"Purch")-SUMIFS($D$4:D591,$B$4:B591,B591,$C$4:C591,"Sale"),0)</f>
        <v>0</v>
      </c>
    </row>
    <row r="592" spans="1:14" x14ac:dyDescent="0.2">
      <c r="A592" s="152"/>
      <c r="B592" s="132"/>
      <c r="C592" s="132"/>
      <c r="D592" s="277"/>
      <c r="E592" s="132"/>
      <c r="F592" s="170"/>
      <c r="G592" s="150"/>
      <c r="H592" s="152"/>
      <c r="I592" s="204"/>
      <c r="J592" s="285"/>
      <c r="K592" s="251"/>
      <c r="L592" s="133" t="str">
        <f>IF(AND(I592&lt;&gt;"",ISERROR(IF(ISERROR(VLOOKUP(I592*1,Summary!$C$8:$C$153,1,0)),VLOOKUP(I592,Summary!$C$8:$C$153,1,0),VLOOKUP(I592*1,Summary!$C$8:$C$153,1,0)))),"Add account Number to Summary","")</f>
        <v/>
      </c>
      <c r="M592" s="131" t="str">
        <f t="shared" si="9"/>
        <v/>
      </c>
      <c r="N592" s="287">
        <f>IF(C592="Sale",SUMIFS($D$4:D592,$B$4:B592,B592,$C$4:C592,"")+SUMIFS($D$4:D592,$B$4:B592,B592,$C$4:C592,"Purch")-SUMIFS($D$4:D592,$B$4:B592,B592,$C$4:C592,"Sale"),0)</f>
        <v>0</v>
      </c>
    </row>
    <row r="593" spans="1:14" x14ac:dyDescent="0.2">
      <c r="A593" s="152"/>
      <c r="B593" s="132"/>
      <c r="C593" s="132"/>
      <c r="D593" s="277"/>
      <c r="E593" s="132"/>
      <c r="F593" s="170"/>
      <c r="G593" s="150"/>
      <c r="H593" s="152"/>
      <c r="I593" s="204"/>
      <c r="J593" s="285"/>
      <c r="K593" s="251"/>
      <c r="L593" s="133" t="str">
        <f>IF(AND(I593&lt;&gt;"",ISERROR(IF(ISERROR(VLOOKUP(I593*1,Summary!$C$8:$C$153,1,0)),VLOOKUP(I593,Summary!$C$8:$C$153,1,0),VLOOKUP(I593*1,Summary!$C$8:$C$153,1,0)))),"Add account Number to Summary","")</f>
        <v/>
      </c>
      <c r="M593" s="131" t="str">
        <f t="shared" si="9"/>
        <v/>
      </c>
      <c r="N593" s="287">
        <f>IF(C593="Sale",SUMIFS($D$4:D593,$B$4:B593,B593,$C$4:C593,"")+SUMIFS($D$4:D593,$B$4:B593,B593,$C$4:C593,"Purch")-SUMIFS($D$4:D593,$B$4:B593,B593,$C$4:C593,"Sale"),0)</f>
        <v>0</v>
      </c>
    </row>
    <row r="594" spans="1:14" x14ac:dyDescent="0.2">
      <c r="A594" s="152"/>
      <c r="B594" s="132"/>
      <c r="C594" s="132"/>
      <c r="D594" s="277"/>
      <c r="E594" s="132"/>
      <c r="F594" s="170"/>
      <c r="G594" s="150"/>
      <c r="H594" s="152"/>
      <c r="I594" s="204"/>
      <c r="J594" s="285"/>
      <c r="K594" s="251"/>
      <c r="L594" s="133" t="str">
        <f>IF(AND(I594&lt;&gt;"",ISERROR(IF(ISERROR(VLOOKUP(I594*1,Summary!$C$8:$C$153,1,0)),VLOOKUP(I594,Summary!$C$8:$C$153,1,0),VLOOKUP(I594*1,Summary!$C$8:$C$153,1,0)))),"Add account Number to Summary","")</f>
        <v/>
      </c>
      <c r="M594" s="131" t="str">
        <f t="shared" si="9"/>
        <v/>
      </c>
      <c r="N594" s="287">
        <f>IF(C594="Sale",SUMIFS($D$4:D594,$B$4:B594,B594,$C$4:C594,"")+SUMIFS($D$4:D594,$B$4:B594,B594,$C$4:C594,"Purch")-SUMIFS($D$4:D594,$B$4:B594,B594,$C$4:C594,"Sale"),0)</f>
        <v>0</v>
      </c>
    </row>
    <row r="595" spans="1:14" x14ac:dyDescent="0.2">
      <c r="A595" s="152"/>
      <c r="B595" s="132"/>
      <c r="C595" s="132"/>
      <c r="D595" s="277"/>
      <c r="E595" s="132"/>
      <c r="F595" s="170"/>
      <c r="G595" s="150"/>
      <c r="H595" s="152"/>
      <c r="I595" s="204"/>
      <c r="J595" s="285"/>
      <c r="K595" s="251"/>
      <c r="L595" s="133" t="str">
        <f>IF(AND(I595&lt;&gt;"",ISERROR(IF(ISERROR(VLOOKUP(I595*1,Summary!$C$8:$C$153,1,0)),VLOOKUP(I595,Summary!$C$8:$C$153,1,0),VLOOKUP(I595*1,Summary!$C$8:$C$153,1,0)))),"Add account Number to Summary","")</f>
        <v/>
      </c>
      <c r="M595" s="131" t="str">
        <f t="shared" si="9"/>
        <v/>
      </c>
      <c r="N595" s="287">
        <f>IF(C595="Sale",SUMIFS($D$4:D595,$B$4:B595,B595,$C$4:C595,"")+SUMIFS($D$4:D595,$B$4:B595,B595,$C$4:C595,"Purch")-SUMIFS($D$4:D595,$B$4:B595,B595,$C$4:C595,"Sale"),0)</f>
        <v>0</v>
      </c>
    </row>
    <row r="596" spans="1:14" x14ac:dyDescent="0.2">
      <c r="A596" s="152"/>
      <c r="B596" s="132"/>
      <c r="C596" s="132"/>
      <c r="D596" s="277"/>
      <c r="E596" s="132"/>
      <c r="F596" s="170"/>
      <c r="G596" s="150"/>
      <c r="H596" s="152"/>
      <c r="I596" s="204"/>
      <c r="J596" s="285"/>
      <c r="K596" s="251"/>
      <c r="L596" s="133" t="str">
        <f>IF(AND(I596&lt;&gt;"",ISERROR(IF(ISERROR(VLOOKUP(I596*1,Summary!$C$8:$C$153,1,0)),VLOOKUP(I596,Summary!$C$8:$C$153,1,0),VLOOKUP(I596*1,Summary!$C$8:$C$153,1,0)))),"Add account Number to Summary","")</f>
        <v/>
      </c>
      <c r="M596" s="131" t="str">
        <f t="shared" si="9"/>
        <v/>
      </c>
      <c r="N596" s="287">
        <f>IF(C596="Sale",SUMIFS($D$4:D596,$B$4:B596,B596,$C$4:C596,"")+SUMIFS($D$4:D596,$B$4:B596,B596,$C$4:C596,"Purch")-SUMIFS($D$4:D596,$B$4:B596,B596,$C$4:C596,"Sale"),0)</f>
        <v>0</v>
      </c>
    </row>
    <row r="597" spans="1:14" x14ac:dyDescent="0.2">
      <c r="A597" s="152"/>
      <c r="B597" s="132"/>
      <c r="C597" s="132"/>
      <c r="D597" s="277"/>
      <c r="E597" s="132"/>
      <c r="F597" s="170"/>
      <c r="G597" s="150"/>
      <c r="H597" s="152"/>
      <c r="I597" s="204"/>
      <c r="J597" s="285"/>
      <c r="K597" s="251"/>
      <c r="L597" s="133" t="str">
        <f>IF(AND(I597&lt;&gt;"",ISERROR(IF(ISERROR(VLOOKUP(I597*1,Summary!$C$8:$C$153,1,0)),VLOOKUP(I597,Summary!$C$8:$C$153,1,0),VLOOKUP(I597*1,Summary!$C$8:$C$153,1,0)))),"Add account Number to Summary","")</f>
        <v/>
      </c>
      <c r="M597" s="131" t="str">
        <f t="shared" si="9"/>
        <v/>
      </c>
      <c r="N597" s="287">
        <f>IF(C597="Sale",SUMIFS($D$4:D597,$B$4:B597,B597,$C$4:C597,"")+SUMIFS($D$4:D597,$B$4:B597,B597,$C$4:C597,"Purch")-SUMIFS($D$4:D597,$B$4:B597,B597,$C$4:C597,"Sale"),0)</f>
        <v>0</v>
      </c>
    </row>
    <row r="598" spans="1:14" x14ac:dyDescent="0.2">
      <c r="A598" s="152"/>
      <c r="B598" s="132"/>
      <c r="C598" s="132"/>
      <c r="D598" s="277"/>
      <c r="E598" s="132"/>
      <c r="F598" s="170"/>
      <c r="G598" s="150"/>
      <c r="H598" s="152"/>
      <c r="I598" s="204"/>
      <c r="J598" s="285"/>
      <c r="K598" s="251"/>
      <c r="L598" s="133" t="str">
        <f>IF(AND(I598&lt;&gt;"",ISERROR(IF(ISERROR(VLOOKUP(I598*1,Summary!$C$8:$C$153,1,0)),VLOOKUP(I598,Summary!$C$8:$C$153,1,0),VLOOKUP(I598*1,Summary!$C$8:$C$153,1,0)))),"Add account Number to Summary","")</f>
        <v/>
      </c>
      <c r="M598" s="131" t="str">
        <f t="shared" si="9"/>
        <v/>
      </c>
      <c r="N598" s="287">
        <f>IF(C598="Sale",SUMIFS($D$4:D598,$B$4:B598,B598,$C$4:C598,"")+SUMIFS($D$4:D598,$B$4:B598,B598,$C$4:C598,"Purch")-SUMIFS($D$4:D598,$B$4:B598,B598,$C$4:C598,"Sale"),0)</f>
        <v>0</v>
      </c>
    </row>
    <row r="599" spans="1:14" x14ac:dyDescent="0.2">
      <c r="A599" s="152"/>
      <c r="B599" s="132"/>
      <c r="C599" s="132"/>
      <c r="D599" s="277"/>
      <c r="E599" s="132"/>
      <c r="F599" s="170"/>
      <c r="G599" s="150"/>
      <c r="H599" s="152"/>
      <c r="I599" s="204"/>
      <c r="J599" s="285"/>
      <c r="K599" s="251"/>
      <c r="L599" s="133" t="str">
        <f>IF(AND(I599&lt;&gt;"",ISERROR(IF(ISERROR(VLOOKUP(I599*1,Summary!$C$8:$C$153,1,0)),VLOOKUP(I599,Summary!$C$8:$C$153,1,0),VLOOKUP(I599*1,Summary!$C$8:$C$153,1,0)))),"Add account Number to Summary","")</f>
        <v/>
      </c>
      <c r="M599" s="131" t="str">
        <f t="shared" si="9"/>
        <v/>
      </c>
      <c r="N599" s="287">
        <f>IF(C599="Sale",SUMIFS($D$4:D599,$B$4:B599,B599,$C$4:C599,"")+SUMIFS($D$4:D599,$B$4:B599,B599,$C$4:C599,"Purch")-SUMIFS($D$4:D599,$B$4:B599,B599,$C$4:C599,"Sale"),0)</f>
        <v>0</v>
      </c>
    </row>
    <row r="600" spans="1:14" x14ac:dyDescent="0.2">
      <c r="A600" s="152"/>
      <c r="B600" s="132"/>
      <c r="C600" s="132"/>
      <c r="D600" s="277"/>
      <c r="E600" s="132"/>
      <c r="F600" s="170"/>
      <c r="G600" s="150"/>
      <c r="H600" s="152"/>
      <c r="I600" s="204"/>
      <c r="J600" s="285"/>
      <c r="K600" s="251"/>
      <c r="L600" s="133" t="str">
        <f>IF(AND(I600&lt;&gt;"",ISERROR(IF(ISERROR(VLOOKUP(I600*1,Summary!$C$8:$C$153,1,0)),VLOOKUP(I600,Summary!$C$8:$C$153,1,0),VLOOKUP(I600*1,Summary!$C$8:$C$153,1,0)))),"Add account Number to Summary","")</f>
        <v/>
      </c>
      <c r="M600" s="131" t="str">
        <f t="shared" si="9"/>
        <v/>
      </c>
      <c r="N600" s="287">
        <f>IF(C600="Sale",SUMIFS($D$4:D600,$B$4:B600,B600,$C$4:C600,"")+SUMIFS($D$4:D600,$B$4:B600,B600,$C$4:C600,"Purch")-SUMIFS($D$4:D600,$B$4:B600,B600,$C$4:C600,"Sale"),0)</f>
        <v>0</v>
      </c>
    </row>
    <row r="601" spans="1:14" x14ac:dyDescent="0.2">
      <c r="A601" s="152"/>
      <c r="B601" s="132"/>
      <c r="C601" s="132"/>
      <c r="D601" s="277"/>
      <c r="E601" s="132"/>
      <c r="F601" s="170"/>
      <c r="G601" s="150"/>
      <c r="H601" s="152"/>
      <c r="I601" s="204"/>
      <c r="J601" s="285"/>
      <c r="K601" s="251"/>
      <c r="L601" s="133" t="str">
        <f>IF(AND(I601&lt;&gt;"",ISERROR(IF(ISERROR(VLOOKUP(I601*1,Summary!$C$8:$C$153,1,0)),VLOOKUP(I601,Summary!$C$8:$C$153,1,0),VLOOKUP(I601*1,Summary!$C$8:$C$153,1,0)))),"Add account Number to Summary","")</f>
        <v/>
      </c>
      <c r="M601" s="131" t="str">
        <f t="shared" si="9"/>
        <v/>
      </c>
      <c r="N601" s="287">
        <f>IF(C601="Sale",SUMIFS($D$4:D601,$B$4:B601,B601,$C$4:C601,"")+SUMIFS($D$4:D601,$B$4:B601,B601,$C$4:C601,"Purch")-SUMIFS($D$4:D601,$B$4:B601,B601,$C$4:C601,"Sale"),0)</f>
        <v>0</v>
      </c>
    </row>
    <row r="602" spans="1:14" x14ac:dyDescent="0.2">
      <c r="A602" s="152"/>
      <c r="B602" s="132"/>
      <c r="C602" s="132"/>
      <c r="D602" s="277"/>
      <c r="E602" s="132"/>
      <c r="F602" s="170"/>
      <c r="G602" s="150"/>
      <c r="H602" s="152"/>
      <c r="I602" s="204"/>
      <c r="J602" s="285"/>
      <c r="K602" s="251"/>
      <c r="L602" s="133" t="str">
        <f>IF(AND(I602&lt;&gt;"",ISERROR(IF(ISERROR(VLOOKUP(I602*1,Summary!$C$8:$C$153,1,0)),VLOOKUP(I602,Summary!$C$8:$C$153,1,0),VLOOKUP(I602*1,Summary!$C$8:$C$153,1,0)))),"Add account Number to Summary","")</f>
        <v/>
      </c>
      <c r="M602" s="131" t="str">
        <f t="shared" si="9"/>
        <v/>
      </c>
      <c r="N602" s="287">
        <f>IF(C602="Sale",SUMIFS($D$4:D602,$B$4:B602,B602,$C$4:C602,"")+SUMIFS($D$4:D602,$B$4:B602,B602,$C$4:C602,"Purch")-SUMIFS($D$4:D602,$B$4:B602,B602,$C$4:C602,"Sale"),0)</f>
        <v>0</v>
      </c>
    </row>
    <row r="603" spans="1:14" x14ac:dyDescent="0.2">
      <c r="A603" s="152"/>
      <c r="B603" s="132"/>
      <c r="C603" s="132"/>
      <c r="D603" s="277"/>
      <c r="E603" s="132"/>
      <c r="F603" s="170"/>
      <c r="G603" s="150"/>
      <c r="H603" s="152"/>
      <c r="I603" s="204"/>
      <c r="J603" s="285"/>
      <c r="K603" s="251"/>
      <c r="L603" s="133" t="str">
        <f>IF(AND(I603&lt;&gt;"",ISERROR(IF(ISERROR(VLOOKUP(I603*1,Summary!$C$8:$C$153,1,0)),VLOOKUP(I603,Summary!$C$8:$C$153,1,0),VLOOKUP(I603*1,Summary!$C$8:$C$153,1,0)))),"Add account Number to Summary","")</f>
        <v/>
      </c>
      <c r="M603" s="131" t="str">
        <f t="shared" si="9"/>
        <v/>
      </c>
      <c r="N603" s="287">
        <f>IF(C603="Sale",SUMIFS($D$4:D603,$B$4:B603,B603,$C$4:C603,"")+SUMIFS($D$4:D603,$B$4:B603,B603,$C$4:C603,"Purch")-SUMIFS($D$4:D603,$B$4:B603,B603,$C$4:C603,"Sale"),0)</f>
        <v>0</v>
      </c>
    </row>
    <row r="604" spans="1:14" x14ac:dyDescent="0.2">
      <c r="A604" s="152"/>
      <c r="B604" s="132"/>
      <c r="C604" s="132"/>
      <c r="D604" s="277"/>
      <c r="E604" s="132"/>
      <c r="F604" s="170"/>
      <c r="G604" s="150"/>
      <c r="H604" s="152"/>
      <c r="I604" s="204"/>
      <c r="J604" s="285"/>
      <c r="K604" s="251"/>
      <c r="L604" s="133" t="str">
        <f>IF(AND(I604&lt;&gt;"",ISERROR(IF(ISERROR(VLOOKUP(I604*1,Summary!$C$8:$C$153,1,0)),VLOOKUP(I604,Summary!$C$8:$C$153,1,0),VLOOKUP(I604*1,Summary!$C$8:$C$153,1,0)))),"Add account Number to Summary","")</f>
        <v/>
      </c>
      <c r="M604" s="131" t="str">
        <f t="shared" si="9"/>
        <v/>
      </c>
      <c r="N604" s="287">
        <f>IF(C604="Sale",SUMIFS($D$4:D604,$B$4:B604,B604,$C$4:C604,"")+SUMIFS($D$4:D604,$B$4:B604,B604,$C$4:C604,"Purch")-SUMIFS($D$4:D604,$B$4:B604,B604,$C$4:C604,"Sale"),0)</f>
        <v>0</v>
      </c>
    </row>
    <row r="605" spans="1:14" x14ac:dyDescent="0.2">
      <c r="A605" s="152"/>
      <c r="B605" s="132"/>
      <c r="C605" s="132"/>
      <c r="D605" s="277"/>
      <c r="E605" s="132"/>
      <c r="F605" s="170"/>
      <c r="G605" s="150"/>
      <c r="H605" s="152"/>
      <c r="I605" s="204"/>
      <c r="J605" s="285"/>
      <c r="K605" s="251"/>
      <c r="L605" s="133" t="str">
        <f>IF(AND(I605&lt;&gt;"",ISERROR(IF(ISERROR(VLOOKUP(I605*1,Summary!$C$8:$C$153,1,0)),VLOOKUP(I605,Summary!$C$8:$C$153,1,0),VLOOKUP(I605*1,Summary!$C$8:$C$153,1,0)))),"Add account Number to Summary","")</f>
        <v/>
      </c>
      <c r="M605" s="131" t="str">
        <f t="shared" si="9"/>
        <v/>
      </c>
      <c r="N605" s="287">
        <f>IF(C605="Sale",SUMIFS($D$4:D605,$B$4:B605,B605,$C$4:C605,"")+SUMIFS($D$4:D605,$B$4:B605,B605,$C$4:C605,"Purch")-SUMIFS($D$4:D605,$B$4:B605,B605,$C$4:C605,"Sale"),0)</f>
        <v>0</v>
      </c>
    </row>
    <row r="606" spans="1:14" x14ac:dyDescent="0.2">
      <c r="A606" s="152"/>
      <c r="B606" s="132"/>
      <c r="C606" s="132"/>
      <c r="D606" s="277"/>
      <c r="E606" s="132"/>
      <c r="F606" s="170"/>
      <c r="G606" s="150"/>
      <c r="H606" s="152"/>
      <c r="I606" s="204"/>
      <c r="J606" s="285"/>
      <c r="K606" s="251"/>
      <c r="L606" s="133" t="str">
        <f>IF(AND(I606&lt;&gt;"",ISERROR(IF(ISERROR(VLOOKUP(I606*1,Summary!$C$8:$C$153,1,0)),VLOOKUP(I606,Summary!$C$8:$C$153,1,0),VLOOKUP(I606*1,Summary!$C$8:$C$153,1,0)))),"Add account Number to Summary","")</f>
        <v/>
      </c>
      <c r="M606" s="131" t="str">
        <f t="shared" si="9"/>
        <v/>
      </c>
      <c r="N606" s="287">
        <f>IF(C606="Sale",SUMIFS($D$4:D606,$B$4:B606,B606,$C$4:C606,"")+SUMIFS($D$4:D606,$B$4:B606,B606,$C$4:C606,"Purch")-SUMIFS($D$4:D606,$B$4:B606,B606,$C$4:C606,"Sale"),0)</f>
        <v>0</v>
      </c>
    </row>
    <row r="607" spans="1:14" x14ac:dyDescent="0.2">
      <c r="A607" s="152"/>
      <c r="B607" s="132"/>
      <c r="C607" s="132"/>
      <c r="D607" s="277"/>
      <c r="E607" s="132"/>
      <c r="F607" s="170"/>
      <c r="G607" s="150"/>
      <c r="H607" s="152"/>
      <c r="I607" s="204"/>
      <c r="J607" s="285"/>
      <c r="K607" s="251"/>
      <c r="L607" s="133" t="str">
        <f>IF(AND(I607&lt;&gt;"",ISERROR(IF(ISERROR(VLOOKUP(I607*1,Summary!$C$8:$C$153,1,0)),VLOOKUP(I607,Summary!$C$8:$C$153,1,0),VLOOKUP(I607*1,Summary!$C$8:$C$153,1,0)))),"Add account Number to Summary","")</f>
        <v/>
      </c>
      <c r="M607" s="131" t="str">
        <f t="shared" si="9"/>
        <v/>
      </c>
      <c r="N607" s="287">
        <f>IF(C607="Sale",SUMIFS($D$4:D607,$B$4:B607,B607,$C$4:C607,"")+SUMIFS($D$4:D607,$B$4:B607,B607,$C$4:C607,"Purch")-SUMIFS($D$4:D607,$B$4:B607,B607,$C$4:C607,"Sale"),0)</f>
        <v>0</v>
      </c>
    </row>
    <row r="608" spans="1:14" x14ac:dyDescent="0.2">
      <c r="A608" s="152"/>
      <c r="B608" s="132"/>
      <c r="C608" s="132"/>
      <c r="D608" s="277"/>
      <c r="E608" s="132"/>
      <c r="F608" s="170"/>
      <c r="G608" s="150"/>
      <c r="H608" s="152"/>
      <c r="I608" s="204"/>
      <c r="J608" s="285"/>
      <c r="K608" s="251"/>
      <c r="L608" s="133" t="str">
        <f>IF(AND(I608&lt;&gt;"",ISERROR(IF(ISERROR(VLOOKUP(I608*1,Summary!$C$8:$C$153,1,0)),VLOOKUP(I608,Summary!$C$8:$C$153,1,0),VLOOKUP(I608*1,Summary!$C$8:$C$153,1,0)))),"Add account Number to Summary","")</f>
        <v/>
      </c>
      <c r="M608" s="131" t="str">
        <f t="shared" si="9"/>
        <v/>
      </c>
      <c r="N608" s="287">
        <f>IF(C608="Sale",SUMIFS($D$4:D608,$B$4:B608,B608,$C$4:C608,"")+SUMIFS($D$4:D608,$B$4:B608,B608,$C$4:C608,"Purch")-SUMIFS($D$4:D608,$B$4:B608,B608,$C$4:C608,"Sale"),0)</f>
        <v>0</v>
      </c>
    </row>
    <row r="609" spans="1:14" x14ac:dyDescent="0.2">
      <c r="A609" s="152"/>
      <c r="B609" s="132"/>
      <c r="C609" s="132"/>
      <c r="D609" s="277"/>
      <c r="E609" s="132"/>
      <c r="F609" s="170"/>
      <c r="G609" s="150"/>
      <c r="H609" s="152"/>
      <c r="I609" s="204"/>
      <c r="J609" s="285"/>
      <c r="K609" s="251"/>
      <c r="L609" s="133" t="str">
        <f>IF(AND(I609&lt;&gt;"",ISERROR(IF(ISERROR(VLOOKUP(I609*1,Summary!$C$8:$C$153,1,0)),VLOOKUP(I609,Summary!$C$8:$C$153,1,0),VLOOKUP(I609*1,Summary!$C$8:$C$153,1,0)))),"Add account Number to Summary","")</f>
        <v/>
      </c>
      <c r="M609" s="131" t="str">
        <f t="shared" si="9"/>
        <v/>
      </c>
      <c r="N609" s="287">
        <f>IF(C609="Sale",SUMIFS($D$4:D609,$B$4:B609,B609,$C$4:C609,"")+SUMIFS($D$4:D609,$B$4:B609,B609,$C$4:C609,"Purch")-SUMIFS($D$4:D609,$B$4:B609,B609,$C$4:C609,"Sale"),0)</f>
        <v>0</v>
      </c>
    </row>
    <row r="610" spans="1:14" x14ac:dyDescent="0.2">
      <c r="A610" s="152"/>
      <c r="B610" s="132"/>
      <c r="C610" s="132"/>
      <c r="D610" s="277"/>
      <c r="E610" s="132"/>
      <c r="F610" s="170"/>
      <c r="G610" s="150"/>
      <c r="H610" s="152"/>
      <c r="I610" s="204"/>
      <c r="J610" s="285"/>
      <c r="K610" s="251"/>
      <c r="L610" s="133" t="str">
        <f>IF(AND(I610&lt;&gt;"",ISERROR(IF(ISERROR(VLOOKUP(I610*1,Summary!$C$8:$C$153,1,0)),VLOOKUP(I610,Summary!$C$8:$C$153,1,0),VLOOKUP(I610*1,Summary!$C$8:$C$153,1,0)))),"Add account Number to Summary","")</f>
        <v/>
      </c>
      <c r="M610" s="131" t="str">
        <f t="shared" si="9"/>
        <v/>
      </c>
      <c r="N610" s="287">
        <f>IF(C610="Sale",SUMIFS($D$4:D610,$B$4:B610,B610,$C$4:C610,"")+SUMIFS($D$4:D610,$B$4:B610,B610,$C$4:C610,"Purch")-SUMIFS($D$4:D610,$B$4:B610,B610,$C$4:C610,"Sale"),0)</f>
        <v>0</v>
      </c>
    </row>
    <row r="611" spans="1:14" x14ac:dyDescent="0.2">
      <c r="A611" s="152"/>
      <c r="B611" s="132"/>
      <c r="C611" s="132"/>
      <c r="D611" s="277"/>
      <c r="E611" s="132"/>
      <c r="F611" s="170"/>
      <c r="G611" s="150"/>
      <c r="H611" s="152"/>
      <c r="I611" s="204"/>
      <c r="J611" s="285"/>
      <c r="K611" s="251"/>
      <c r="L611" s="133" t="str">
        <f>IF(AND(I611&lt;&gt;"",ISERROR(IF(ISERROR(VLOOKUP(I611*1,Summary!$C$8:$C$153,1,0)),VLOOKUP(I611,Summary!$C$8:$C$153,1,0),VLOOKUP(I611*1,Summary!$C$8:$C$153,1,0)))),"Add account Number to Summary","")</f>
        <v/>
      </c>
      <c r="M611" s="131" t="str">
        <f t="shared" si="9"/>
        <v/>
      </c>
      <c r="N611" s="287">
        <f>IF(C611="Sale",SUMIFS($D$4:D611,$B$4:B611,B611,$C$4:C611,"")+SUMIFS($D$4:D611,$B$4:B611,B611,$C$4:C611,"Purch")-SUMIFS($D$4:D611,$B$4:B611,B611,$C$4:C611,"Sale"),0)</f>
        <v>0</v>
      </c>
    </row>
    <row r="612" spans="1:14" x14ac:dyDescent="0.2">
      <c r="A612" s="152"/>
      <c r="B612" s="132"/>
      <c r="C612" s="132"/>
      <c r="D612" s="277"/>
      <c r="E612" s="132"/>
      <c r="F612" s="170"/>
      <c r="G612" s="150"/>
      <c r="H612" s="152"/>
      <c r="I612" s="204"/>
      <c r="J612" s="285"/>
      <c r="K612" s="251"/>
      <c r="L612" s="133" t="str">
        <f>IF(AND(I612&lt;&gt;"",ISERROR(IF(ISERROR(VLOOKUP(I612*1,Summary!$C$8:$C$153,1,0)),VLOOKUP(I612,Summary!$C$8:$C$153,1,0),VLOOKUP(I612*1,Summary!$C$8:$C$153,1,0)))),"Add account Number to Summary","")</f>
        <v/>
      </c>
      <c r="M612" s="131" t="str">
        <f t="shared" si="9"/>
        <v/>
      </c>
      <c r="N612" s="287">
        <f>IF(C612="Sale",SUMIFS($D$4:D612,$B$4:B612,B612,$C$4:C612,"")+SUMIFS($D$4:D612,$B$4:B612,B612,$C$4:C612,"Purch")-SUMIFS($D$4:D612,$B$4:B612,B612,$C$4:C612,"Sale"),0)</f>
        <v>0</v>
      </c>
    </row>
    <row r="613" spans="1:14" x14ac:dyDescent="0.2">
      <c r="A613" s="152"/>
      <c r="B613" s="132"/>
      <c r="C613" s="132"/>
      <c r="D613" s="277"/>
      <c r="E613" s="132"/>
      <c r="F613" s="170"/>
      <c r="G613" s="150"/>
      <c r="H613" s="152"/>
      <c r="I613" s="204"/>
      <c r="J613" s="285"/>
      <c r="K613" s="251"/>
      <c r="L613" s="133" t="str">
        <f>IF(AND(I613&lt;&gt;"",ISERROR(IF(ISERROR(VLOOKUP(I613*1,Summary!$C$8:$C$153,1,0)),VLOOKUP(I613,Summary!$C$8:$C$153,1,0),VLOOKUP(I613*1,Summary!$C$8:$C$153,1,0)))),"Add account Number to Summary","")</f>
        <v/>
      </c>
      <c r="M613" s="131" t="str">
        <f t="shared" si="9"/>
        <v/>
      </c>
      <c r="N613" s="287">
        <f>IF(C613="Sale",SUMIFS($D$4:D613,$B$4:B613,B613,$C$4:C613,"")+SUMIFS($D$4:D613,$B$4:B613,B613,$C$4:C613,"Purch")-SUMIFS($D$4:D613,$B$4:B613,B613,$C$4:C613,"Sale"),0)</f>
        <v>0</v>
      </c>
    </row>
    <row r="614" spans="1:14" x14ac:dyDescent="0.2">
      <c r="A614" s="152"/>
      <c r="B614" s="132"/>
      <c r="C614" s="132"/>
      <c r="D614" s="277"/>
      <c r="E614" s="132"/>
      <c r="F614" s="170"/>
      <c r="G614" s="150"/>
      <c r="H614" s="152"/>
      <c r="I614" s="204"/>
      <c r="J614" s="285"/>
      <c r="K614" s="251"/>
      <c r="L614" s="133" t="str">
        <f>IF(AND(I614&lt;&gt;"",ISERROR(IF(ISERROR(VLOOKUP(I614*1,Summary!$C$8:$C$153,1,0)),VLOOKUP(I614,Summary!$C$8:$C$153,1,0),VLOOKUP(I614*1,Summary!$C$8:$C$153,1,0)))),"Add account Number to Summary","")</f>
        <v/>
      </c>
      <c r="M614" s="131" t="str">
        <f t="shared" si="9"/>
        <v/>
      </c>
      <c r="N614" s="287">
        <f>IF(C614="Sale",SUMIFS($D$4:D614,$B$4:B614,B614,$C$4:C614,"")+SUMIFS($D$4:D614,$B$4:B614,B614,$C$4:C614,"Purch")-SUMIFS($D$4:D614,$B$4:B614,B614,$C$4:C614,"Sale"),0)</f>
        <v>0</v>
      </c>
    </row>
    <row r="615" spans="1:14" x14ac:dyDescent="0.2">
      <c r="A615" s="152"/>
      <c r="B615" s="132"/>
      <c r="C615" s="132"/>
      <c r="D615" s="277"/>
      <c r="E615" s="132"/>
      <c r="F615" s="170"/>
      <c r="G615" s="150"/>
      <c r="H615" s="152"/>
      <c r="I615" s="204"/>
      <c r="J615" s="285"/>
      <c r="K615" s="251"/>
      <c r="L615" s="133" t="str">
        <f>IF(AND(I615&lt;&gt;"",ISERROR(IF(ISERROR(VLOOKUP(I615*1,Summary!$C$8:$C$153,1,0)),VLOOKUP(I615,Summary!$C$8:$C$153,1,0),VLOOKUP(I615*1,Summary!$C$8:$C$153,1,0)))),"Add account Number to Summary","")</f>
        <v/>
      </c>
      <c r="M615" s="131" t="str">
        <f t="shared" si="9"/>
        <v/>
      </c>
      <c r="N615" s="287">
        <f>IF(C615="Sale",SUMIFS($D$4:D615,$B$4:B615,B615,$C$4:C615,"")+SUMIFS($D$4:D615,$B$4:B615,B615,$C$4:C615,"Purch")-SUMIFS($D$4:D615,$B$4:B615,B615,$C$4:C615,"Sale"),0)</f>
        <v>0</v>
      </c>
    </row>
    <row r="616" spans="1:14" x14ac:dyDescent="0.2">
      <c r="A616" s="152"/>
      <c r="B616" s="132"/>
      <c r="C616" s="132"/>
      <c r="D616" s="277"/>
      <c r="E616" s="132"/>
      <c r="F616" s="170"/>
      <c r="G616" s="150"/>
      <c r="H616" s="152"/>
      <c r="I616" s="204"/>
      <c r="J616" s="285"/>
      <c r="K616" s="251"/>
      <c r="L616" s="133" t="str">
        <f>IF(AND(I616&lt;&gt;"",ISERROR(IF(ISERROR(VLOOKUP(I616*1,Summary!$C$8:$C$153,1,0)),VLOOKUP(I616,Summary!$C$8:$C$153,1,0),VLOOKUP(I616*1,Summary!$C$8:$C$153,1,0)))),"Add account Number to Summary","")</f>
        <v/>
      </c>
      <c r="M616" s="131" t="str">
        <f t="shared" si="9"/>
        <v/>
      </c>
      <c r="N616" s="287">
        <f>IF(C616="Sale",SUMIFS($D$4:D616,$B$4:B616,B616,$C$4:C616,"")+SUMIFS($D$4:D616,$B$4:B616,B616,$C$4:C616,"Purch")-SUMIFS($D$4:D616,$B$4:B616,B616,$C$4:C616,"Sale"),0)</f>
        <v>0</v>
      </c>
    </row>
    <row r="617" spans="1:14" x14ac:dyDescent="0.2">
      <c r="A617" s="152"/>
      <c r="B617" s="132"/>
      <c r="C617" s="132"/>
      <c r="D617" s="277"/>
      <c r="E617" s="132"/>
      <c r="F617" s="170"/>
      <c r="G617" s="150"/>
      <c r="H617" s="152"/>
      <c r="I617" s="204"/>
      <c r="J617" s="285"/>
      <c r="K617" s="251"/>
      <c r="L617" s="133" t="str">
        <f>IF(AND(I617&lt;&gt;"",ISERROR(IF(ISERROR(VLOOKUP(I617*1,Summary!$C$8:$C$153,1,0)),VLOOKUP(I617,Summary!$C$8:$C$153,1,0),VLOOKUP(I617*1,Summary!$C$8:$C$153,1,0)))),"Add account Number to Summary","")</f>
        <v/>
      </c>
      <c r="M617" s="131" t="str">
        <f t="shared" si="9"/>
        <v/>
      </c>
      <c r="N617" s="287">
        <f>IF(C617="Sale",SUMIFS($D$4:D617,$B$4:B617,B617,$C$4:C617,"")+SUMIFS($D$4:D617,$B$4:B617,B617,$C$4:C617,"Purch")-SUMIFS($D$4:D617,$B$4:B617,B617,$C$4:C617,"Sale"),0)</f>
        <v>0</v>
      </c>
    </row>
    <row r="618" spans="1:14" x14ac:dyDescent="0.2">
      <c r="A618" s="152"/>
      <c r="B618" s="132"/>
      <c r="C618" s="132"/>
      <c r="D618" s="277"/>
      <c r="E618" s="132"/>
      <c r="F618" s="170"/>
      <c r="G618" s="150"/>
      <c r="H618" s="152"/>
      <c r="I618" s="204"/>
      <c r="J618" s="285"/>
      <c r="K618" s="251"/>
      <c r="L618" s="133" t="str">
        <f>IF(AND(I618&lt;&gt;"",ISERROR(IF(ISERROR(VLOOKUP(I618*1,Summary!$C$8:$C$153,1,0)),VLOOKUP(I618,Summary!$C$8:$C$153,1,0),VLOOKUP(I618*1,Summary!$C$8:$C$153,1,0)))),"Add account Number to Summary","")</f>
        <v/>
      </c>
      <c r="M618" s="131" t="str">
        <f t="shared" si="9"/>
        <v/>
      </c>
      <c r="N618" s="287">
        <f>IF(C618="Sale",SUMIFS($D$4:D618,$B$4:B618,B618,$C$4:C618,"")+SUMIFS($D$4:D618,$B$4:B618,B618,$C$4:C618,"Purch")-SUMIFS($D$4:D618,$B$4:B618,B618,$C$4:C618,"Sale"),0)</f>
        <v>0</v>
      </c>
    </row>
    <row r="619" spans="1:14" x14ac:dyDescent="0.2">
      <c r="A619" s="152"/>
      <c r="B619" s="132"/>
      <c r="C619" s="132"/>
      <c r="D619" s="277"/>
      <c r="E619" s="132"/>
      <c r="F619" s="170"/>
      <c r="G619" s="150"/>
      <c r="H619" s="152"/>
      <c r="I619" s="204"/>
      <c r="J619" s="285"/>
      <c r="K619" s="251"/>
      <c r="L619" s="133" t="str">
        <f>IF(AND(I619&lt;&gt;"",ISERROR(IF(ISERROR(VLOOKUP(I619*1,Summary!$C$8:$C$153,1,0)),VLOOKUP(I619,Summary!$C$8:$C$153,1,0),VLOOKUP(I619*1,Summary!$C$8:$C$153,1,0)))),"Add account Number to Summary","")</f>
        <v/>
      </c>
      <c r="M619" s="131" t="str">
        <f t="shared" si="9"/>
        <v/>
      </c>
      <c r="N619" s="287">
        <f>IF(C619="Sale",SUMIFS($D$4:D619,$B$4:B619,B619,$C$4:C619,"")+SUMIFS($D$4:D619,$B$4:B619,B619,$C$4:C619,"Purch")-SUMIFS($D$4:D619,$B$4:B619,B619,$C$4:C619,"Sale"),0)</f>
        <v>0</v>
      </c>
    </row>
    <row r="620" spans="1:14" x14ac:dyDescent="0.2">
      <c r="A620" s="152"/>
      <c r="B620" s="132"/>
      <c r="C620" s="132"/>
      <c r="D620" s="277"/>
      <c r="E620" s="132"/>
      <c r="F620" s="170"/>
      <c r="G620" s="150"/>
      <c r="H620" s="152"/>
      <c r="I620" s="204"/>
      <c r="J620" s="285"/>
      <c r="K620" s="251"/>
      <c r="L620" s="133" t="str">
        <f>IF(AND(I620&lt;&gt;"",ISERROR(IF(ISERROR(VLOOKUP(I620*1,Summary!$C$8:$C$153,1,0)),VLOOKUP(I620,Summary!$C$8:$C$153,1,0),VLOOKUP(I620*1,Summary!$C$8:$C$153,1,0)))),"Add account Number to Summary","")</f>
        <v/>
      </c>
      <c r="M620" s="131" t="str">
        <f t="shared" ref="M620:M683" si="10">IF(K620="Yes",IF(YEAR(A620)&lt;&gt;YEAR(date),"Check Date",""),"")</f>
        <v/>
      </c>
      <c r="N620" s="287">
        <f>IF(C620="Sale",SUMIFS($D$4:D620,$B$4:B620,B620,$C$4:C620,"")+SUMIFS($D$4:D620,$B$4:B620,B620,$C$4:C620,"Purch")-SUMIFS($D$4:D620,$B$4:B620,B620,$C$4:C620,"Sale"),0)</f>
        <v>0</v>
      </c>
    </row>
    <row r="621" spans="1:14" x14ac:dyDescent="0.2">
      <c r="A621" s="152"/>
      <c r="B621" s="132"/>
      <c r="C621" s="132"/>
      <c r="D621" s="277"/>
      <c r="E621" s="132"/>
      <c r="F621" s="170"/>
      <c r="G621" s="150"/>
      <c r="H621" s="152"/>
      <c r="I621" s="204"/>
      <c r="J621" s="285"/>
      <c r="K621" s="251"/>
      <c r="L621" s="133" t="str">
        <f>IF(AND(I621&lt;&gt;"",ISERROR(IF(ISERROR(VLOOKUP(I621*1,Summary!$C$8:$C$153,1,0)),VLOOKUP(I621,Summary!$C$8:$C$153,1,0),VLOOKUP(I621*1,Summary!$C$8:$C$153,1,0)))),"Add account Number to Summary","")</f>
        <v/>
      </c>
      <c r="M621" s="131" t="str">
        <f t="shared" si="10"/>
        <v/>
      </c>
      <c r="N621" s="287">
        <f>IF(C621="Sale",SUMIFS($D$4:D621,$B$4:B621,B621,$C$4:C621,"")+SUMIFS($D$4:D621,$B$4:B621,B621,$C$4:C621,"Purch")-SUMIFS($D$4:D621,$B$4:B621,B621,$C$4:C621,"Sale"),0)</f>
        <v>0</v>
      </c>
    </row>
    <row r="622" spans="1:14" x14ac:dyDescent="0.2">
      <c r="A622" s="152"/>
      <c r="B622" s="132"/>
      <c r="C622" s="132"/>
      <c r="D622" s="277"/>
      <c r="E622" s="132"/>
      <c r="F622" s="170"/>
      <c r="G622" s="150"/>
      <c r="H622" s="152"/>
      <c r="I622" s="204"/>
      <c r="J622" s="285"/>
      <c r="K622" s="251"/>
      <c r="L622" s="133" t="str">
        <f>IF(AND(I622&lt;&gt;"",ISERROR(IF(ISERROR(VLOOKUP(I622*1,Summary!$C$8:$C$153,1,0)),VLOOKUP(I622,Summary!$C$8:$C$153,1,0),VLOOKUP(I622*1,Summary!$C$8:$C$153,1,0)))),"Add account Number to Summary","")</f>
        <v/>
      </c>
      <c r="M622" s="131" t="str">
        <f t="shared" si="10"/>
        <v/>
      </c>
      <c r="N622" s="287">
        <f>IF(C622="Sale",SUMIFS($D$4:D622,$B$4:B622,B622,$C$4:C622,"")+SUMIFS($D$4:D622,$B$4:B622,B622,$C$4:C622,"Purch")-SUMIFS($D$4:D622,$B$4:B622,B622,$C$4:C622,"Sale"),0)</f>
        <v>0</v>
      </c>
    </row>
    <row r="623" spans="1:14" x14ac:dyDescent="0.2">
      <c r="A623" s="152"/>
      <c r="B623" s="132"/>
      <c r="C623" s="132"/>
      <c r="D623" s="277"/>
      <c r="E623" s="132"/>
      <c r="F623" s="170"/>
      <c r="G623" s="150"/>
      <c r="H623" s="152"/>
      <c r="I623" s="204"/>
      <c r="J623" s="285"/>
      <c r="K623" s="251"/>
      <c r="L623" s="133" t="str">
        <f>IF(AND(I623&lt;&gt;"",ISERROR(IF(ISERROR(VLOOKUP(I623*1,Summary!$C$8:$C$153,1,0)),VLOOKUP(I623,Summary!$C$8:$C$153,1,0),VLOOKUP(I623*1,Summary!$C$8:$C$153,1,0)))),"Add account Number to Summary","")</f>
        <v/>
      </c>
      <c r="M623" s="131" t="str">
        <f t="shared" si="10"/>
        <v/>
      </c>
      <c r="N623" s="287">
        <f>IF(C623="Sale",SUMIFS($D$4:D623,$B$4:B623,B623,$C$4:C623,"")+SUMIFS($D$4:D623,$B$4:B623,B623,$C$4:C623,"Purch")-SUMIFS($D$4:D623,$B$4:B623,B623,$C$4:C623,"Sale"),0)</f>
        <v>0</v>
      </c>
    </row>
    <row r="624" spans="1:14" x14ac:dyDescent="0.2">
      <c r="A624" s="152"/>
      <c r="B624" s="132"/>
      <c r="C624" s="132"/>
      <c r="D624" s="277"/>
      <c r="E624" s="132"/>
      <c r="F624" s="170"/>
      <c r="G624" s="150"/>
      <c r="H624" s="152"/>
      <c r="I624" s="204"/>
      <c r="J624" s="285"/>
      <c r="K624" s="251"/>
      <c r="L624" s="133" t="str">
        <f>IF(AND(I624&lt;&gt;"",ISERROR(IF(ISERROR(VLOOKUP(I624*1,Summary!$C$8:$C$153,1,0)),VLOOKUP(I624,Summary!$C$8:$C$153,1,0),VLOOKUP(I624*1,Summary!$C$8:$C$153,1,0)))),"Add account Number to Summary","")</f>
        <v/>
      </c>
      <c r="M624" s="131" t="str">
        <f t="shared" si="10"/>
        <v/>
      </c>
      <c r="N624" s="287">
        <f>IF(C624="Sale",SUMIFS($D$4:D624,$B$4:B624,B624,$C$4:C624,"")+SUMIFS($D$4:D624,$B$4:B624,B624,$C$4:C624,"Purch")-SUMIFS($D$4:D624,$B$4:B624,B624,$C$4:C624,"Sale"),0)</f>
        <v>0</v>
      </c>
    </row>
    <row r="625" spans="1:14" x14ac:dyDescent="0.2">
      <c r="A625" s="152"/>
      <c r="B625" s="132"/>
      <c r="C625" s="132"/>
      <c r="D625" s="277"/>
      <c r="E625" s="132"/>
      <c r="F625" s="170"/>
      <c r="G625" s="150"/>
      <c r="H625" s="152"/>
      <c r="I625" s="204"/>
      <c r="J625" s="285"/>
      <c r="K625" s="251"/>
      <c r="L625" s="133" t="str">
        <f>IF(AND(I625&lt;&gt;"",ISERROR(IF(ISERROR(VLOOKUP(I625*1,Summary!$C$8:$C$153,1,0)),VLOOKUP(I625,Summary!$C$8:$C$153,1,0),VLOOKUP(I625*1,Summary!$C$8:$C$153,1,0)))),"Add account Number to Summary","")</f>
        <v/>
      </c>
      <c r="M625" s="131" t="str">
        <f t="shared" si="10"/>
        <v/>
      </c>
      <c r="N625" s="287">
        <f>IF(C625="Sale",SUMIFS($D$4:D625,$B$4:B625,B625,$C$4:C625,"")+SUMIFS($D$4:D625,$B$4:B625,B625,$C$4:C625,"Purch")-SUMIFS($D$4:D625,$B$4:B625,B625,$C$4:C625,"Sale"),0)</f>
        <v>0</v>
      </c>
    </row>
    <row r="626" spans="1:14" x14ac:dyDescent="0.2">
      <c r="A626" s="152"/>
      <c r="B626" s="132"/>
      <c r="C626" s="132"/>
      <c r="D626" s="277"/>
      <c r="E626" s="132"/>
      <c r="F626" s="170"/>
      <c r="G626" s="150"/>
      <c r="H626" s="152"/>
      <c r="I626" s="204"/>
      <c r="J626" s="285"/>
      <c r="K626" s="251"/>
      <c r="L626" s="133" t="str">
        <f>IF(AND(I626&lt;&gt;"",ISERROR(IF(ISERROR(VLOOKUP(I626*1,Summary!$C$8:$C$153,1,0)),VLOOKUP(I626,Summary!$C$8:$C$153,1,0),VLOOKUP(I626*1,Summary!$C$8:$C$153,1,0)))),"Add account Number to Summary","")</f>
        <v/>
      </c>
      <c r="M626" s="131" t="str">
        <f t="shared" si="10"/>
        <v/>
      </c>
      <c r="N626" s="287">
        <f>IF(C626="Sale",SUMIFS($D$4:D626,$B$4:B626,B626,$C$4:C626,"")+SUMIFS($D$4:D626,$B$4:B626,B626,$C$4:C626,"Purch")-SUMIFS($D$4:D626,$B$4:B626,B626,$C$4:C626,"Sale"),0)</f>
        <v>0</v>
      </c>
    </row>
    <row r="627" spans="1:14" x14ac:dyDescent="0.2">
      <c r="A627" s="152"/>
      <c r="B627" s="132"/>
      <c r="C627" s="132"/>
      <c r="D627" s="277"/>
      <c r="E627" s="132"/>
      <c r="F627" s="170"/>
      <c r="G627" s="150"/>
      <c r="H627" s="152"/>
      <c r="I627" s="204"/>
      <c r="J627" s="285"/>
      <c r="K627" s="251"/>
      <c r="L627" s="133" t="str">
        <f>IF(AND(I627&lt;&gt;"",ISERROR(IF(ISERROR(VLOOKUP(I627*1,Summary!$C$8:$C$153,1,0)),VLOOKUP(I627,Summary!$C$8:$C$153,1,0),VLOOKUP(I627*1,Summary!$C$8:$C$153,1,0)))),"Add account Number to Summary","")</f>
        <v/>
      </c>
      <c r="M627" s="131" t="str">
        <f t="shared" si="10"/>
        <v/>
      </c>
      <c r="N627" s="287">
        <f>IF(C627="Sale",SUMIFS($D$4:D627,$B$4:B627,B627,$C$4:C627,"")+SUMIFS($D$4:D627,$B$4:B627,B627,$C$4:C627,"Purch")-SUMIFS($D$4:D627,$B$4:B627,B627,$C$4:C627,"Sale"),0)</f>
        <v>0</v>
      </c>
    </row>
    <row r="628" spans="1:14" x14ac:dyDescent="0.2">
      <c r="A628" s="152"/>
      <c r="B628" s="132"/>
      <c r="C628" s="132"/>
      <c r="D628" s="277"/>
      <c r="E628" s="132"/>
      <c r="F628" s="170"/>
      <c r="G628" s="150"/>
      <c r="H628" s="152"/>
      <c r="I628" s="204"/>
      <c r="J628" s="285"/>
      <c r="K628" s="251"/>
      <c r="L628" s="133" t="str">
        <f>IF(AND(I628&lt;&gt;"",ISERROR(IF(ISERROR(VLOOKUP(I628*1,Summary!$C$8:$C$153,1,0)),VLOOKUP(I628,Summary!$C$8:$C$153,1,0),VLOOKUP(I628*1,Summary!$C$8:$C$153,1,0)))),"Add account Number to Summary","")</f>
        <v/>
      </c>
      <c r="M628" s="131" t="str">
        <f t="shared" si="10"/>
        <v/>
      </c>
      <c r="N628" s="287">
        <f>IF(C628="Sale",SUMIFS($D$4:D628,$B$4:B628,B628,$C$4:C628,"")+SUMIFS($D$4:D628,$B$4:B628,B628,$C$4:C628,"Purch")-SUMIFS($D$4:D628,$B$4:B628,B628,$C$4:C628,"Sale"),0)</f>
        <v>0</v>
      </c>
    </row>
    <row r="629" spans="1:14" x14ac:dyDescent="0.2">
      <c r="A629" s="152"/>
      <c r="B629" s="132"/>
      <c r="C629" s="132"/>
      <c r="D629" s="277"/>
      <c r="E629" s="132"/>
      <c r="F629" s="170"/>
      <c r="G629" s="150"/>
      <c r="H629" s="152"/>
      <c r="I629" s="204"/>
      <c r="J629" s="285"/>
      <c r="K629" s="251"/>
      <c r="L629" s="133" t="str">
        <f>IF(AND(I629&lt;&gt;"",ISERROR(IF(ISERROR(VLOOKUP(I629*1,Summary!$C$8:$C$153,1,0)),VLOOKUP(I629,Summary!$C$8:$C$153,1,0),VLOOKUP(I629*1,Summary!$C$8:$C$153,1,0)))),"Add account Number to Summary","")</f>
        <v/>
      </c>
      <c r="M629" s="131" t="str">
        <f t="shared" si="10"/>
        <v/>
      </c>
      <c r="N629" s="287">
        <f>IF(C629="Sale",SUMIFS($D$4:D629,$B$4:B629,B629,$C$4:C629,"")+SUMIFS($D$4:D629,$B$4:B629,B629,$C$4:C629,"Purch")-SUMIFS($D$4:D629,$B$4:B629,B629,$C$4:C629,"Sale"),0)</f>
        <v>0</v>
      </c>
    </row>
    <row r="630" spans="1:14" x14ac:dyDescent="0.2">
      <c r="A630" s="152"/>
      <c r="B630" s="132"/>
      <c r="C630" s="132"/>
      <c r="D630" s="277"/>
      <c r="E630" s="132"/>
      <c r="F630" s="170"/>
      <c r="G630" s="150"/>
      <c r="H630" s="152"/>
      <c r="I630" s="204"/>
      <c r="J630" s="285"/>
      <c r="K630" s="251"/>
      <c r="L630" s="133" t="str">
        <f>IF(AND(I630&lt;&gt;"",ISERROR(IF(ISERROR(VLOOKUP(I630*1,Summary!$C$8:$C$153,1,0)),VLOOKUP(I630,Summary!$C$8:$C$153,1,0),VLOOKUP(I630*1,Summary!$C$8:$C$153,1,0)))),"Add account Number to Summary","")</f>
        <v/>
      </c>
      <c r="M630" s="131" t="str">
        <f t="shared" si="10"/>
        <v/>
      </c>
      <c r="N630" s="287">
        <f>IF(C630="Sale",SUMIFS($D$4:D630,$B$4:B630,B630,$C$4:C630,"")+SUMIFS($D$4:D630,$B$4:B630,B630,$C$4:C630,"Purch")-SUMIFS($D$4:D630,$B$4:B630,B630,$C$4:C630,"Sale"),0)</f>
        <v>0</v>
      </c>
    </row>
    <row r="631" spans="1:14" x14ac:dyDescent="0.2">
      <c r="A631" s="152"/>
      <c r="B631" s="132"/>
      <c r="C631" s="132"/>
      <c r="D631" s="277"/>
      <c r="E631" s="132"/>
      <c r="F631" s="170"/>
      <c r="G631" s="150"/>
      <c r="H631" s="152"/>
      <c r="I631" s="204"/>
      <c r="J631" s="285"/>
      <c r="K631" s="251"/>
      <c r="L631" s="133" t="str">
        <f>IF(AND(I631&lt;&gt;"",ISERROR(IF(ISERROR(VLOOKUP(I631*1,Summary!$C$8:$C$153,1,0)),VLOOKUP(I631,Summary!$C$8:$C$153,1,0),VLOOKUP(I631*1,Summary!$C$8:$C$153,1,0)))),"Add account Number to Summary","")</f>
        <v/>
      </c>
      <c r="M631" s="131" t="str">
        <f t="shared" si="10"/>
        <v/>
      </c>
      <c r="N631" s="287">
        <f>IF(C631="Sale",SUMIFS($D$4:D631,$B$4:B631,B631,$C$4:C631,"")+SUMIFS($D$4:D631,$B$4:B631,B631,$C$4:C631,"Purch")-SUMIFS($D$4:D631,$B$4:B631,B631,$C$4:C631,"Sale"),0)</f>
        <v>0</v>
      </c>
    </row>
    <row r="632" spans="1:14" x14ac:dyDescent="0.2">
      <c r="A632" s="152"/>
      <c r="B632" s="132"/>
      <c r="C632" s="132"/>
      <c r="D632" s="277"/>
      <c r="E632" s="132"/>
      <c r="F632" s="170"/>
      <c r="G632" s="150"/>
      <c r="H632" s="152"/>
      <c r="I632" s="204"/>
      <c r="J632" s="285"/>
      <c r="K632" s="251"/>
      <c r="L632" s="133" t="str">
        <f>IF(AND(I632&lt;&gt;"",ISERROR(IF(ISERROR(VLOOKUP(I632*1,Summary!$C$8:$C$153,1,0)),VLOOKUP(I632,Summary!$C$8:$C$153,1,0),VLOOKUP(I632*1,Summary!$C$8:$C$153,1,0)))),"Add account Number to Summary","")</f>
        <v/>
      </c>
      <c r="M632" s="131" t="str">
        <f t="shared" si="10"/>
        <v/>
      </c>
      <c r="N632" s="287">
        <f>IF(C632="Sale",SUMIFS($D$4:D632,$B$4:B632,B632,$C$4:C632,"")+SUMIFS($D$4:D632,$B$4:B632,B632,$C$4:C632,"Purch")-SUMIFS($D$4:D632,$B$4:B632,B632,$C$4:C632,"Sale"),0)</f>
        <v>0</v>
      </c>
    </row>
    <row r="633" spans="1:14" x14ac:dyDescent="0.2">
      <c r="A633" s="152"/>
      <c r="B633" s="132"/>
      <c r="C633" s="132"/>
      <c r="D633" s="277"/>
      <c r="E633" s="132"/>
      <c r="F633" s="170"/>
      <c r="G633" s="150"/>
      <c r="H633" s="152"/>
      <c r="I633" s="204"/>
      <c r="J633" s="285"/>
      <c r="K633" s="251"/>
      <c r="L633" s="133" t="str">
        <f>IF(AND(I633&lt;&gt;"",ISERROR(IF(ISERROR(VLOOKUP(I633*1,Summary!$C$8:$C$153,1,0)),VLOOKUP(I633,Summary!$C$8:$C$153,1,0),VLOOKUP(I633*1,Summary!$C$8:$C$153,1,0)))),"Add account Number to Summary","")</f>
        <v/>
      </c>
      <c r="M633" s="131" t="str">
        <f t="shared" si="10"/>
        <v/>
      </c>
      <c r="N633" s="287">
        <f>IF(C633="Sale",SUMIFS($D$4:D633,$B$4:B633,B633,$C$4:C633,"")+SUMIFS($D$4:D633,$B$4:B633,B633,$C$4:C633,"Purch")-SUMIFS($D$4:D633,$B$4:B633,B633,$C$4:C633,"Sale"),0)</f>
        <v>0</v>
      </c>
    </row>
    <row r="634" spans="1:14" x14ac:dyDescent="0.2">
      <c r="A634" s="152"/>
      <c r="B634" s="132"/>
      <c r="C634" s="132"/>
      <c r="D634" s="277"/>
      <c r="E634" s="132"/>
      <c r="F634" s="170"/>
      <c r="G634" s="150"/>
      <c r="H634" s="152"/>
      <c r="I634" s="204"/>
      <c r="J634" s="285"/>
      <c r="K634" s="251"/>
      <c r="L634" s="133" t="str">
        <f>IF(AND(I634&lt;&gt;"",ISERROR(IF(ISERROR(VLOOKUP(I634*1,Summary!$C$8:$C$153,1,0)),VLOOKUP(I634,Summary!$C$8:$C$153,1,0),VLOOKUP(I634*1,Summary!$C$8:$C$153,1,0)))),"Add account Number to Summary","")</f>
        <v/>
      </c>
      <c r="M634" s="131" t="str">
        <f t="shared" si="10"/>
        <v/>
      </c>
      <c r="N634" s="287">
        <f>IF(C634="Sale",SUMIFS($D$4:D634,$B$4:B634,B634,$C$4:C634,"")+SUMIFS($D$4:D634,$B$4:B634,B634,$C$4:C634,"Purch")-SUMIFS($D$4:D634,$B$4:B634,B634,$C$4:C634,"Sale"),0)</f>
        <v>0</v>
      </c>
    </row>
    <row r="635" spans="1:14" x14ac:dyDescent="0.2">
      <c r="A635" s="152"/>
      <c r="B635" s="132"/>
      <c r="C635" s="132"/>
      <c r="D635" s="277"/>
      <c r="E635" s="132"/>
      <c r="F635" s="170"/>
      <c r="G635" s="150"/>
      <c r="H635" s="152"/>
      <c r="I635" s="204"/>
      <c r="J635" s="285"/>
      <c r="K635" s="251"/>
      <c r="L635" s="133" t="str">
        <f>IF(AND(I635&lt;&gt;"",ISERROR(IF(ISERROR(VLOOKUP(I635*1,Summary!$C$8:$C$153,1,0)),VLOOKUP(I635,Summary!$C$8:$C$153,1,0),VLOOKUP(I635*1,Summary!$C$8:$C$153,1,0)))),"Add account Number to Summary","")</f>
        <v/>
      </c>
      <c r="M635" s="131" t="str">
        <f t="shared" si="10"/>
        <v/>
      </c>
      <c r="N635" s="287">
        <f>IF(C635="Sale",SUMIFS($D$4:D635,$B$4:B635,B635,$C$4:C635,"")+SUMIFS($D$4:D635,$B$4:B635,B635,$C$4:C635,"Purch")-SUMIFS($D$4:D635,$B$4:B635,B635,$C$4:C635,"Sale"),0)</f>
        <v>0</v>
      </c>
    </row>
    <row r="636" spans="1:14" x14ac:dyDescent="0.2">
      <c r="A636" s="152"/>
      <c r="B636" s="132"/>
      <c r="C636" s="132"/>
      <c r="D636" s="277"/>
      <c r="E636" s="132"/>
      <c r="F636" s="170"/>
      <c r="G636" s="150"/>
      <c r="H636" s="152"/>
      <c r="I636" s="204"/>
      <c r="J636" s="285"/>
      <c r="K636" s="251"/>
      <c r="L636" s="133" t="str">
        <f>IF(AND(I636&lt;&gt;"",ISERROR(IF(ISERROR(VLOOKUP(I636*1,Summary!$C$8:$C$153,1,0)),VLOOKUP(I636,Summary!$C$8:$C$153,1,0),VLOOKUP(I636*1,Summary!$C$8:$C$153,1,0)))),"Add account Number to Summary","")</f>
        <v/>
      </c>
      <c r="M636" s="131" t="str">
        <f t="shared" si="10"/>
        <v/>
      </c>
      <c r="N636" s="287">
        <f>IF(C636="Sale",SUMIFS($D$4:D636,$B$4:B636,B636,$C$4:C636,"")+SUMIFS($D$4:D636,$B$4:B636,B636,$C$4:C636,"Purch")-SUMIFS($D$4:D636,$B$4:B636,B636,$C$4:C636,"Sale"),0)</f>
        <v>0</v>
      </c>
    </row>
    <row r="637" spans="1:14" x14ac:dyDescent="0.2">
      <c r="A637" s="152"/>
      <c r="B637" s="132"/>
      <c r="C637" s="132"/>
      <c r="D637" s="277"/>
      <c r="E637" s="132"/>
      <c r="F637" s="170"/>
      <c r="G637" s="150"/>
      <c r="H637" s="152"/>
      <c r="I637" s="204"/>
      <c r="J637" s="285"/>
      <c r="K637" s="251"/>
      <c r="L637" s="133" t="str">
        <f>IF(AND(I637&lt;&gt;"",ISERROR(IF(ISERROR(VLOOKUP(I637*1,Summary!$C$8:$C$153,1,0)),VLOOKUP(I637,Summary!$C$8:$C$153,1,0),VLOOKUP(I637*1,Summary!$C$8:$C$153,1,0)))),"Add account Number to Summary","")</f>
        <v/>
      </c>
      <c r="M637" s="131" t="str">
        <f t="shared" si="10"/>
        <v/>
      </c>
      <c r="N637" s="287">
        <f>IF(C637="Sale",SUMIFS($D$4:D637,$B$4:B637,B637,$C$4:C637,"")+SUMIFS($D$4:D637,$B$4:B637,B637,$C$4:C637,"Purch")-SUMIFS($D$4:D637,$B$4:B637,B637,$C$4:C637,"Sale"),0)</f>
        <v>0</v>
      </c>
    </row>
    <row r="638" spans="1:14" x14ac:dyDescent="0.2">
      <c r="A638" s="152"/>
      <c r="B638" s="132"/>
      <c r="C638" s="132"/>
      <c r="D638" s="277"/>
      <c r="E638" s="132"/>
      <c r="F638" s="170"/>
      <c r="G638" s="150"/>
      <c r="H638" s="152"/>
      <c r="I638" s="204"/>
      <c r="J638" s="285"/>
      <c r="K638" s="251"/>
      <c r="L638" s="133" t="str">
        <f>IF(AND(I638&lt;&gt;"",ISERROR(IF(ISERROR(VLOOKUP(I638*1,Summary!$C$8:$C$153,1,0)),VLOOKUP(I638,Summary!$C$8:$C$153,1,0),VLOOKUP(I638*1,Summary!$C$8:$C$153,1,0)))),"Add account Number to Summary","")</f>
        <v/>
      </c>
      <c r="M638" s="131" t="str">
        <f t="shared" si="10"/>
        <v/>
      </c>
      <c r="N638" s="287">
        <f>IF(C638="Sale",SUMIFS($D$4:D638,$B$4:B638,B638,$C$4:C638,"")+SUMIFS($D$4:D638,$B$4:B638,B638,$C$4:C638,"Purch")-SUMIFS($D$4:D638,$B$4:B638,B638,$C$4:C638,"Sale"),0)</f>
        <v>0</v>
      </c>
    </row>
    <row r="639" spans="1:14" x14ac:dyDescent="0.2">
      <c r="A639" s="152"/>
      <c r="B639" s="132"/>
      <c r="C639" s="132"/>
      <c r="D639" s="277"/>
      <c r="E639" s="132"/>
      <c r="F639" s="170"/>
      <c r="G639" s="150"/>
      <c r="H639" s="152"/>
      <c r="I639" s="204"/>
      <c r="J639" s="285"/>
      <c r="K639" s="251"/>
      <c r="L639" s="133" t="str">
        <f>IF(AND(I639&lt;&gt;"",ISERROR(IF(ISERROR(VLOOKUP(I639*1,Summary!$C$8:$C$153,1,0)),VLOOKUP(I639,Summary!$C$8:$C$153,1,0),VLOOKUP(I639*1,Summary!$C$8:$C$153,1,0)))),"Add account Number to Summary","")</f>
        <v/>
      </c>
      <c r="M639" s="131" t="str">
        <f t="shared" si="10"/>
        <v/>
      </c>
      <c r="N639" s="287">
        <f>IF(C639="Sale",SUMIFS($D$4:D639,$B$4:B639,B639,$C$4:C639,"")+SUMIFS($D$4:D639,$B$4:B639,B639,$C$4:C639,"Purch")-SUMIFS($D$4:D639,$B$4:B639,B639,$C$4:C639,"Sale"),0)</f>
        <v>0</v>
      </c>
    </row>
    <row r="640" spans="1:14" x14ac:dyDescent="0.2">
      <c r="A640" s="152"/>
      <c r="B640" s="132"/>
      <c r="C640" s="132"/>
      <c r="D640" s="277"/>
      <c r="E640" s="132"/>
      <c r="F640" s="170"/>
      <c r="G640" s="150"/>
      <c r="H640" s="152"/>
      <c r="I640" s="204"/>
      <c r="J640" s="285"/>
      <c r="K640" s="251"/>
      <c r="L640" s="133" t="str">
        <f>IF(AND(I640&lt;&gt;"",ISERROR(IF(ISERROR(VLOOKUP(I640*1,Summary!$C$8:$C$153,1,0)),VLOOKUP(I640,Summary!$C$8:$C$153,1,0),VLOOKUP(I640*1,Summary!$C$8:$C$153,1,0)))),"Add account Number to Summary","")</f>
        <v/>
      </c>
      <c r="M640" s="131" t="str">
        <f t="shared" si="10"/>
        <v/>
      </c>
      <c r="N640" s="287">
        <f>IF(C640="Sale",SUMIFS($D$4:D640,$B$4:B640,B640,$C$4:C640,"")+SUMIFS($D$4:D640,$B$4:B640,B640,$C$4:C640,"Purch")-SUMIFS($D$4:D640,$B$4:B640,B640,$C$4:C640,"Sale"),0)</f>
        <v>0</v>
      </c>
    </row>
    <row r="641" spans="1:14" x14ac:dyDescent="0.2">
      <c r="A641" s="152"/>
      <c r="B641" s="132"/>
      <c r="C641" s="132"/>
      <c r="D641" s="277"/>
      <c r="E641" s="132"/>
      <c r="F641" s="170"/>
      <c r="G641" s="150"/>
      <c r="H641" s="152"/>
      <c r="I641" s="204"/>
      <c r="J641" s="285"/>
      <c r="K641" s="251"/>
      <c r="L641" s="133" t="str">
        <f>IF(AND(I641&lt;&gt;"",ISERROR(IF(ISERROR(VLOOKUP(I641*1,Summary!$C$8:$C$153,1,0)),VLOOKUP(I641,Summary!$C$8:$C$153,1,0),VLOOKUP(I641*1,Summary!$C$8:$C$153,1,0)))),"Add account Number to Summary","")</f>
        <v/>
      </c>
      <c r="M641" s="131" t="str">
        <f t="shared" si="10"/>
        <v/>
      </c>
      <c r="N641" s="287">
        <f>IF(C641="Sale",SUMIFS($D$4:D641,$B$4:B641,B641,$C$4:C641,"")+SUMIFS($D$4:D641,$B$4:B641,B641,$C$4:C641,"Purch")-SUMIFS($D$4:D641,$B$4:B641,B641,$C$4:C641,"Sale"),0)</f>
        <v>0</v>
      </c>
    </row>
    <row r="642" spans="1:14" x14ac:dyDescent="0.2">
      <c r="A642" s="152"/>
      <c r="B642" s="132"/>
      <c r="C642" s="132"/>
      <c r="D642" s="277"/>
      <c r="E642" s="132"/>
      <c r="F642" s="170"/>
      <c r="G642" s="150"/>
      <c r="H642" s="152"/>
      <c r="I642" s="204"/>
      <c r="J642" s="285"/>
      <c r="K642" s="251"/>
      <c r="L642" s="133" t="str">
        <f>IF(AND(I642&lt;&gt;"",ISERROR(IF(ISERROR(VLOOKUP(I642*1,Summary!$C$8:$C$153,1,0)),VLOOKUP(I642,Summary!$C$8:$C$153,1,0),VLOOKUP(I642*1,Summary!$C$8:$C$153,1,0)))),"Add account Number to Summary","")</f>
        <v/>
      </c>
      <c r="M642" s="131" t="str">
        <f t="shared" si="10"/>
        <v/>
      </c>
      <c r="N642" s="287">
        <f>IF(C642="Sale",SUMIFS($D$4:D642,$B$4:B642,B642,$C$4:C642,"")+SUMIFS($D$4:D642,$B$4:B642,B642,$C$4:C642,"Purch")-SUMIFS($D$4:D642,$B$4:B642,B642,$C$4:C642,"Sale"),0)</f>
        <v>0</v>
      </c>
    </row>
    <row r="643" spans="1:14" x14ac:dyDescent="0.2">
      <c r="A643" s="152"/>
      <c r="B643" s="132"/>
      <c r="C643" s="132"/>
      <c r="D643" s="277"/>
      <c r="E643" s="132"/>
      <c r="F643" s="170"/>
      <c r="G643" s="150"/>
      <c r="H643" s="152"/>
      <c r="I643" s="204"/>
      <c r="J643" s="285"/>
      <c r="K643" s="251"/>
      <c r="L643" s="133" t="str">
        <f>IF(AND(I643&lt;&gt;"",ISERROR(IF(ISERROR(VLOOKUP(I643*1,Summary!$C$8:$C$153,1,0)),VLOOKUP(I643,Summary!$C$8:$C$153,1,0),VLOOKUP(I643*1,Summary!$C$8:$C$153,1,0)))),"Add account Number to Summary","")</f>
        <v/>
      </c>
      <c r="M643" s="131" t="str">
        <f t="shared" si="10"/>
        <v/>
      </c>
      <c r="N643" s="287">
        <f>IF(C643="Sale",SUMIFS($D$4:D643,$B$4:B643,B643,$C$4:C643,"")+SUMIFS($D$4:D643,$B$4:B643,B643,$C$4:C643,"Purch")-SUMIFS($D$4:D643,$B$4:B643,B643,$C$4:C643,"Sale"),0)</f>
        <v>0</v>
      </c>
    </row>
    <row r="644" spans="1:14" x14ac:dyDescent="0.2">
      <c r="A644" s="152"/>
      <c r="B644" s="132"/>
      <c r="C644" s="132"/>
      <c r="D644" s="277"/>
      <c r="E644" s="132"/>
      <c r="F644" s="170"/>
      <c r="G644" s="150"/>
      <c r="H644" s="152"/>
      <c r="I644" s="204"/>
      <c r="J644" s="285"/>
      <c r="K644" s="251"/>
      <c r="L644" s="133" t="str">
        <f>IF(AND(I644&lt;&gt;"",ISERROR(IF(ISERROR(VLOOKUP(I644*1,Summary!$C$8:$C$153,1,0)),VLOOKUP(I644,Summary!$C$8:$C$153,1,0),VLOOKUP(I644*1,Summary!$C$8:$C$153,1,0)))),"Add account Number to Summary","")</f>
        <v/>
      </c>
      <c r="M644" s="131" t="str">
        <f t="shared" si="10"/>
        <v/>
      </c>
      <c r="N644" s="287">
        <f>IF(C644="Sale",SUMIFS($D$4:D644,$B$4:B644,B644,$C$4:C644,"")+SUMIFS($D$4:D644,$B$4:B644,B644,$C$4:C644,"Purch")-SUMIFS($D$4:D644,$B$4:B644,B644,$C$4:C644,"Sale"),0)</f>
        <v>0</v>
      </c>
    </row>
    <row r="645" spans="1:14" x14ac:dyDescent="0.2">
      <c r="A645" s="152"/>
      <c r="B645" s="132"/>
      <c r="C645" s="132"/>
      <c r="D645" s="277"/>
      <c r="E645" s="132"/>
      <c r="F645" s="170"/>
      <c r="G645" s="150"/>
      <c r="H645" s="152"/>
      <c r="I645" s="204"/>
      <c r="J645" s="285"/>
      <c r="K645" s="251"/>
      <c r="L645" s="133" t="str">
        <f>IF(AND(I645&lt;&gt;"",ISERROR(IF(ISERROR(VLOOKUP(I645*1,Summary!$C$8:$C$153,1,0)),VLOOKUP(I645,Summary!$C$8:$C$153,1,0),VLOOKUP(I645*1,Summary!$C$8:$C$153,1,0)))),"Add account Number to Summary","")</f>
        <v/>
      </c>
      <c r="M645" s="131" t="str">
        <f t="shared" si="10"/>
        <v/>
      </c>
      <c r="N645" s="287">
        <f>IF(C645="Sale",SUMIFS($D$4:D645,$B$4:B645,B645,$C$4:C645,"")+SUMIFS($D$4:D645,$B$4:B645,B645,$C$4:C645,"Purch")-SUMIFS($D$4:D645,$B$4:B645,B645,$C$4:C645,"Sale"),0)</f>
        <v>0</v>
      </c>
    </row>
    <row r="646" spans="1:14" x14ac:dyDescent="0.2">
      <c r="A646" s="152"/>
      <c r="B646" s="132"/>
      <c r="C646" s="132"/>
      <c r="D646" s="277"/>
      <c r="E646" s="132"/>
      <c r="F646" s="170"/>
      <c r="G646" s="150"/>
      <c r="H646" s="152"/>
      <c r="I646" s="204"/>
      <c r="J646" s="285"/>
      <c r="K646" s="251"/>
      <c r="L646" s="133" t="str">
        <f>IF(AND(I646&lt;&gt;"",ISERROR(IF(ISERROR(VLOOKUP(I646*1,Summary!$C$8:$C$153,1,0)),VLOOKUP(I646,Summary!$C$8:$C$153,1,0),VLOOKUP(I646*1,Summary!$C$8:$C$153,1,0)))),"Add account Number to Summary","")</f>
        <v/>
      </c>
      <c r="M646" s="131" t="str">
        <f t="shared" si="10"/>
        <v/>
      </c>
      <c r="N646" s="287">
        <f>IF(C646="Sale",SUMIFS($D$4:D646,$B$4:B646,B646,$C$4:C646,"")+SUMIFS($D$4:D646,$B$4:B646,B646,$C$4:C646,"Purch")-SUMIFS($D$4:D646,$B$4:B646,B646,$C$4:C646,"Sale"),0)</f>
        <v>0</v>
      </c>
    </row>
    <row r="647" spans="1:14" x14ac:dyDescent="0.2">
      <c r="A647" s="152"/>
      <c r="B647" s="132"/>
      <c r="C647" s="132"/>
      <c r="D647" s="277"/>
      <c r="E647" s="132"/>
      <c r="F647" s="170"/>
      <c r="G647" s="150"/>
      <c r="H647" s="152"/>
      <c r="I647" s="204"/>
      <c r="J647" s="285"/>
      <c r="K647" s="251"/>
      <c r="L647" s="133" t="str">
        <f>IF(AND(I647&lt;&gt;"",ISERROR(IF(ISERROR(VLOOKUP(I647*1,Summary!$C$8:$C$153,1,0)),VLOOKUP(I647,Summary!$C$8:$C$153,1,0),VLOOKUP(I647*1,Summary!$C$8:$C$153,1,0)))),"Add account Number to Summary","")</f>
        <v/>
      </c>
      <c r="M647" s="131" t="str">
        <f t="shared" si="10"/>
        <v/>
      </c>
      <c r="N647" s="287">
        <f>IF(C647="Sale",SUMIFS($D$4:D647,$B$4:B647,B647,$C$4:C647,"")+SUMIFS($D$4:D647,$B$4:B647,B647,$C$4:C647,"Purch")-SUMIFS($D$4:D647,$B$4:B647,B647,$C$4:C647,"Sale"),0)</f>
        <v>0</v>
      </c>
    </row>
    <row r="648" spans="1:14" x14ac:dyDescent="0.2">
      <c r="A648" s="152"/>
      <c r="B648" s="132"/>
      <c r="C648" s="132"/>
      <c r="D648" s="277"/>
      <c r="E648" s="132"/>
      <c r="F648" s="170"/>
      <c r="G648" s="150"/>
      <c r="H648" s="152"/>
      <c r="I648" s="204"/>
      <c r="J648" s="285"/>
      <c r="K648" s="251"/>
      <c r="L648" s="133" t="str">
        <f>IF(AND(I648&lt;&gt;"",ISERROR(IF(ISERROR(VLOOKUP(I648*1,Summary!$C$8:$C$153,1,0)),VLOOKUP(I648,Summary!$C$8:$C$153,1,0),VLOOKUP(I648*1,Summary!$C$8:$C$153,1,0)))),"Add account Number to Summary","")</f>
        <v/>
      </c>
      <c r="M648" s="131" t="str">
        <f t="shared" si="10"/>
        <v/>
      </c>
      <c r="N648" s="287">
        <f>IF(C648="Sale",SUMIFS($D$4:D648,$B$4:B648,B648,$C$4:C648,"")+SUMIFS($D$4:D648,$B$4:B648,B648,$C$4:C648,"Purch")-SUMIFS($D$4:D648,$B$4:B648,B648,$C$4:C648,"Sale"),0)</f>
        <v>0</v>
      </c>
    </row>
    <row r="649" spans="1:14" x14ac:dyDescent="0.2">
      <c r="A649" s="152"/>
      <c r="B649" s="132"/>
      <c r="C649" s="132"/>
      <c r="D649" s="277"/>
      <c r="E649" s="132"/>
      <c r="F649" s="170"/>
      <c r="G649" s="150"/>
      <c r="H649" s="152"/>
      <c r="I649" s="204"/>
      <c r="J649" s="285"/>
      <c r="K649" s="251"/>
      <c r="L649" s="133" t="str">
        <f>IF(AND(I649&lt;&gt;"",ISERROR(IF(ISERROR(VLOOKUP(I649*1,Summary!$C$8:$C$153,1,0)),VLOOKUP(I649,Summary!$C$8:$C$153,1,0),VLOOKUP(I649*1,Summary!$C$8:$C$153,1,0)))),"Add account Number to Summary","")</f>
        <v/>
      </c>
      <c r="M649" s="131" t="str">
        <f t="shared" si="10"/>
        <v/>
      </c>
      <c r="N649" s="287">
        <f>IF(C649="Sale",SUMIFS($D$4:D649,$B$4:B649,B649,$C$4:C649,"")+SUMIFS($D$4:D649,$B$4:B649,B649,$C$4:C649,"Purch")-SUMIFS($D$4:D649,$B$4:B649,B649,$C$4:C649,"Sale"),0)</f>
        <v>0</v>
      </c>
    </row>
    <row r="650" spans="1:14" x14ac:dyDescent="0.2">
      <c r="A650" s="152"/>
      <c r="B650" s="132"/>
      <c r="C650" s="132"/>
      <c r="D650" s="277"/>
      <c r="E650" s="132"/>
      <c r="F650" s="170"/>
      <c r="G650" s="150"/>
      <c r="H650" s="152"/>
      <c r="I650" s="204"/>
      <c r="J650" s="285"/>
      <c r="K650" s="251"/>
      <c r="L650" s="133" t="str">
        <f>IF(AND(I650&lt;&gt;"",ISERROR(IF(ISERROR(VLOOKUP(I650*1,Summary!$C$8:$C$153,1,0)),VLOOKUP(I650,Summary!$C$8:$C$153,1,0),VLOOKUP(I650*1,Summary!$C$8:$C$153,1,0)))),"Add account Number to Summary","")</f>
        <v/>
      </c>
      <c r="M650" s="131" t="str">
        <f t="shared" si="10"/>
        <v/>
      </c>
      <c r="N650" s="287">
        <f>IF(C650="Sale",SUMIFS($D$4:D650,$B$4:B650,B650,$C$4:C650,"")+SUMIFS($D$4:D650,$B$4:B650,B650,$C$4:C650,"Purch")-SUMIFS($D$4:D650,$B$4:B650,B650,$C$4:C650,"Sale"),0)</f>
        <v>0</v>
      </c>
    </row>
    <row r="651" spans="1:14" x14ac:dyDescent="0.2">
      <c r="A651" s="152"/>
      <c r="B651" s="132"/>
      <c r="C651" s="132"/>
      <c r="D651" s="277"/>
      <c r="E651" s="132"/>
      <c r="F651" s="170"/>
      <c r="G651" s="150"/>
      <c r="H651" s="152"/>
      <c r="I651" s="204"/>
      <c r="J651" s="285"/>
      <c r="K651" s="251"/>
      <c r="L651" s="133" t="str">
        <f>IF(AND(I651&lt;&gt;"",ISERROR(IF(ISERROR(VLOOKUP(I651*1,Summary!$C$8:$C$153,1,0)),VLOOKUP(I651,Summary!$C$8:$C$153,1,0),VLOOKUP(I651*1,Summary!$C$8:$C$153,1,0)))),"Add account Number to Summary","")</f>
        <v/>
      </c>
      <c r="M651" s="131" t="str">
        <f t="shared" si="10"/>
        <v/>
      </c>
      <c r="N651" s="287">
        <f>IF(C651="Sale",SUMIFS($D$4:D651,$B$4:B651,B651,$C$4:C651,"")+SUMIFS($D$4:D651,$B$4:B651,B651,$C$4:C651,"Purch")-SUMIFS($D$4:D651,$B$4:B651,B651,$C$4:C651,"Sale"),0)</f>
        <v>0</v>
      </c>
    </row>
    <row r="652" spans="1:14" x14ac:dyDescent="0.2">
      <c r="A652" s="152"/>
      <c r="B652" s="132"/>
      <c r="C652" s="132"/>
      <c r="D652" s="277"/>
      <c r="E652" s="132"/>
      <c r="F652" s="170"/>
      <c r="G652" s="150"/>
      <c r="H652" s="152"/>
      <c r="I652" s="204"/>
      <c r="J652" s="285"/>
      <c r="K652" s="251"/>
      <c r="L652" s="133" t="str">
        <f>IF(AND(I652&lt;&gt;"",ISERROR(IF(ISERROR(VLOOKUP(I652*1,Summary!$C$8:$C$153,1,0)),VLOOKUP(I652,Summary!$C$8:$C$153,1,0),VLOOKUP(I652*1,Summary!$C$8:$C$153,1,0)))),"Add account Number to Summary","")</f>
        <v/>
      </c>
      <c r="M652" s="131" t="str">
        <f t="shared" si="10"/>
        <v/>
      </c>
      <c r="N652" s="287">
        <f>IF(C652="Sale",SUMIFS($D$4:D652,$B$4:B652,B652,$C$4:C652,"")+SUMIFS($D$4:D652,$B$4:B652,B652,$C$4:C652,"Purch")-SUMIFS($D$4:D652,$B$4:B652,B652,$C$4:C652,"Sale"),0)</f>
        <v>0</v>
      </c>
    </row>
    <row r="653" spans="1:14" x14ac:dyDescent="0.2">
      <c r="A653" s="152"/>
      <c r="B653" s="132"/>
      <c r="C653" s="132"/>
      <c r="D653" s="277"/>
      <c r="E653" s="132"/>
      <c r="F653" s="170"/>
      <c r="G653" s="150"/>
      <c r="H653" s="152"/>
      <c r="I653" s="204"/>
      <c r="J653" s="285"/>
      <c r="K653" s="251"/>
      <c r="L653" s="133" t="str">
        <f>IF(AND(I653&lt;&gt;"",ISERROR(IF(ISERROR(VLOOKUP(I653*1,Summary!$C$8:$C$153,1,0)),VLOOKUP(I653,Summary!$C$8:$C$153,1,0),VLOOKUP(I653*1,Summary!$C$8:$C$153,1,0)))),"Add account Number to Summary","")</f>
        <v/>
      </c>
      <c r="M653" s="131" t="str">
        <f t="shared" si="10"/>
        <v/>
      </c>
      <c r="N653" s="287">
        <f>IF(C653="Sale",SUMIFS($D$4:D653,$B$4:B653,B653,$C$4:C653,"")+SUMIFS($D$4:D653,$B$4:B653,B653,$C$4:C653,"Purch")-SUMIFS($D$4:D653,$B$4:B653,B653,$C$4:C653,"Sale"),0)</f>
        <v>0</v>
      </c>
    </row>
    <row r="654" spans="1:14" x14ac:dyDescent="0.2">
      <c r="A654" s="152"/>
      <c r="B654" s="132"/>
      <c r="C654" s="132"/>
      <c r="D654" s="277"/>
      <c r="E654" s="132"/>
      <c r="F654" s="170"/>
      <c r="G654" s="150"/>
      <c r="H654" s="152"/>
      <c r="I654" s="204"/>
      <c r="J654" s="285"/>
      <c r="K654" s="251"/>
      <c r="L654" s="133" t="str">
        <f>IF(AND(I654&lt;&gt;"",ISERROR(IF(ISERROR(VLOOKUP(I654*1,Summary!$C$8:$C$153,1,0)),VLOOKUP(I654,Summary!$C$8:$C$153,1,0),VLOOKUP(I654*1,Summary!$C$8:$C$153,1,0)))),"Add account Number to Summary","")</f>
        <v/>
      </c>
      <c r="M654" s="131" t="str">
        <f t="shared" si="10"/>
        <v/>
      </c>
      <c r="N654" s="287">
        <f>IF(C654="Sale",SUMIFS($D$4:D654,$B$4:B654,B654,$C$4:C654,"")+SUMIFS($D$4:D654,$B$4:B654,B654,$C$4:C654,"Purch")-SUMIFS($D$4:D654,$B$4:B654,B654,$C$4:C654,"Sale"),0)</f>
        <v>0</v>
      </c>
    </row>
    <row r="655" spans="1:14" x14ac:dyDescent="0.2">
      <c r="A655" s="152"/>
      <c r="B655" s="132"/>
      <c r="C655" s="132"/>
      <c r="D655" s="277"/>
      <c r="E655" s="132"/>
      <c r="F655" s="170"/>
      <c r="G655" s="150"/>
      <c r="H655" s="152"/>
      <c r="I655" s="204"/>
      <c r="J655" s="285"/>
      <c r="K655" s="251"/>
      <c r="L655" s="133" t="str">
        <f>IF(AND(I655&lt;&gt;"",ISERROR(IF(ISERROR(VLOOKUP(I655*1,Summary!$C$8:$C$153,1,0)),VLOOKUP(I655,Summary!$C$8:$C$153,1,0),VLOOKUP(I655*1,Summary!$C$8:$C$153,1,0)))),"Add account Number to Summary","")</f>
        <v/>
      </c>
      <c r="M655" s="131" t="str">
        <f t="shared" si="10"/>
        <v/>
      </c>
      <c r="N655" s="287">
        <f>IF(C655="Sale",SUMIFS($D$4:D655,$B$4:B655,B655,$C$4:C655,"")+SUMIFS($D$4:D655,$B$4:B655,B655,$C$4:C655,"Purch")-SUMIFS($D$4:D655,$B$4:B655,B655,$C$4:C655,"Sale"),0)</f>
        <v>0</v>
      </c>
    </row>
    <row r="656" spans="1:14" x14ac:dyDescent="0.2">
      <c r="A656" s="152"/>
      <c r="B656" s="132"/>
      <c r="C656" s="132"/>
      <c r="D656" s="277"/>
      <c r="E656" s="132"/>
      <c r="F656" s="170"/>
      <c r="G656" s="150"/>
      <c r="H656" s="152"/>
      <c r="I656" s="204"/>
      <c r="J656" s="285"/>
      <c r="K656" s="251"/>
      <c r="L656" s="133" t="str">
        <f>IF(AND(I656&lt;&gt;"",ISERROR(IF(ISERROR(VLOOKUP(I656*1,Summary!$C$8:$C$153,1,0)),VLOOKUP(I656,Summary!$C$8:$C$153,1,0),VLOOKUP(I656*1,Summary!$C$8:$C$153,1,0)))),"Add account Number to Summary","")</f>
        <v/>
      </c>
      <c r="M656" s="131" t="str">
        <f t="shared" si="10"/>
        <v/>
      </c>
      <c r="N656" s="287">
        <f>IF(C656="Sale",SUMIFS($D$4:D656,$B$4:B656,B656,$C$4:C656,"")+SUMIFS($D$4:D656,$B$4:B656,B656,$C$4:C656,"Purch")-SUMIFS($D$4:D656,$B$4:B656,B656,$C$4:C656,"Sale"),0)</f>
        <v>0</v>
      </c>
    </row>
    <row r="657" spans="1:14" x14ac:dyDescent="0.2">
      <c r="A657" s="152"/>
      <c r="B657" s="132"/>
      <c r="C657" s="132"/>
      <c r="D657" s="277"/>
      <c r="E657" s="132"/>
      <c r="F657" s="170"/>
      <c r="G657" s="150"/>
      <c r="H657" s="152"/>
      <c r="I657" s="204"/>
      <c r="J657" s="285"/>
      <c r="K657" s="251"/>
      <c r="L657" s="133" t="str">
        <f>IF(AND(I657&lt;&gt;"",ISERROR(IF(ISERROR(VLOOKUP(I657*1,Summary!$C$8:$C$153,1,0)),VLOOKUP(I657,Summary!$C$8:$C$153,1,0),VLOOKUP(I657*1,Summary!$C$8:$C$153,1,0)))),"Add account Number to Summary","")</f>
        <v/>
      </c>
      <c r="M657" s="131" t="str">
        <f t="shared" si="10"/>
        <v/>
      </c>
      <c r="N657" s="287">
        <f>IF(C657="Sale",SUMIFS($D$4:D657,$B$4:B657,B657,$C$4:C657,"")+SUMIFS($D$4:D657,$B$4:B657,B657,$C$4:C657,"Purch")-SUMIFS($D$4:D657,$B$4:B657,B657,$C$4:C657,"Sale"),0)</f>
        <v>0</v>
      </c>
    </row>
    <row r="658" spans="1:14" x14ac:dyDescent="0.2">
      <c r="A658" s="152"/>
      <c r="B658" s="132"/>
      <c r="C658" s="132"/>
      <c r="D658" s="277"/>
      <c r="E658" s="132"/>
      <c r="F658" s="170"/>
      <c r="G658" s="150"/>
      <c r="H658" s="152"/>
      <c r="I658" s="204"/>
      <c r="J658" s="285"/>
      <c r="K658" s="251"/>
      <c r="L658" s="133" t="str">
        <f>IF(AND(I658&lt;&gt;"",ISERROR(IF(ISERROR(VLOOKUP(I658*1,Summary!$C$8:$C$153,1,0)),VLOOKUP(I658,Summary!$C$8:$C$153,1,0),VLOOKUP(I658*1,Summary!$C$8:$C$153,1,0)))),"Add account Number to Summary","")</f>
        <v/>
      </c>
      <c r="M658" s="131" t="str">
        <f t="shared" si="10"/>
        <v/>
      </c>
      <c r="N658" s="287">
        <f>IF(C658="Sale",SUMIFS($D$4:D658,$B$4:B658,B658,$C$4:C658,"")+SUMIFS($D$4:D658,$B$4:B658,B658,$C$4:C658,"Purch")-SUMIFS($D$4:D658,$B$4:B658,B658,$C$4:C658,"Sale"),0)</f>
        <v>0</v>
      </c>
    </row>
    <row r="659" spans="1:14" x14ac:dyDescent="0.2">
      <c r="A659" s="152"/>
      <c r="B659" s="132"/>
      <c r="C659" s="132"/>
      <c r="D659" s="277"/>
      <c r="E659" s="132"/>
      <c r="F659" s="170"/>
      <c r="G659" s="150"/>
      <c r="H659" s="152"/>
      <c r="I659" s="204"/>
      <c r="J659" s="285"/>
      <c r="K659" s="251"/>
      <c r="L659" s="133" t="str">
        <f>IF(AND(I659&lt;&gt;"",ISERROR(IF(ISERROR(VLOOKUP(I659*1,Summary!$C$8:$C$153,1,0)),VLOOKUP(I659,Summary!$C$8:$C$153,1,0),VLOOKUP(I659*1,Summary!$C$8:$C$153,1,0)))),"Add account Number to Summary","")</f>
        <v/>
      </c>
      <c r="M659" s="131" t="str">
        <f t="shared" si="10"/>
        <v/>
      </c>
      <c r="N659" s="287">
        <f>IF(C659="Sale",SUMIFS($D$4:D659,$B$4:B659,B659,$C$4:C659,"")+SUMIFS($D$4:D659,$B$4:B659,B659,$C$4:C659,"Purch")-SUMIFS($D$4:D659,$B$4:B659,B659,$C$4:C659,"Sale"),0)</f>
        <v>0</v>
      </c>
    </row>
    <row r="660" spans="1:14" x14ac:dyDescent="0.2">
      <c r="A660" s="152"/>
      <c r="B660" s="132"/>
      <c r="C660" s="132"/>
      <c r="D660" s="277"/>
      <c r="E660" s="132"/>
      <c r="F660" s="170"/>
      <c r="G660" s="150"/>
      <c r="H660" s="152"/>
      <c r="I660" s="204"/>
      <c r="J660" s="285"/>
      <c r="K660" s="251"/>
      <c r="L660" s="133" t="str">
        <f>IF(AND(I660&lt;&gt;"",ISERROR(IF(ISERROR(VLOOKUP(I660*1,Summary!$C$8:$C$153,1,0)),VLOOKUP(I660,Summary!$C$8:$C$153,1,0),VLOOKUP(I660*1,Summary!$C$8:$C$153,1,0)))),"Add account Number to Summary","")</f>
        <v/>
      </c>
      <c r="M660" s="131" t="str">
        <f t="shared" si="10"/>
        <v/>
      </c>
      <c r="N660" s="287">
        <f>IF(C660="Sale",SUMIFS($D$4:D660,$B$4:B660,B660,$C$4:C660,"")+SUMIFS($D$4:D660,$B$4:B660,B660,$C$4:C660,"Purch")-SUMIFS($D$4:D660,$B$4:B660,B660,$C$4:C660,"Sale"),0)</f>
        <v>0</v>
      </c>
    </row>
    <row r="661" spans="1:14" x14ac:dyDescent="0.2">
      <c r="A661" s="152"/>
      <c r="B661" s="132"/>
      <c r="C661" s="132"/>
      <c r="D661" s="277"/>
      <c r="E661" s="132"/>
      <c r="F661" s="170"/>
      <c r="G661" s="150"/>
      <c r="H661" s="152"/>
      <c r="I661" s="204"/>
      <c r="J661" s="285"/>
      <c r="K661" s="251"/>
      <c r="L661" s="133" t="str">
        <f>IF(AND(I661&lt;&gt;"",ISERROR(IF(ISERROR(VLOOKUP(I661*1,Summary!$C$8:$C$153,1,0)),VLOOKUP(I661,Summary!$C$8:$C$153,1,0),VLOOKUP(I661*1,Summary!$C$8:$C$153,1,0)))),"Add account Number to Summary","")</f>
        <v/>
      </c>
      <c r="M661" s="131" t="str">
        <f t="shared" si="10"/>
        <v/>
      </c>
      <c r="N661" s="287">
        <f>IF(C661="Sale",SUMIFS($D$4:D661,$B$4:B661,B661,$C$4:C661,"")+SUMIFS($D$4:D661,$B$4:B661,B661,$C$4:C661,"Purch")-SUMIFS($D$4:D661,$B$4:B661,B661,$C$4:C661,"Sale"),0)</f>
        <v>0</v>
      </c>
    </row>
    <row r="662" spans="1:14" x14ac:dyDescent="0.2">
      <c r="A662" s="152"/>
      <c r="B662" s="132"/>
      <c r="C662" s="132"/>
      <c r="D662" s="277"/>
      <c r="E662" s="132"/>
      <c r="F662" s="170"/>
      <c r="G662" s="150"/>
      <c r="H662" s="152"/>
      <c r="I662" s="204"/>
      <c r="J662" s="285"/>
      <c r="K662" s="251"/>
      <c r="L662" s="133" t="str">
        <f>IF(AND(I662&lt;&gt;"",ISERROR(IF(ISERROR(VLOOKUP(I662*1,Summary!$C$8:$C$153,1,0)),VLOOKUP(I662,Summary!$C$8:$C$153,1,0),VLOOKUP(I662*1,Summary!$C$8:$C$153,1,0)))),"Add account Number to Summary","")</f>
        <v/>
      </c>
      <c r="M662" s="131" t="str">
        <f t="shared" si="10"/>
        <v/>
      </c>
      <c r="N662" s="287">
        <f>IF(C662="Sale",SUMIFS($D$4:D662,$B$4:B662,B662,$C$4:C662,"")+SUMIFS($D$4:D662,$B$4:B662,B662,$C$4:C662,"Purch")-SUMIFS($D$4:D662,$B$4:B662,B662,$C$4:C662,"Sale"),0)</f>
        <v>0</v>
      </c>
    </row>
    <row r="663" spans="1:14" x14ac:dyDescent="0.2">
      <c r="A663" s="152"/>
      <c r="B663" s="132"/>
      <c r="C663" s="132"/>
      <c r="D663" s="277"/>
      <c r="E663" s="132"/>
      <c r="F663" s="170"/>
      <c r="G663" s="150"/>
      <c r="H663" s="152"/>
      <c r="I663" s="204"/>
      <c r="J663" s="285"/>
      <c r="K663" s="251"/>
      <c r="L663" s="133" t="str">
        <f>IF(AND(I663&lt;&gt;"",ISERROR(IF(ISERROR(VLOOKUP(I663*1,Summary!$C$8:$C$153,1,0)),VLOOKUP(I663,Summary!$C$8:$C$153,1,0),VLOOKUP(I663*1,Summary!$C$8:$C$153,1,0)))),"Add account Number to Summary","")</f>
        <v/>
      </c>
      <c r="M663" s="131" t="str">
        <f t="shared" si="10"/>
        <v/>
      </c>
      <c r="N663" s="287">
        <f>IF(C663="Sale",SUMIFS($D$4:D663,$B$4:B663,B663,$C$4:C663,"")+SUMIFS($D$4:D663,$B$4:B663,B663,$C$4:C663,"Purch")-SUMIFS($D$4:D663,$B$4:B663,B663,$C$4:C663,"Sale"),0)</f>
        <v>0</v>
      </c>
    </row>
    <row r="664" spans="1:14" x14ac:dyDescent="0.2">
      <c r="A664" s="152"/>
      <c r="B664" s="132"/>
      <c r="C664" s="132"/>
      <c r="D664" s="277"/>
      <c r="E664" s="132"/>
      <c r="F664" s="170"/>
      <c r="G664" s="150"/>
      <c r="H664" s="152"/>
      <c r="I664" s="204"/>
      <c r="J664" s="285"/>
      <c r="K664" s="251"/>
      <c r="L664" s="133" t="str">
        <f>IF(AND(I664&lt;&gt;"",ISERROR(IF(ISERROR(VLOOKUP(I664*1,Summary!$C$8:$C$153,1,0)),VLOOKUP(I664,Summary!$C$8:$C$153,1,0),VLOOKUP(I664*1,Summary!$C$8:$C$153,1,0)))),"Add account Number to Summary","")</f>
        <v/>
      </c>
      <c r="M664" s="131" t="str">
        <f t="shared" si="10"/>
        <v/>
      </c>
      <c r="N664" s="287">
        <f>IF(C664="Sale",SUMIFS($D$4:D664,$B$4:B664,B664,$C$4:C664,"")+SUMIFS($D$4:D664,$B$4:B664,B664,$C$4:C664,"Purch")-SUMIFS($D$4:D664,$B$4:B664,B664,$C$4:C664,"Sale"),0)</f>
        <v>0</v>
      </c>
    </row>
    <row r="665" spans="1:14" x14ac:dyDescent="0.2">
      <c r="A665" s="152"/>
      <c r="B665" s="132"/>
      <c r="C665" s="132"/>
      <c r="D665" s="277"/>
      <c r="E665" s="132"/>
      <c r="F665" s="170"/>
      <c r="G665" s="150"/>
      <c r="H665" s="152"/>
      <c r="I665" s="204"/>
      <c r="J665" s="285"/>
      <c r="K665" s="251"/>
      <c r="L665" s="133" t="str">
        <f>IF(AND(I665&lt;&gt;"",ISERROR(IF(ISERROR(VLOOKUP(I665*1,Summary!$C$8:$C$153,1,0)),VLOOKUP(I665,Summary!$C$8:$C$153,1,0),VLOOKUP(I665*1,Summary!$C$8:$C$153,1,0)))),"Add account Number to Summary","")</f>
        <v/>
      </c>
      <c r="M665" s="131" t="str">
        <f t="shared" si="10"/>
        <v/>
      </c>
      <c r="N665" s="287">
        <f>IF(C665="Sale",SUMIFS($D$4:D665,$B$4:B665,B665,$C$4:C665,"")+SUMIFS($D$4:D665,$B$4:B665,B665,$C$4:C665,"Purch")-SUMIFS($D$4:D665,$B$4:B665,B665,$C$4:C665,"Sale"),0)</f>
        <v>0</v>
      </c>
    </row>
    <row r="666" spans="1:14" x14ac:dyDescent="0.2">
      <c r="A666" s="152"/>
      <c r="B666" s="132"/>
      <c r="C666" s="132"/>
      <c r="D666" s="277"/>
      <c r="E666" s="132"/>
      <c r="F666" s="170"/>
      <c r="G666" s="150"/>
      <c r="H666" s="152"/>
      <c r="I666" s="204"/>
      <c r="J666" s="285"/>
      <c r="K666" s="251"/>
      <c r="L666" s="133" t="str">
        <f>IF(AND(I666&lt;&gt;"",ISERROR(IF(ISERROR(VLOOKUP(I666*1,Summary!$C$8:$C$153,1,0)),VLOOKUP(I666,Summary!$C$8:$C$153,1,0),VLOOKUP(I666*1,Summary!$C$8:$C$153,1,0)))),"Add account Number to Summary","")</f>
        <v/>
      </c>
      <c r="M666" s="131" t="str">
        <f t="shared" si="10"/>
        <v/>
      </c>
      <c r="N666" s="287">
        <f>IF(C666="Sale",SUMIFS($D$4:D666,$B$4:B666,B666,$C$4:C666,"")+SUMIFS($D$4:D666,$B$4:B666,B666,$C$4:C666,"Purch")-SUMIFS($D$4:D666,$B$4:B666,B666,$C$4:C666,"Sale"),0)</f>
        <v>0</v>
      </c>
    </row>
    <row r="667" spans="1:14" x14ac:dyDescent="0.2">
      <c r="A667" s="152"/>
      <c r="B667" s="132"/>
      <c r="C667" s="132"/>
      <c r="D667" s="277"/>
      <c r="E667" s="132"/>
      <c r="F667" s="170"/>
      <c r="G667" s="150"/>
      <c r="H667" s="152"/>
      <c r="I667" s="204"/>
      <c r="J667" s="285"/>
      <c r="K667" s="251"/>
      <c r="L667" s="133" t="str">
        <f>IF(AND(I667&lt;&gt;"",ISERROR(IF(ISERROR(VLOOKUP(I667*1,Summary!$C$8:$C$153,1,0)),VLOOKUP(I667,Summary!$C$8:$C$153,1,0),VLOOKUP(I667*1,Summary!$C$8:$C$153,1,0)))),"Add account Number to Summary","")</f>
        <v/>
      </c>
      <c r="M667" s="131" t="str">
        <f t="shared" si="10"/>
        <v/>
      </c>
      <c r="N667" s="287">
        <f>IF(C667="Sale",SUMIFS($D$4:D667,$B$4:B667,B667,$C$4:C667,"")+SUMIFS($D$4:D667,$B$4:B667,B667,$C$4:C667,"Purch")-SUMIFS($D$4:D667,$B$4:B667,B667,$C$4:C667,"Sale"),0)</f>
        <v>0</v>
      </c>
    </row>
    <row r="668" spans="1:14" x14ac:dyDescent="0.2">
      <c r="A668" s="152"/>
      <c r="B668" s="132"/>
      <c r="C668" s="132"/>
      <c r="D668" s="277"/>
      <c r="E668" s="132"/>
      <c r="F668" s="170"/>
      <c r="G668" s="150"/>
      <c r="H668" s="152"/>
      <c r="I668" s="204"/>
      <c r="J668" s="285"/>
      <c r="K668" s="251"/>
      <c r="L668" s="133" t="str">
        <f>IF(AND(I668&lt;&gt;"",ISERROR(IF(ISERROR(VLOOKUP(I668*1,Summary!$C$8:$C$153,1,0)),VLOOKUP(I668,Summary!$C$8:$C$153,1,0),VLOOKUP(I668*1,Summary!$C$8:$C$153,1,0)))),"Add account Number to Summary","")</f>
        <v/>
      </c>
      <c r="M668" s="131" t="str">
        <f t="shared" si="10"/>
        <v/>
      </c>
      <c r="N668" s="287">
        <f>IF(C668="Sale",SUMIFS($D$4:D668,$B$4:B668,B668,$C$4:C668,"")+SUMIFS($D$4:D668,$B$4:B668,B668,$C$4:C668,"Purch")-SUMIFS($D$4:D668,$B$4:B668,B668,$C$4:C668,"Sale"),0)</f>
        <v>0</v>
      </c>
    </row>
    <row r="669" spans="1:14" x14ac:dyDescent="0.2">
      <c r="A669" s="152"/>
      <c r="B669" s="132"/>
      <c r="C669" s="132"/>
      <c r="D669" s="277"/>
      <c r="E669" s="132"/>
      <c r="F669" s="170"/>
      <c r="G669" s="150"/>
      <c r="H669" s="152"/>
      <c r="I669" s="204"/>
      <c r="J669" s="285"/>
      <c r="K669" s="251"/>
      <c r="L669" s="133" t="str">
        <f>IF(AND(I669&lt;&gt;"",ISERROR(IF(ISERROR(VLOOKUP(I669*1,Summary!$C$8:$C$153,1,0)),VLOOKUP(I669,Summary!$C$8:$C$153,1,0),VLOOKUP(I669*1,Summary!$C$8:$C$153,1,0)))),"Add account Number to Summary","")</f>
        <v/>
      </c>
      <c r="M669" s="131" t="str">
        <f t="shared" si="10"/>
        <v/>
      </c>
      <c r="N669" s="287">
        <f>IF(C669="Sale",SUMIFS($D$4:D669,$B$4:B669,B669,$C$4:C669,"")+SUMIFS($D$4:D669,$B$4:B669,B669,$C$4:C669,"Purch")-SUMIFS($D$4:D669,$B$4:B669,B669,$C$4:C669,"Sale"),0)</f>
        <v>0</v>
      </c>
    </row>
    <row r="670" spans="1:14" x14ac:dyDescent="0.2">
      <c r="A670" s="152"/>
      <c r="B670" s="132"/>
      <c r="C670" s="132"/>
      <c r="D670" s="277"/>
      <c r="E670" s="132"/>
      <c r="F670" s="170"/>
      <c r="G670" s="150"/>
      <c r="H670" s="152"/>
      <c r="I670" s="204"/>
      <c r="J670" s="285"/>
      <c r="K670" s="251"/>
      <c r="L670" s="133" t="str">
        <f>IF(AND(I670&lt;&gt;"",ISERROR(IF(ISERROR(VLOOKUP(I670*1,Summary!$C$8:$C$153,1,0)),VLOOKUP(I670,Summary!$C$8:$C$153,1,0),VLOOKUP(I670*1,Summary!$C$8:$C$153,1,0)))),"Add account Number to Summary","")</f>
        <v/>
      </c>
      <c r="M670" s="131" t="str">
        <f t="shared" si="10"/>
        <v/>
      </c>
      <c r="N670" s="287">
        <f>IF(C670="Sale",SUMIFS($D$4:D670,$B$4:B670,B670,$C$4:C670,"")+SUMIFS($D$4:D670,$B$4:B670,B670,$C$4:C670,"Purch")-SUMIFS($D$4:D670,$B$4:B670,B670,$C$4:C670,"Sale"),0)</f>
        <v>0</v>
      </c>
    </row>
    <row r="671" spans="1:14" x14ac:dyDescent="0.2">
      <c r="A671" s="152"/>
      <c r="B671" s="132"/>
      <c r="C671" s="132"/>
      <c r="D671" s="277"/>
      <c r="E671" s="132"/>
      <c r="F671" s="170"/>
      <c r="G671" s="150"/>
      <c r="H671" s="152"/>
      <c r="I671" s="204"/>
      <c r="J671" s="285"/>
      <c r="K671" s="251"/>
      <c r="L671" s="133" t="str">
        <f>IF(AND(I671&lt;&gt;"",ISERROR(IF(ISERROR(VLOOKUP(I671*1,Summary!$C$8:$C$153,1,0)),VLOOKUP(I671,Summary!$C$8:$C$153,1,0),VLOOKUP(I671*1,Summary!$C$8:$C$153,1,0)))),"Add account Number to Summary","")</f>
        <v/>
      </c>
      <c r="M671" s="131" t="str">
        <f t="shared" si="10"/>
        <v/>
      </c>
      <c r="N671" s="287">
        <f>IF(C671="Sale",SUMIFS($D$4:D671,$B$4:B671,B671,$C$4:C671,"")+SUMIFS($D$4:D671,$B$4:B671,B671,$C$4:C671,"Purch")-SUMIFS($D$4:D671,$B$4:B671,B671,$C$4:C671,"Sale"),0)</f>
        <v>0</v>
      </c>
    </row>
    <row r="672" spans="1:14" x14ac:dyDescent="0.2">
      <c r="A672" s="152"/>
      <c r="B672" s="132"/>
      <c r="C672" s="132"/>
      <c r="D672" s="277"/>
      <c r="E672" s="132"/>
      <c r="F672" s="170"/>
      <c r="G672" s="150"/>
      <c r="H672" s="152"/>
      <c r="I672" s="204"/>
      <c r="J672" s="285"/>
      <c r="K672" s="251"/>
      <c r="L672" s="133" t="str">
        <f>IF(AND(I672&lt;&gt;"",ISERROR(IF(ISERROR(VLOOKUP(I672*1,Summary!$C$8:$C$153,1,0)),VLOOKUP(I672,Summary!$C$8:$C$153,1,0),VLOOKUP(I672*1,Summary!$C$8:$C$153,1,0)))),"Add account Number to Summary","")</f>
        <v/>
      </c>
      <c r="M672" s="131" t="str">
        <f t="shared" si="10"/>
        <v/>
      </c>
      <c r="N672" s="287">
        <f>IF(C672="Sale",SUMIFS($D$4:D672,$B$4:B672,B672,$C$4:C672,"")+SUMIFS($D$4:D672,$B$4:B672,B672,$C$4:C672,"Purch")-SUMIFS($D$4:D672,$B$4:B672,B672,$C$4:C672,"Sale"),0)</f>
        <v>0</v>
      </c>
    </row>
    <row r="673" spans="1:14" x14ac:dyDescent="0.2">
      <c r="A673" s="152"/>
      <c r="B673" s="132"/>
      <c r="C673" s="132"/>
      <c r="D673" s="277"/>
      <c r="E673" s="132"/>
      <c r="F673" s="170"/>
      <c r="G673" s="150"/>
      <c r="H673" s="152"/>
      <c r="I673" s="204"/>
      <c r="J673" s="285"/>
      <c r="K673" s="251"/>
      <c r="L673" s="133" t="str">
        <f>IF(AND(I673&lt;&gt;"",ISERROR(IF(ISERROR(VLOOKUP(I673*1,Summary!$C$8:$C$153,1,0)),VLOOKUP(I673,Summary!$C$8:$C$153,1,0),VLOOKUP(I673*1,Summary!$C$8:$C$153,1,0)))),"Add account Number to Summary","")</f>
        <v/>
      </c>
      <c r="M673" s="131" t="str">
        <f t="shared" si="10"/>
        <v/>
      </c>
      <c r="N673" s="287">
        <f>IF(C673="Sale",SUMIFS($D$4:D673,$B$4:B673,B673,$C$4:C673,"")+SUMIFS($D$4:D673,$B$4:B673,B673,$C$4:C673,"Purch")-SUMIFS($D$4:D673,$B$4:B673,B673,$C$4:C673,"Sale"),0)</f>
        <v>0</v>
      </c>
    </row>
    <row r="674" spans="1:14" x14ac:dyDescent="0.2">
      <c r="A674" s="152"/>
      <c r="B674" s="132"/>
      <c r="C674" s="132"/>
      <c r="D674" s="277"/>
      <c r="E674" s="132"/>
      <c r="F674" s="170"/>
      <c r="G674" s="150"/>
      <c r="H674" s="152"/>
      <c r="I674" s="204"/>
      <c r="J674" s="285"/>
      <c r="K674" s="251"/>
      <c r="L674" s="133" t="str">
        <f>IF(AND(I674&lt;&gt;"",ISERROR(IF(ISERROR(VLOOKUP(I674*1,Summary!$C$8:$C$153,1,0)),VLOOKUP(I674,Summary!$C$8:$C$153,1,0),VLOOKUP(I674*1,Summary!$C$8:$C$153,1,0)))),"Add account Number to Summary","")</f>
        <v/>
      </c>
      <c r="M674" s="131" t="str">
        <f t="shared" si="10"/>
        <v/>
      </c>
      <c r="N674" s="287">
        <f>IF(C674="Sale",SUMIFS($D$4:D674,$B$4:B674,B674,$C$4:C674,"")+SUMIFS($D$4:D674,$B$4:B674,B674,$C$4:C674,"Purch")-SUMIFS($D$4:D674,$B$4:B674,B674,$C$4:C674,"Sale"),0)</f>
        <v>0</v>
      </c>
    </row>
    <row r="675" spans="1:14" x14ac:dyDescent="0.2">
      <c r="A675" s="152"/>
      <c r="B675" s="132"/>
      <c r="C675" s="132"/>
      <c r="D675" s="277"/>
      <c r="E675" s="132"/>
      <c r="F675" s="170"/>
      <c r="G675" s="150"/>
      <c r="H675" s="152"/>
      <c r="I675" s="204"/>
      <c r="J675" s="285"/>
      <c r="K675" s="251"/>
      <c r="L675" s="133" t="str">
        <f>IF(AND(I675&lt;&gt;"",ISERROR(IF(ISERROR(VLOOKUP(I675*1,Summary!$C$8:$C$153,1,0)),VLOOKUP(I675,Summary!$C$8:$C$153,1,0),VLOOKUP(I675*1,Summary!$C$8:$C$153,1,0)))),"Add account Number to Summary","")</f>
        <v/>
      </c>
      <c r="M675" s="131" t="str">
        <f t="shared" si="10"/>
        <v/>
      </c>
      <c r="N675" s="287">
        <f>IF(C675="Sale",SUMIFS($D$4:D675,$B$4:B675,B675,$C$4:C675,"")+SUMIFS($D$4:D675,$B$4:B675,B675,$C$4:C675,"Purch")-SUMIFS($D$4:D675,$B$4:B675,B675,$C$4:C675,"Sale"),0)</f>
        <v>0</v>
      </c>
    </row>
    <row r="676" spans="1:14" x14ac:dyDescent="0.2">
      <c r="A676" s="152"/>
      <c r="B676" s="132"/>
      <c r="C676" s="132"/>
      <c r="D676" s="277"/>
      <c r="E676" s="132"/>
      <c r="F676" s="170"/>
      <c r="G676" s="150"/>
      <c r="H676" s="152"/>
      <c r="I676" s="204"/>
      <c r="J676" s="285"/>
      <c r="K676" s="251"/>
      <c r="L676" s="133" t="str">
        <f>IF(AND(I676&lt;&gt;"",ISERROR(IF(ISERROR(VLOOKUP(I676*1,Summary!$C$8:$C$153,1,0)),VLOOKUP(I676,Summary!$C$8:$C$153,1,0),VLOOKUP(I676*1,Summary!$C$8:$C$153,1,0)))),"Add account Number to Summary","")</f>
        <v/>
      </c>
      <c r="M676" s="131" t="str">
        <f t="shared" si="10"/>
        <v/>
      </c>
      <c r="N676" s="287">
        <f>IF(C676="Sale",SUMIFS($D$4:D676,$B$4:B676,B676,$C$4:C676,"")+SUMIFS($D$4:D676,$B$4:B676,B676,$C$4:C676,"Purch")-SUMIFS($D$4:D676,$B$4:B676,B676,$C$4:C676,"Sale"),0)</f>
        <v>0</v>
      </c>
    </row>
    <row r="677" spans="1:14" x14ac:dyDescent="0.2">
      <c r="A677" s="152"/>
      <c r="B677" s="132"/>
      <c r="C677" s="132"/>
      <c r="D677" s="277"/>
      <c r="E677" s="132"/>
      <c r="F677" s="170"/>
      <c r="G677" s="150"/>
      <c r="H677" s="152"/>
      <c r="I677" s="204"/>
      <c r="J677" s="285"/>
      <c r="K677" s="251"/>
      <c r="L677" s="133" t="str">
        <f>IF(AND(I677&lt;&gt;"",ISERROR(IF(ISERROR(VLOOKUP(I677*1,Summary!$C$8:$C$153,1,0)),VLOOKUP(I677,Summary!$C$8:$C$153,1,0),VLOOKUP(I677*1,Summary!$C$8:$C$153,1,0)))),"Add account Number to Summary","")</f>
        <v/>
      </c>
      <c r="M677" s="131" t="str">
        <f t="shared" si="10"/>
        <v/>
      </c>
      <c r="N677" s="287">
        <f>IF(C677="Sale",SUMIFS($D$4:D677,$B$4:B677,B677,$C$4:C677,"")+SUMIFS($D$4:D677,$B$4:B677,B677,$C$4:C677,"Purch")-SUMIFS($D$4:D677,$B$4:B677,B677,$C$4:C677,"Sale"),0)</f>
        <v>0</v>
      </c>
    </row>
    <row r="678" spans="1:14" x14ac:dyDescent="0.2">
      <c r="A678" s="152"/>
      <c r="B678" s="132"/>
      <c r="C678" s="132"/>
      <c r="D678" s="277"/>
      <c r="E678" s="132"/>
      <c r="F678" s="170"/>
      <c r="G678" s="150"/>
      <c r="H678" s="152"/>
      <c r="I678" s="204"/>
      <c r="J678" s="285"/>
      <c r="K678" s="251"/>
      <c r="L678" s="133" t="str">
        <f>IF(AND(I678&lt;&gt;"",ISERROR(IF(ISERROR(VLOOKUP(I678*1,Summary!$C$8:$C$153,1,0)),VLOOKUP(I678,Summary!$C$8:$C$153,1,0),VLOOKUP(I678*1,Summary!$C$8:$C$153,1,0)))),"Add account Number to Summary","")</f>
        <v/>
      </c>
      <c r="M678" s="131" t="str">
        <f t="shared" si="10"/>
        <v/>
      </c>
      <c r="N678" s="287">
        <f>IF(C678="Sale",SUMIFS($D$4:D678,$B$4:B678,B678,$C$4:C678,"")+SUMIFS($D$4:D678,$B$4:B678,B678,$C$4:C678,"Purch")-SUMIFS($D$4:D678,$B$4:B678,B678,$C$4:C678,"Sale"),0)</f>
        <v>0</v>
      </c>
    </row>
    <row r="679" spans="1:14" x14ac:dyDescent="0.2">
      <c r="A679" s="152"/>
      <c r="B679" s="132"/>
      <c r="C679" s="132"/>
      <c r="D679" s="277"/>
      <c r="E679" s="132"/>
      <c r="F679" s="170"/>
      <c r="G679" s="150"/>
      <c r="H679" s="152"/>
      <c r="I679" s="204"/>
      <c r="J679" s="285"/>
      <c r="K679" s="251"/>
      <c r="L679" s="133" t="str">
        <f>IF(AND(I679&lt;&gt;"",ISERROR(IF(ISERROR(VLOOKUP(I679*1,Summary!$C$8:$C$153,1,0)),VLOOKUP(I679,Summary!$C$8:$C$153,1,0),VLOOKUP(I679*1,Summary!$C$8:$C$153,1,0)))),"Add account Number to Summary","")</f>
        <v/>
      </c>
      <c r="M679" s="131" t="str">
        <f t="shared" si="10"/>
        <v/>
      </c>
      <c r="N679" s="287">
        <f>IF(C679="Sale",SUMIFS($D$4:D679,$B$4:B679,B679,$C$4:C679,"")+SUMIFS($D$4:D679,$B$4:B679,B679,$C$4:C679,"Purch")-SUMIFS($D$4:D679,$B$4:B679,B679,$C$4:C679,"Sale"),0)</f>
        <v>0</v>
      </c>
    </row>
    <row r="680" spans="1:14" x14ac:dyDescent="0.2">
      <c r="A680" s="152"/>
      <c r="B680" s="132"/>
      <c r="C680" s="132"/>
      <c r="D680" s="277"/>
      <c r="E680" s="132"/>
      <c r="F680" s="170"/>
      <c r="G680" s="150"/>
      <c r="H680" s="152"/>
      <c r="I680" s="204"/>
      <c r="J680" s="285"/>
      <c r="K680" s="251"/>
      <c r="L680" s="133" t="str">
        <f>IF(AND(I680&lt;&gt;"",ISERROR(IF(ISERROR(VLOOKUP(I680*1,Summary!$C$8:$C$153,1,0)),VLOOKUP(I680,Summary!$C$8:$C$153,1,0),VLOOKUP(I680*1,Summary!$C$8:$C$153,1,0)))),"Add account Number to Summary","")</f>
        <v/>
      </c>
      <c r="M680" s="131" t="str">
        <f t="shared" si="10"/>
        <v/>
      </c>
      <c r="N680" s="287">
        <f>IF(C680="Sale",SUMIFS($D$4:D680,$B$4:B680,B680,$C$4:C680,"")+SUMIFS($D$4:D680,$B$4:B680,B680,$C$4:C680,"Purch")-SUMIFS($D$4:D680,$B$4:B680,B680,$C$4:C680,"Sale"),0)</f>
        <v>0</v>
      </c>
    </row>
    <row r="681" spans="1:14" x14ac:dyDescent="0.2">
      <c r="A681" s="152"/>
      <c r="B681" s="132"/>
      <c r="C681" s="132"/>
      <c r="D681" s="277"/>
      <c r="E681" s="132"/>
      <c r="F681" s="170"/>
      <c r="G681" s="150"/>
      <c r="H681" s="152"/>
      <c r="I681" s="204"/>
      <c r="J681" s="285"/>
      <c r="K681" s="251"/>
      <c r="L681" s="133" t="str">
        <f>IF(AND(I681&lt;&gt;"",ISERROR(IF(ISERROR(VLOOKUP(I681*1,Summary!$C$8:$C$153,1,0)),VLOOKUP(I681,Summary!$C$8:$C$153,1,0),VLOOKUP(I681*1,Summary!$C$8:$C$153,1,0)))),"Add account Number to Summary","")</f>
        <v/>
      </c>
      <c r="M681" s="131" t="str">
        <f t="shared" si="10"/>
        <v/>
      </c>
      <c r="N681" s="287">
        <f>IF(C681="Sale",SUMIFS($D$4:D681,$B$4:B681,B681,$C$4:C681,"")+SUMIFS($D$4:D681,$B$4:B681,B681,$C$4:C681,"Purch")-SUMIFS($D$4:D681,$B$4:B681,B681,$C$4:C681,"Sale"),0)</f>
        <v>0</v>
      </c>
    </row>
    <row r="682" spans="1:14" x14ac:dyDescent="0.2">
      <c r="A682" s="152"/>
      <c r="B682" s="132"/>
      <c r="C682" s="132"/>
      <c r="D682" s="277"/>
      <c r="E682" s="132"/>
      <c r="F682" s="170"/>
      <c r="G682" s="150"/>
      <c r="H682" s="152"/>
      <c r="I682" s="204"/>
      <c r="J682" s="285"/>
      <c r="K682" s="251"/>
      <c r="L682" s="133" t="str">
        <f>IF(AND(I682&lt;&gt;"",ISERROR(IF(ISERROR(VLOOKUP(I682*1,Summary!$C$8:$C$153,1,0)),VLOOKUP(I682,Summary!$C$8:$C$153,1,0),VLOOKUP(I682*1,Summary!$C$8:$C$153,1,0)))),"Add account Number to Summary","")</f>
        <v/>
      </c>
      <c r="M682" s="131" t="str">
        <f t="shared" si="10"/>
        <v/>
      </c>
      <c r="N682" s="287">
        <f>IF(C682="Sale",SUMIFS($D$4:D682,$B$4:B682,B682,$C$4:C682,"")+SUMIFS($D$4:D682,$B$4:B682,B682,$C$4:C682,"Purch")-SUMIFS($D$4:D682,$B$4:B682,B682,$C$4:C682,"Sale"),0)</f>
        <v>0</v>
      </c>
    </row>
    <row r="683" spans="1:14" x14ac:dyDescent="0.2">
      <c r="A683" s="152"/>
      <c r="B683" s="132"/>
      <c r="C683" s="132"/>
      <c r="D683" s="277"/>
      <c r="E683" s="132"/>
      <c r="F683" s="170"/>
      <c r="G683" s="150"/>
      <c r="H683" s="152"/>
      <c r="I683" s="204"/>
      <c r="J683" s="285"/>
      <c r="K683" s="251"/>
      <c r="L683" s="133" t="str">
        <f>IF(AND(I683&lt;&gt;"",ISERROR(IF(ISERROR(VLOOKUP(I683*1,Summary!$C$8:$C$153,1,0)),VLOOKUP(I683,Summary!$C$8:$C$153,1,0),VLOOKUP(I683*1,Summary!$C$8:$C$153,1,0)))),"Add account Number to Summary","")</f>
        <v/>
      </c>
      <c r="M683" s="131" t="str">
        <f t="shared" si="10"/>
        <v/>
      </c>
      <c r="N683" s="287">
        <f>IF(C683="Sale",SUMIFS($D$4:D683,$B$4:B683,B683,$C$4:C683,"")+SUMIFS($D$4:D683,$B$4:B683,B683,$C$4:C683,"Purch")-SUMIFS($D$4:D683,$B$4:B683,B683,$C$4:C683,"Sale"),0)</f>
        <v>0</v>
      </c>
    </row>
    <row r="684" spans="1:14" x14ac:dyDescent="0.2">
      <c r="A684" s="152"/>
      <c r="B684" s="132"/>
      <c r="C684" s="132"/>
      <c r="D684" s="277"/>
      <c r="E684" s="132"/>
      <c r="F684" s="170"/>
      <c r="G684" s="150"/>
      <c r="H684" s="152"/>
      <c r="I684" s="204"/>
      <c r="J684" s="285"/>
      <c r="K684" s="251"/>
      <c r="L684" s="133" t="str">
        <f>IF(AND(I684&lt;&gt;"",ISERROR(IF(ISERROR(VLOOKUP(I684*1,Summary!$C$8:$C$153,1,0)),VLOOKUP(I684,Summary!$C$8:$C$153,1,0),VLOOKUP(I684*1,Summary!$C$8:$C$153,1,0)))),"Add account Number to Summary","")</f>
        <v/>
      </c>
      <c r="M684" s="131" t="str">
        <f t="shared" ref="M684:M747" si="11">IF(K684="Yes",IF(YEAR(A684)&lt;&gt;YEAR(date),"Check Date",""),"")</f>
        <v/>
      </c>
      <c r="N684" s="287">
        <f>IF(C684="Sale",SUMIFS($D$4:D684,$B$4:B684,B684,$C$4:C684,"")+SUMIFS($D$4:D684,$B$4:B684,B684,$C$4:C684,"Purch")-SUMIFS($D$4:D684,$B$4:B684,B684,$C$4:C684,"Sale"),0)</f>
        <v>0</v>
      </c>
    </row>
    <row r="685" spans="1:14" x14ac:dyDescent="0.2">
      <c r="A685" s="152"/>
      <c r="B685" s="132"/>
      <c r="C685" s="132"/>
      <c r="D685" s="277"/>
      <c r="E685" s="132"/>
      <c r="F685" s="170"/>
      <c r="G685" s="150"/>
      <c r="H685" s="152"/>
      <c r="I685" s="204"/>
      <c r="J685" s="285"/>
      <c r="K685" s="251"/>
      <c r="L685" s="133" t="str">
        <f>IF(AND(I685&lt;&gt;"",ISERROR(IF(ISERROR(VLOOKUP(I685*1,Summary!$C$8:$C$153,1,0)),VLOOKUP(I685,Summary!$C$8:$C$153,1,0),VLOOKUP(I685*1,Summary!$C$8:$C$153,1,0)))),"Add account Number to Summary","")</f>
        <v/>
      </c>
      <c r="M685" s="131" t="str">
        <f t="shared" si="11"/>
        <v/>
      </c>
      <c r="N685" s="287">
        <f>IF(C685="Sale",SUMIFS($D$4:D685,$B$4:B685,B685,$C$4:C685,"")+SUMIFS($D$4:D685,$B$4:B685,B685,$C$4:C685,"Purch")-SUMIFS($D$4:D685,$B$4:B685,B685,$C$4:C685,"Sale"),0)</f>
        <v>0</v>
      </c>
    </row>
    <row r="686" spans="1:14" x14ac:dyDescent="0.2">
      <c r="A686" s="152"/>
      <c r="B686" s="132"/>
      <c r="C686" s="132"/>
      <c r="D686" s="277"/>
      <c r="E686" s="132"/>
      <c r="F686" s="170"/>
      <c r="G686" s="150"/>
      <c r="H686" s="152"/>
      <c r="I686" s="204"/>
      <c r="J686" s="285"/>
      <c r="K686" s="251"/>
      <c r="L686" s="133" t="str">
        <f>IF(AND(I686&lt;&gt;"",ISERROR(IF(ISERROR(VLOOKUP(I686*1,Summary!$C$8:$C$153,1,0)),VLOOKUP(I686,Summary!$C$8:$C$153,1,0),VLOOKUP(I686*1,Summary!$C$8:$C$153,1,0)))),"Add account Number to Summary","")</f>
        <v/>
      </c>
      <c r="M686" s="131" t="str">
        <f t="shared" si="11"/>
        <v/>
      </c>
      <c r="N686" s="287">
        <f>IF(C686="Sale",SUMIFS($D$4:D686,$B$4:B686,B686,$C$4:C686,"")+SUMIFS($D$4:D686,$B$4:B686,B686,$C$4:C686,"Purch")-SUMIFS($D$4:D686,$B$4:B686,B686,$C$4:C686,"Sale"),0)</f>
        <v>0</v>
      </c>
    </row>
    <row r="687" spans="1:14" x14ac:dyDescent="0.2">
      <c r="A687" s="152"/>
      <c r="B687" s="132"/>
      <c r="C687" s="132"/>
      <c r="D687" s="277"/>
      <c r="E687" s="132"/>
      <c r="F687" s="170"/>
      <c r="G687" s="150"/>
      <c r="H687" s="152"/>
      <c r="I687" s="204"/>
      <c r="J687" s="285"/>
      <c r="K687" s="251"/>
      <c r="L687" s="133" t="str">
        <f>IF(AND(I687&lt;&gt;"",ISERROR(IF(ISERROR(VLOOKUP(I687*1,Summary!$C$8:$C$153,1,0)),VLOOKUP(I687,Summary!$C$8:$C$153,1,0),VLOOKUP(I687*1,Summary!$C$8:$C$153,1,0)))),"Add account Number to Summary","")</f>
        <v/>
      </c>
      <c r="M687" s="131" t="str">
        <f t="shared" si="11"/>
        <v/>
      </c>
      <c r="N687" s="287">
        <f>IF(C687="Sale",SUMIFS($D$4:D687,$B$4:B687,B687,$C$4:C687,"")+SUMIFS($D$4:D687,$B$4:B687,B687,$C$4:C687,"Purch")-SUMIFS($D$4:D687,$B$4:B687,B687,$C$4:C687,"Sale"),0)</f>
        <v>0</v>
      </c>
    </row>
    <row r="688" spans="1:14" x14ac:dyDescent="0.2">
      <c r="A688" s="152"/>
      <c r="B688" s="132"/>
      <c r="C688" s="132"/>
      <c r="D688" s="277"/>
      <c r="E688" s="132"/>
      <c r="F688" s="170"/>
      <c r="G688" s="150"/>
      <c r="H688" s="152"/>
      <c r="I688" s="204"/>
      <c r="J688" s="285"/>
      <c r="K688" s="251"/>
      <c r="L688" s="133" t="str">
        <f>IF(AND(I688&lt;&gt;"",ISERROR(IF(ISERROR(VLOOKUP(I688*1,Summary!$C$8:$C$153,1,0)),VLOOKUP(I688,Summary!$C$8:$C$153,1,0),VLOOKUP(I688*1,Summary!$C$8:$C$153,1,0)))),"Add account Number to Summary","")</f>
        <v/>
      </c>
      <c r="M688" s="131" t="str">
        <f t="shared" si="11"/>
        <v/>
      </c>
      <c r="N688" s="287">
        <f>IF(C688="Sale",SUMIFS($D$4:D688,$B$4:B688,B688,$C$4:C688,"")+SUMIFS($D$4:D688,$B$4:B688,B688,$C$4:C688,"Purch")-SUMIFS($D$4:D688,$B$4:B688,B688,$C$4:C688,"Sale"),0)</f>
        <v>0</v>
      </c>
    </row>
    <row r="689" spans="1:14" x14ac:dyDescent="0.2">
      <c r="A689" s="152"/>
      <c r="B689" s="132"/>
      <c r="C689" s="132"/>
      <c r="D689" s="277"/>
      <c r="E689" s="132"/>
      <c r="F689" s="170"/>
      <c r="G689" s="150"/>
      <c r="H689" s="152"/>
      <c r="I689" s="204"/>
      <c r="J689" s="285"/>
      <c r="K689" s="251"/>
      <c r="L689" s="133" t="str">
        <f>IF(AND(I689&lt;&gt;"",ISERROR(IF(ISERROR(VLOOKUP(I689*1,Summary!$C$8:$C$153,1,0)),VLOOKUP(I689,Summary!$C$8:$C$153,1,0),VLOOKUP(I689*1,Summary!$C$8:$C$153,1,0)))),"Add account Number to Summary","")</f>
        <v/>
      </c>
      <c r="M689" s="131" t="str">
        <f t="shared" si="11"/>
        <v/>
      </c>
      <c r="N689" s="287">
        <f>IF(C689="Sale",SUMIFS($D$4:D689,$B$4:B689,B689,$C$4:C689,"")+SUMIFS($D$4:D689,$B$4:B689,B689,$C$4:C689,"Purch")-SUMIFS($D$4:D689,$B$4:B689,B689,$C$4:C689,"Sale"),0)</f>
        <v>0</v>
      </c>
    </row>
    <row r="690" spans="1:14" x14ac:dyDescent="0.2">
      <c r="A690" s="152"/>
      <c r="B690" s="132"/>
      <c r="C690" s="132"/>
      <c r="D690" s="277"/>
      <c r="E690" s="132"/>
      <c r="F690" s="170"/>
      <c r="G690" s="150"/>
      <c r="H690" s="152"/>
      <c r="I690" s="204"/>
      <c r="J690" s="285"/>
      <c r="K690" s="251"/>
      <c r="L690" s="133" t="str">
        <f>IF(AND(I690&lt;&gt;"",ISERROR(IF(ISERROR(VLOOKUP(I690*1,Summary!$C$8:$C$153,1,0)),VLOOKUP(I690,Summary!$C$8:$C$153,1,0),VLOOKUP(I690*1,Summary!$C$8:$C$153,1,0)))),"Add account Number to Summary","")</f>
        <v/>
      </c>
      <c r="M690" s="131" t="str">
        <f t="shared" si="11"/>
        <v/>
      </c>
      <c r="N690" s="287">
        <f>IF(C690="Sale",SUMIFS($D$4:D690,$B$4:B690,B690,$C$4:C690,"")+SUMIFS($D$4:D690,$B$4:B690,B690,$C$4:C690,"Purch")-SUMIFS($D$4:D690,$B$4:B690,B690,$C$4:C690,"Sale"),0)</f>
        <v>0</v>
      </c>
    </row>
    <row r="691" spans="1:14" x14ac:dyDescent="0.2">
      <c r="A691" s="152"/>
      <c r="B691" s="132"/>
      <c r="C691" s="132"/>
      <c r="D691" s="277"/>
      <c r="E691" s="132"/>
      <c r="F691" s="170"/>
      <c r="G691" s="150"/>
      <c r="H691" s="152"/>
      <c r="I691" s="204"/>
      <c r="J691" s="285"/>
      <c r="K691" s="251"/>
      <c r="L691" s="133" t="str">
        <f>IF(AND(I691&lt;&gt;"",ISERROR(IF(ISERROR(VLOOKUP(I691*1,Summary!$C$8:$C$153,1,0)),VLOOKUP(I691,Summary!$C$8:$C$153,1,0),VLOOKUP(I691*1,Summary!$C$8:$C$153,1,0)))),"Add account Number to Summary","")</f>
        <v/>
      </c>
      <c r="M691" s="131" t="str">
        <f t="shared" si="11"/>
        <v/>
      </c>
      <c r="N691" s="287">
        <f>IF(C691="Sale",SUMIFS($D$4:D691,$B$4:B691,B691,$C$4:C691,"")+SUMIFS($D$4:D691,$B$4:B691,B691,$C$4:C691,"Purch")-SUMIFS($D$4:D691,$B$4:B691,B691,$C$4:C691,"Sale"),0)</f>
        <v>0</v>
      </c>
    </row>
    <row r="692" spans="1:14" x14ac:dyDescent="0.2">
      <c r="A692" s="152"/>
      <c r="B692" s="132"/>
      <c r="C692" s="132"/>
      <c r="D692" s="277"/>
      <c r="E692" s="132"/>
      <c r="F692" s="170"/>
      <c r="G692" s="150"/>
      <c r="H692" s="152"/>
      <c r="I692" s="204"/>
      <c r="J692" s="285"/>
      <c r="K692" s="251"/>
      <c r="L692" s="133" t="str">
        <f>IF(AND(I692&lt;&gt;"",ISERROR(IF(ISERROR(VLOOKUP(I692*1,Summary!$C$8:$C$153,1,0)),VLOOKUP(I692,Summary!$C$8:$C$153,1,0),VLOOKUP(I692*1,Summary!$C$8:$C$153,1,0)))),"Add account Number to Summary","")</f>
        <v/>
      </c>
      <c r="M692" s="131" t="str">
        <f t="shared" si="11"/>
        <v/>
      </c>
      <c r="N692" s="287">
        <f>IF(C692="Sale",SUMIFS($D$4:D692,$B$4:B692,B692,$C$4:C692,"")+SUMIFS($D$4:D692,$B$4:B692,B692,$C$4:C692,"Purch")-SUMIFS($D$4:D692,$B$4:B692,B692,$C$4:C692,"Sale"),0)</f>
        <v>0</v>
      </c>
    </row>
    <row r="693" spans="1:14" x14ac:dyDescent="0.2">
      <c r="A693" s="152"/>
      <c r="B693" s="132"/>
      <c r="C693" s="132"/>
      <c r="D693" s="277"/>
      <c r="E693" s="132"/>
      <c r="F693" s="170"/>
      <c r="G693" s="150"/>
      <c r="H693" s="152"/>
      <c r="I693" s="204"/>
      <c r="J693" s="285"/>
      <c r="K693" s="251"/>
      <c r="L693" s="133" t="str">
        <f>IF(AND(I693&lt;&gt;"",ISERROR(IF(ISERROR(VLOOKUP(I693*1,Summary!$C$8:$C$153,1,0)),VLOOKUP(I693,Summary!$C$8:$C$153,1,0),VLOOKUP(I693*1,Summary!$C$8:$C$153,1,0)))),"Add account Number to Summary","")</f>
        <v/>
      </c>
      <c r="M693" s="131" t="str">
        <f t="shared" si="11"/>
        <v/>
      </c>
      <c r="N693" s="287">
        <f>IF(C693="Sale",SUMIFS($D$4:D693,$B$4:B693,B693,$C$4:C693,"")+SUMIFS($D$4:D693,$B$4:B693,B693,$C$4:C693,"Purch")-SUMIFS($D$4:D693,$B$4:B693,B693,$C$4:C693,"Sale"),0)</f>
        <v>0</v>
      </c>
    </row>
    <row r="694" spans="1:14" x14ac:dyDescent="0.2">
      <c r="A694" s="152"/>
      <c r="B694" s="132"/>
      <c r="C694" s="132"/>
      <c r="D694" s="277"/>
      <c r="E694" s="132"/>
      <c r="F694" s="170"/>
      <c r="G694" s="150"/>
      <c r="H694" s="152"/>
      <c r="I694" s="204"/>
      <c r="J694" s="285"/>
      <c r="K694" s="251"/>
      <c r="L694" s="133" t="str">
        <f>IF(AND(I694&lt;&gt;"",ISERROR(IF(ISERROR(VLOOKUP(I694*1,Summary!$C$8:$C$153,1,0)),VLOOKUP(I694,Summary!$C$8:$C$153,1,0),VLOOKUP(I694*1,Summary!$C$8:$C$153,1,0)))),"Add account Number to Summary","")</f>
        <v/>
      </c>
      <c r="M694" s="131" t="str">
        <f t="shared" si="11"/>
        <v/>
      </c>
      <c r="N694" s="287">
        <f>IF(C694="Sale",SUMIFS($D$4:D694,$B$4:B694,B694,$C$4:C694,"")+SUMIFS($D$4:D694,$B$4:B694,B694,$C$4:C694,"Purch")-SUMIFS($D$4:D694,$B$4:B694,B694,$C$4:C694,"Sale"),0)</f>
        <v>0</v>
      </c>
    </row>
    <row r="695" spans="1:14" x14ac:dyDescent="0.2">
      <c r="A695" s="152"/>
      <c r="B695" s="132"/>
      <c r="C695" s="132"/>
      <c r="D695" s="277"/>
      <c r="E695" s="132"/>
      <c r="F695" s="170"/>
      <c r="G695" s="150"/>
      <c r="H695" s="152"/>
      <c r="I695" s="204"/>
      <c r="J695" s="285"/>
      <c r="K695" s="251"/>
      <c r="L695" s="133" t="str">
        <f>IF(AND(I695&lt;&gt;"",ISERROR(IF(ISERROR(VLOOKUP(I695*1,Summary!$C$8:$C$153,1,0)),VLOOKUP(I695,Summary!$C$8:$C$153,1,0),VLOOKUP(I695*1,Summary!$C$8:$C$153,1,0)))),"Add account Number to Summary","")</f>
        <v/>
      </c>
      <c r="M695" s="131" t="str">
        <f t="shared" si="11"/>
        <v/>
      </c>
      <c r="N695" s="287">
        <f>IF(C695="Sale",SUMIFS($D$4:D695,$B$4:B695,B695,$C$4:C695,"")+SUMIFS($D$4:D695,$B$4:B695,B695,$C$4:C695,"Purch")-SUMIFS($D$4:D695,$B$4:B695,B695,$C$4:C695,"Sale"),0)</f>
        <v>0</v>
      </c>
    </row>
    <row r="696" spans="1:14" x14ac:dyDescent="0.2">
      <c r="A696" s="152"/>
      <c r="B696" s="132"/>
      <c r="C696" s="132"/>
      <c r="D696" s="277"/>
      <c r="E696" s="132"/>
      <c r="F696" s="170"/>
      <c r="G696" s="150"/>
      <c r="H696" s="152"/>
      <c r="I696" s="204"/>
      <c r="J696" s="285"/>
      <c r="K696" s="251"/>
      <c r="L696" s="133" t="str">
        <f>IF(AND(I696&lt;&gt;"",ISERROR(IF(ISERROR(VLOOKUP(I696*1,Summary!$C$8:$C$153,1,0)),VLOOKUP(I696,Summary!$C$8:$C$153,1,0),VLOOKUP(I696*1,Summary!$C$8:$C$153,1,0)))),"Add account Number to Summary","")</f>
        <v/>
      </c>
      <c r="M696" s="131" t="str">
        <f t="shared" si="11"/>
        <v/>
      </c>
      <c r="N696" s="287">
        <f>IF(C696="Sale",SUMIFS($D$4:D696,$B$4:B696,B696,$C$4:C696,"")+SUMIFS($D$4:D696,$B$4:B696,B696,$C$4:C696,"Purch")-SUMIFS($D$4:D696,$B$4:B696,B696,$C$4:C696,"Sale"),0)</f>
        <v>0</v>
      </c>
    </row>
    <row r="697" spans="1:14" x14ac:dyDescent="0.2">
      <c r="A697" s="152"/>
      <c r="B697" s="132"/>
      <c r="C697" s="132"/>
      <c r="D697" s="277"/>
      <c r="E697" s="132"/>
      <c r="F697" s="170"/>
      <c r="G697" s="150"/>
      <c r="H697" s="152"/>
      <c r="I697" s="204"/>
      <c r="J697" s="285"/>
      <c r="K697" s="251"/>
      <c r="L697" s="133" t="str">
        <f>IF(AND(I697&lt;&gt;"",ISERROR(IF(ISERROR(VLOOKUP(I697*1,Summary!$C$8:$C$153,1,0)),VLOOKUP(I697,Summary!$C$8:$C$153,1,0),VLOOKUP(I697*1,Summary!$C$8:$C$153,1,0)))),"Add account Number to Summary","")</f>
        <v/>
      </c>
      <c r="M697" s="131" t="str">
        <f t="shared" si="11"/>
        <v/>
      </c>
      <c r="N697" s="287">
        <f>IF(C697="Sale",SUMIFS($D$4:D697,$B$4:B697,B697,$C$4:C697,"")+SUMIFS($D$4:D697,$B$4:B697,B697,$C$4:C697,"Purch")-SUMIFS($D$4:D697,$B$4:B697,B697,$C$4:C697,"Sale"),0)</f>
        <v>0</v>
      </c>
    </row>
    <row r="698" spans="1:14" x14ac:dyDescent="0.2">
      <c r="A698" s="152"/>
      <c r="B698" s="132"/>
      <c r="C698" s="132"/>
      <c r="D698" s="277"/>
      <c r="E698" s="132"/>
      <c r="F698" s="170"/>
      <c r="G698" s="150"/>
      <c r="H698" s="152"/>
      <c r="I698" s="204"/>
      <c r="J698" s="285"/>
      <c r="K698" s="251"/>
      <c r="L698" s="133" t="str">
        <f>IF(AND(I698&lt;&gt;"",ISERROR(IF(ISERROR(VLOOKUP(I698*1,Summary!$C$8:$C$153,1,0)),VLOOKUP(I698,Summary!$C$8:$C$153,1,0),VLOOKUP(I698*1,Summary!$C$8:$C$153,1,0)))),"Add account Number to Summary","")</f>
        <v/>
      </c>
      <c r="M698" s="131" t="str">
        <f t="shared" si="11"/>
        <v/>
      </c>
      <c r="N698" s="287">
        <f>IF(C698="Sale",SUMIFS($D$4:D698,$B$4:B698,B698,$C$4:C698,"")+SUMIFS($D$4:D698,$B$4:B698,B698,$C$4:C698,"Purch")-SUMIFS($D$4:D698,$B$4:B698,B698,$C$4:C698,"Sale"),0)</f>
        <v>0</v>
      </c>
    </row>
    <row r="699" spans="1:14" x14ac:dyDescent="0.2">
      <c r="A699" s="152"/>
      <c r="B699" s="132"/>
      <c r="C699" s="132"/>
      <c r="D699" s="277"/>
      <c r="E699" s="132"/>
      <c r="F699" s="170"/>
      <c r="G699" s="150"/>
      <c r="H699" s="152"/>
      <c r="I699" s="204"/>
      <c r="J699" s="285"/>
      <c r="K699" s="251"/>
      <c r="L699" s="133" t="str">
        <f>IF(AND(I699&lt;&gt;"",ISERROR(IF(ISERROR(VLOOKUP(I699*1,Summary!$C$8:$C$153,1,0)),VLOOKUP(I699,Summary!$C$8:$C$153,1,0),VLOOKUP(I699*1,Summary!$C$8:$C$153,1,0)))),"Add account Number to Summary","")</f>
        <v/>
      </c>
      <c r="M699" s="131" t="str">
        <f t="shared" si="11"/>
        <v/>
      </c>
      <c r="N699" s="287">
        <f>IF(C699="Sale",SUMIFS($D$4:D699,$B$4:B699,B699,$C$4:C699,"")+SUMIFS($D$4:D699,$B$4:B699,B699,$C$4:C699,"Purch")-SUMIFS($D$4:D699,$B$4:B699,B699,$C$4:C699,"Sale"),0)</f>
        <v>0</v>
      </c>
    </row>
    <row r="700" spans="1:14" x14ac:dyDescent="0.2">
      <c r="A700" s="152"/>
      <c r="B700" s="132"/>
      <c r="C700" s="132"/>
      <c r="D700" s="277"/>
      <c r="E700" s="132"/>
      <c r="F700" s="170"/>
      <c r="G700" s="150"/>
      <c r="H700" s="152"/>
      <c r="I700" s="204"/>
      <c r="J700" s="285"/>
      <c r="K700" s="251"/>
      <c r="L700" s="133" t="str">
        <f>IF(AND(I700&lt;&gt;"",ISERROR(IF(ISERROR(VLOOKUP(I700*1,Summary!$C$8:$C$153,1,0)),VLOOKUP(I700,Summary!$C$8:$C$153,1,0),VLOOKUP(I700*1,Summary!$C$8:$C$153,1,0)))),"Add account Number to Summary","")</f>
        <v/>
      </c>
      <c r="M700" s="131" t="str">
        <f t="shared" si="11"/>
        <v/>
      </c>
      <c r="N700" s="287">
        <f>IF(C700="Sale",SUMIFS($D$4:D700,$B$4:B700,B700,$C$4:C700,"")+SUMIFS($D$4:D700,$B$4:B700,B700,$C$4:C700,"Purch")-SUMIFS($D$4:D700,$B$4:B700,B700,$C$4:C700,"Sale"),0)</f>
        <v>0</v>
      </c>
    </row>
    <row r="701" spans="1:14" x14ac:dyDescent="0.2">
      <c r="A701" s="152"/>
      <c r="B701" s="132"/>
      <c r="C701" s="132"/>
      <c r="D701" s="277"/>
      <c r="E701" s="132"/>
      <c r="F701" s="170"/>
      <c r="G701" s="150"/>
      <c r="H701" s="152"/>
      <c r="I701" s="204"/>
      <c r="J701" s="285"/>
      <c r="K701" s="251"/>
      <c r="L701" s="133" t="str">
        <f>IF(AND(I701&lt;&gt;"",ISERROR(IF(ISERROR(VLOOKUP(I701*1,Summary!$C$8:$C$153,1,0)),VLOOKUP(I701,Summary!$C$8:$C$153,1,0),VLOOKUP(I701*1,Summary!$C$8:$C$153,1,0)))),"Add account Number to Summary","")</f>
        <v/>
      </c>
      <c r="M701" s="131" t="str">
        <f t="shared" si="11"/>
        <v/>
      </c>
      <c r="N701" s="287">
        <f>IF(C701="Sale",SUMIFS($D$4:D701,$B$4:B701,B701,$C$4:C701,"")+SUMIFS($D$4:D701,$B$4:B701,B701,$C$4:C701,"Purch")-SUMIFS($D$4:D701,$B$4:B701,B701,$C$4:C701,"Sale"),0)</f>
        <v>0</v>
      </c>
    </row>
    <row r="702" spans="1:14" x14ac:dyDescent="0.2">
      <c r="A702" s="152"/>
      <c r="B702" s="132"/>
      <c r="C702" s="132"/>
      <c r="D702" s="277"/>
      <c r="E702" s="132"/>
      <c r="F702" s="170"/>
      <c r="G702" s="150"/>
      <c r="H702" s="152"/>
      <c r="I702" s="204"/>
      <c r="J702" s="285"/>
      <c r="K702" s="251"/>
      <c r="L702" s="133" t="str">
        <f>IF(AND(I702&lt;&gt;"",ISERROR(IF(ISERROR(VLOOKUP(I702*1,Summary!$C$8:$C$153,1,0)),VLOOKUP(I702,Summary!$C$8:$C$153,1,0),VLOOKUP(I702*1,Summary!$C$8:$C$153,1,0)))),"Add account Number to Summary","")</f>
        <v/>
      </c>
      <c r="M702" s="131" t="str">
        <f t="shared" si="11"/>
        <v/>
      </c>
      <c r="N702" s="287">
        <f>IF(C702="Sale",SUMIFS($D$4:D702,$B$4:B702,B702,$C$4:C702,"")+SUMIFS($D$4:D702,$B$4:B702,B702,$C$4:C702,"Purch")-SUMIFS($D$4:D702,$B$4:B702,B702,$C$4:C702,"Sale"),0)</f>
        <v>0</v>
      </c>
    </row>
    <row r="703" spans="1:14" x14ac:dyDescent="0.2">
      <c r="A703" s="152"/>
      <c r="B703" s="132"/>
      <c r="C703" s="132"/>
      <c r="D703" s="277"/>
      <c r="E703" s="132"/>
      <c r="F703" s="170"/>
      <c r="G703" s="150"/>
      <c r="H703" s="152"/>
      <c r="I703" s="204"/>
      <c r="J703" s="285"/>
      <c r="K703" s="251"/>
      <c r="L703" s="133" t="str">
        <f>IF(AND(I703&lt;&gt;"",ISERROR(IF(ISERROR(VLOOKUP(I703*1,Summary!$C$8:$C$153,1,0)),VLOOKUP(I703,Summary!$C$8:$C$153,1,0),VLOOKUP(I703*1,Summary!$C$8:$C$153,1,0)))),"Add account Number to Summary","")</f>
        <v/>
      </c>
      <c r="M703" s="131" t="str">
        <f t="shared" si="11"/>
        <v/>
      </c>
      <c r="N703" s="287">
        <f>IF(C703="Sale",SUMIFS($D$4:D703,$B$4:B703,B703,$C$4:C703,"")+SUMIFS($D$4:D703,$B$4:B703,B703,$C$4:C703,"Purch")-SUMIFS($D$4:D703,$B$4:B703,B703,$C$4:C703,"Sale"),0)</f>
        <v>0</v>
      </c>
    </row>
    <row r="704" spans="1:14" x14ac:dyDescent="0.2">
      <c r="A704" s="152"/>
      <c r="B704" s="132"/>
      <c r="C704" s="132"/>
      <c r="D704" s="277"/>
      <c r="E704" s="132"/>
      <c r="F704" s="170"/>
      <c r="G704" s="150"/>
      <c r="H704" s="152"/>
      <c r="I704" s="204"/>
      <c r="J704" s="285"/>
      <c r="K704" s="251"/>
      <c r="L704" s="133" t="str">
        <f>IF(AND(I704&lt;&gt;"",ISERROR(IF(ISERROR(VLOOKUP(I704*1,Summary!$C$8:$C$153,1,0)),VLOOKUP(I704,Summary!$C$8:$C$153,1,0),VLOOKUP(I704*1,Summary!$C$8:$C$153,1,0)))),"Add account Number to Summary","")</f>
        <v/>
      </c>
      <c r="M704" s="131" t="str">
        <f t="shared" si="11"/>
        <v/>
      </c>
      <c r="N704" s="287">
        <f>IF(C704="Sale",SUMIFS($D$4:D704,$B$4:B704,B704,$C$4:C704,"")+SUMIFS($D$4:D704,$B$4:B704,B704,$C$4:C704,"Purch")-SUMIFS($D$4:D704,$B$4:B704,B704,$C$4:C704,"Sale"),0)</f>
        <v>0</v>
      </c>
    </row>
    <row r="705" spans="1:14" x14ac:dyDescent="0.2">
      <c r="A705" s="152"/>
      <c r="B705" s="132"/>
      <c r="C705" s="132"/>
      <c r="D705" s="277"/>
      <c r="E705" s="132"/>
      <c r="F705" s="170"/>
      <c r="G705" s="150"/>
      <c r="H705" s="152"/>
      <c r="I705" s="204"/>
      <c r="J705" s="285"/>
      <c r="K705" s="251"/>
      <c r="L705" s="133" t="str">
        <f>IF(AND(I705&lt;&gt;"",ISERROR(IF(ISERROR(VLOOKUP(I705*1,Summary!$C$8:$C$153,1,0)),VLOOKUP(I705,Summary!$C$8:$C$153,1,0),VLOOKUP(I705*1,Summary!$C$8:$C$153,1,0)))),"Add account Number to Summary","")</f>
        <v/>
      </c>
      <c r="M705" s="131" t="str">
        <f t="shared" si="11"/>
        <v/>
      </c>
      <c r="N705" s="287">
        <f>IF(C705="Sale",SUMIFS($D$4:D705,$B$4:B705,B705,$C$4:C705,"")+SUMIFS($D$4:D705,$B$4:B705,B705,$C$4:C705,"Purch")-SUMIFS($D$4:D705,$B$4:B705,B705,$C$4:C705,"Sale"),0)</f>
        <v>0</v>
      </c>
    </row>
    <row r="706" spans="1:14" x14ac:dyDescent="0.2">
      <c r="A706" s="152"/>
      <c r="B706" s="132"/>
      <c r="C706" s="132"/>
      <c r="D706" s="277"/>
      <c r="E706" s="132"/>
      <c r="F706" s="170"/>
      <c r="G706" s="150"/>
      <c r="H706" s="152"/>
      <c r="I706" s="204"/>
      <c r="J706" s="285"/>
      <c r="K706" s="251"/>
      <c r="L706" s="133" t="str">
        <f>IF(AND(I706&lt;&gt;"",ISERROR(IF(ISERROR(VLOOKUP(I706*1,Summary!$C$8:$C$153,1,0)),VLOOKUP(I706,Summary!$C$8:$C$153,1,0),VLOOKUP(I706*1,Summary!$C$8:$C$153,1,0)))),"Add account Number to Summary","")</f>
        <v/>
      </c>
      <c r="M706" s="131" t="str">
        <f t="shared" si="11"/>
        <v/>
      </c>
      <c r="N706" s="287">
        <f>IF(C706="Sale",SUMIFS($D$4:D706,$B$4:B706,B706,$C$4:C706,"")+SUMIFS($D$4:D706,$B$4:B706,B706,$C$4:C706,"Purch")-SUMIFS($D$4:D706,$B$4:B706,B706,$C$4:C706,"Sale"),0)</f>
        <v>0</v>
      </c>
    </row>
    <row r="707" spans="1:14" x14ac:dyDescent="0.2">
      <c r="A707" s="152"/>
      <c r="B707" s="132"/>
      <c r="C707" s="132"/>
      <c r="D707" s="277"/>
      <c r="E707" s="132"/>
      <c r="F707" s="170"/>
      <c r="G707" s="150"/>
      <c r="H707" s="152"/>
      <c r="I707" s="204"/>
      <c r="J707" s="285"/>
      <c r="K707" s="251"/>
      <c r="L707" s="133" t="str">
        <f>IF(AND(I707&lt;&gt;"",ISERROR(IF(ISERROR(VLOOKUP(I707*1,Summary!$C$8:$C$153,1,0)),VLOOKUP(I707,Summary!$C$8:$C$153,1,0),VLOOKUP(I707*1,Summary!$C$8:$C$153,1,0)))),"Add account Number to Summary","")</f>
        <v/>
      </c>
      <c r="M707" s="131" t="str">
        <f t="shared" si="11"/>
        <v/>
      </c>
      <c r="N707" s="287">
        <f>IF(C707="Sale",SUMIFS($D$4:D707,$B$4:B707,B707,$C$4:C707,"")+SUMIFS($D$4:D707,$B$4:B707,B707,$C$4:C707,"Purch")-SUMIFS($D$4:D707,$B$4:B707,B707,$C$4:C707,"Sale"),0)</f>
        <v>0</v>
      </c>
    </row>
    <row r="708" spans="1:14" x14ac:dyDescent="0.2">
      <c r="A708" s="152"/>
      <c r="B708" s="132"/>
      <c r="C708" s="132"/>
      <c r="D708" s="277"/>
      <c r="E708" s="132"/>
      <c r="F708" s="170"/>
      <c r="G708" s="150"/>
      <c r="H708" s="152"/>
      <c r="I708" s="204"/>
      <c r="J708" s="285"/>
      <c r="K708" s="251"/>
      <c r="L708" s="133" t="str">
        <f>IF(AND(I708&lt;&gt;"",ISERROR(IF(ISERROR(VLOOKUP(I708*1,Summary!$C$8:$C$153,1,0)),VLOOKUP(I708,Summary!$C$8:$C$153,1,0),VLOOKUP(I708*1,Summary!$C$8:$C$153,1,0)))),"Add account Number to Summary","")</f>
        <v/>
      </c>
      <c r="M708" s="131" t="str">
        <f t="shared" si="11"/>
        <v/>
      </c>
      <c r="N708" s="287">
        <f>IF(C708="Sale",SUMIFS($D$4:D708,$B$4:B708,B708,$C$4:C708,"")+SUMIFS($D$4:D708,$B$4:B708,B708,$C$4:C708,"Purch")-SUMIFS($D$4:D708,$B$4:B708,B708,$C$4:C708,"Sale"),0)</f>
        <v>0</v>
      </c>
    </row>
    <row r="709" spans="1:14" x14ac:dyDescent="0.2">
      <c r="A709" s="152"/>
      <c r="B709" s="132"/>
      <c r="C709" s="132"/>
      <c r="D709" s="277"/>
      <c r="E709" s="132"/>
      <c r="F709" s="170"/>
      <c r="G709" s="150"/>
      <c r="H709" s="152"/>
      <c r="I709" s="204"/>
      <c r="J709" s="285"/>
      <c r="K709" s="251"/>
      <c r="L709" s="133" t="str">
        <f>IF(AND(I709&lt;&gt;"",ISERROR(IF(ISERROR(VLOOKUP(I709*1,Summary!$C$8:$C$153,1,0)),VLOOKUP(I709,Summary!$C$8:$C$153,1,0),VLOOKUP(I709*1,Summary!$C$8:$C$153,1,0)))),"Add account Number to Summary","")</f>
        <v/>
      </c>
      <c r="M709" s="131" t="str">
        <f t="shared" si="11"/>
        <v/>
      </c>
      <c r="N709" s="287">
        <f>IF(C709="Sale",SUMIFS($D$4:D709,$B$4:B709,B709,$C$4:C709,"")+SUMIFS($D$4:D709,$B$4:B709,B709,$C$4:C709,"Purch")-SUMIFS($D$4:D709,$B$4:B709,B709,$C$4:C709,"Sale"),0)</f>
        <v>0</v>
      </c>
    </row>
    <row r="710" spans="1:14" x14ac:dyDescent="0.2">
      <c r="A710" s="152"/>
      <c r="B710" s="132"/>
      <c r="C710" s="132"/>
      <c r="D710" s="277"/>
      <c r="E710" s="132"/>
      <c r="F710" s="170"/>
      <c r="G710" s="150"/>
      <c r="H710" s="152"/>
      <c r="I710" s="204"/>
      <c r="J710" s="285"/>
      <c r="K710" s="251"/>
      <c r="L710" s="133" t="str">
        <f>IF(AND(I710&lt;&gt;"",ISERROR(IF(ISERROR(VLOOKUP(I710*1,Summary!$C$8:$C$153,1,0)),VLOOKUP(I710,Summary!$C$8:$C$153,1,0),VLOOKUP(I710*1,Summary!$C$8:$C$153,1,0)))),"Add account Number to Summary","")</f>
        <v/>
      </c>
      <c r="M710" s="131" t="str">
        <f t="shared" si="11"/>
        <v/>
      </c>
      <c r="N710" s="287">
        <f>IF(C710="Sale",SUMIFS($D$4:D710,$B$4:B710,B710,$C$4:C710,"")+SUMIFS($D$4:D710,$B$4:B710,B710,$C$4:C710,"Purch")-SUMIFS($D$4:D710,$B$4:B710,B710,$C$4:C710,"Sale"),0)</f>
        <v>0</v>
      </c>
    </row>
    <row r="711" spans="1:14" x14ac:dyDescent="0.2">
      <c r="A711" s="152"/>
      <c r="B711" s="132"/>
      <c r="C711" s="132"/>
      <c r="D711" s="277"/>
      <c r="E711" s="132"/>
      <c r="F711" s="170"/>
      <c r="G711" s="150"/>
      <c r="H711" s="152"/>
      <c r="I711" s="204"/>
      <c r="J711" s="285"/>
      <c r="K711" s="251"/>
      <c r="L711" s="133" t="str">
        <f>IF(AND(I711&lt;&gt;"",ISERROR(IF(ISERROR(VLOOKUP(I711*1,Summary!$C$8:$C$153,1,0)),VLOOKUP(I711,Summary!$C$8:$C$153,1,0),VLOOKUP(I711*1,Summary!$C$8:$C$153,1,0)))),"Add account Number to Summary","")</f>
        <v/>
      </c>
      <c r="M711" s="131" t="str">
        <f t="shared" si="11"/>
        <v/>
      </c>
      <c r="N711" s="287">
        <f>IF(C711="Sale",SUMIFS($D$4:D711,$B$4:B711,B711,$C$4:C711,"")+SUMIFS($D$4:D711,$B$4:B711,B711,$C$4:C711,"Purch")-SUMIFS($D$4:D711,$B$4:B711,B711,$C$4:C711,"Sale"),0)</f>
        <v>0</v>
      </c>
    </row>
    <row r="712" spans="1:14" x14ac:dyDescent="0.2">
      <c r="A712" s="152"/>
      <c r="B712" s="132"/>
      <c r="C712" s="132"/>
      <c r="D712" s="277"/>
      <c r="E712" s="132"/>
      <c r="F712" s="170"/>
      <c r="G712" s="150"/>
      <c r="H712" s="152"/>
      <c r="I712" s="204"/>
      <c r="J712" s="285"/>
      <c r="K712" s="251"/>
      <c r="L712" s="133" t="str">
        <f>IF(AND(I712&lt;&gt;"",ISERROR(IF(ISERROR(VLOOKUP(I712*1,Summary!$C$8:$C$153,1,0)),VLOOKUP(I712,Summary!$C$8:$C$153,1,0),VLOOKUP(I712*1,Summary!$C$8:$C$153,1,0)))),"Add account Number to Summary","")</f>
        <v/>
      </c>
      <c r="M712" s="131" t="str">
        <f t="shared" si="11"/>
        <v/>
      </c>
      <c r="N712" s="287">
        <f>IF(C712="Sale",SUMIFS($D$4:D712,$B$4:B712,B712,$C$4:C712,"")+SUMIFS($D$4:D712,$B$4:B712,B712,$C$4:C712,"Purch")-SUMIFS($D$4:D712,$B$4:B712,B712,$C$4:C712,"Sale"),0)</f>
        <v>0</v>
      </c>
    </row>
    <row r="713" spans="1:14" x14ac:dyDescent="0.2">
      <c r="A713" s="152"/>
      <c r="B713" s="132"/>
      <c r="C713" s="132"/>
      <c r="D713" s="277"/>
      <c r="E713" s="132"/>
      <c r="F713" s="170"/>
      <c r="G713" s="150"/>
      <c r="H713" s="152"/>
      <c r="I713" s="204"/>
      <c r="J713" s="285"/>
      <c r="K713" s="251"/>
      <c r="L713" s="133" t="str">
        <f>IF(AND(I713&lt;&gt;"",ISERROR(IF(ISERROR(VLOOKUP(I713*1,Summary!$C$8:$C$153,1,0)),VLOOKUP(I713,Summary!$C$8:$C$153,1,0),VLOOKUP(I713*1,Summary!$C$8:$C$153,1,0)))),"Add account Number to Summary","")</f>
        <v/>
      </c>
      <c r="M713" s="131" t="str">
        <f t="shared" si="11"/>
        <v/>
      </c>
      <c r="N713" s="287">
        <f>IF(C713="Sale",SUMIFS($D$4:D713,$B$4:B713,B713,$C$4:C713,"")+SUMIFS($D$4:D713,$B$4:B713,B713,$C$4:C713,"Purch")-SUMIFS($D$4:D713,$B$4:B713,B713,$C$4:C713,"Sale"),0)</f>
        <v>0</v>
      </c>
    </row>
    <row r="714" spans="1:14" x14ac:dyDescent="0.2">
      <c r="A714" s="152"/>
      <c r="B714" s="132"/>
      <c r="C714" s="132"/>
      <c r="D714" s="277"/>
      <c r="E714" s="132"/>
      <c r="F714" s="170"/>
      <c r="G714" s="150"/>
      <c r="H714" s="152"/>
      <c r="I714" s="204"/>
      <c r="J714" s="285"/>
      <c r="K714" s="251"/>
      <c r="L714" s="133" t="str">
        <f>IF(AND(I714&lt;&gt;"",ISERROR(IF(ISERROR(VLOOKUP(I714*1,Summary!$C$8:$C$153,1,0)),VLOOKUP(I714,Summary!$C$8:$C$153,1,0),VLOOKUP(I714*1,Summary!$C$8:$C$153,1,0)))),"Add account Number to Summary","")</f>
        <v/>
      </c>
      <c r="M714" s="131" t="str">
        <f t="shared" si="11"/>
        <v/>
      </c>
      <c r="N714" s="287">
        <f>IF(C714="Sale",SUMIFS($D$4:D714,$B$4:B714,B714,$C$4:C714,"")+SUMIFS($D$4:D714,$B$4:B714,B714,$C$4:C714,"Purch")-SUMIFS($D$4:D714,$B$4:B714,B714,$C$4:C714,"Sale"),0)</f>
        <v>0</v>
      </c>
    </row>
    <row r="715" spans="1:14" x14ac:dyDescent="0.2">
      <c r="A715" s="152"/>
      <c r="B715" s="132"/>
      <c r="C715" s="132"/>
      <c r="D715" s="277"/>
      <c r="E715" s="132"/>
      <c r="F715" s="170"/>
      <c r="G715" s="150"/>
      <c r="H715" s="152"/>
      <c r="I715" s="204"/>
      <c r="J715" s="285"/>
      <c r="K715" s="251"/>
      <c r="L715" s="133" t="str">
        <f>IF(AND(I715&lt;&gt;"",ISERROR(IF(ISERROR(VLOOKUP(I715*1,Summary!$C$8:$C$153,1,0)),VLOOKUP(I715,Summary!$C$8:$C$153,1,0),VLOOKUP(I715*1,Summary!$C$8:$C$153,1,0)))),"Add account Number to Summary","")</f>
        <v/>
      </c>
      <c r="M715" s="131" t="str">
        <f t="shared" si="11"/>
        <v/>
      </c>
      <c r="N715" s="287">
        <f>IF(C715="Sale",SUMIFS($D$4:D715,$B$4:B715,B715,$C$4:C715,"")+SUMIFS($D$4:D715,$B$4:B715,B715,$C$4:C715,"Purch")-SUMIFS($D$4:D715,$B$4:B715,B715,$C$4:C715,"Sale"),0)</f>
        <v>0</v>
      </c>
    </row>
    <row r="716" spans="1:14" x14ac:dyDescent="0.2">
      <c r="A716" s="152"/>
      <c r="B716" s="132"/>
      <c r="C716" s="132"/>
      <c r="D716" s="277"/>
      <c r="E716" s="132"/>
      <c r="F716" s="170"/>
      <c r="G716" s="150"/>
      <c r="H716" s="152"/>
      <c r="I716" s="204"/>
      <c r="J716" s="285"/>
      <c r="K716" s="251"/>
      <c r="L716" s="133" t="str">
        <f>IF(AND(I716&lt;&gt;"",ISERROR(IF(ISERROR(VLOOKUP(I716*1,Summary!$C$8:$C$153,1,0)),VLOOKUP(I716,Summary!$C$8:$C$153,1,0),VLOOKUP(I716*1,Summary!$C$8:$C$153,1,0)))),"Add account Number to Summary","")</f>
        <v/>
      </c>
      <c r="M716" s="131" t="str">
        <f t="shared" si="11"/>
        <v/>
      </c>
      <c r="N716" s="287">
        <f>IF(C716="Sale",SUMIFS($D$4:D716,$B$4:B716,B716,$C$4:C716,"")+SUMIFS($D$4:D716,$B$4:B716,B716,$C$4:C716,"Purch")-SUMIFS($D$4:D716,$B$4:B716,B716,$C$4:C716,"Sale"),0)</f>
        <v>0</v>
      </c>
    </row>
    <row r="717" spans="1:14" x14ac:dyDescent="0.2">
      <c r="A717" s="152"/>
      <c r="B717" s="132"/>
      <c r="C717" s="132"/>
      <c r="D717" s="277"/>
      <c r="E717" s="132"/>
      <c r="F717" s="170"/>
      <c r="G717" s="150"/>
      <c r="H717" s="152"/>
      <c r="I717" s="204"/>
      <c r="J717" s="285"/>
      <c r="K717" s="251"/>
      <c r="L717" s="133" t="str">
        <f>IF(AND(I717&lt;&gt;"",ISERROR(IF(ISERROR(VLOOKUP(I717*1,Summary!$C$8:$C$153,1,0)),VLOOKUP(I717,Summary!$C$8:$C$153,1,0),VLOOKUP(I717*1,Summary!$C$8:$C$153,1,0)))),"Add account Number to Summary","")</f>
        <v/>
      </c>
      <c r="M717" s="131" t="str">
        <f t="shared" si="11"/>
        <v/>
      </c>
      <c r="N717" s="287">
        <f>IF(C717="Sale",SUMIFS($D$4:D717,$B$4:B717,B717,$C$4:C717,"")+SUMIFS($D$4:D717,$B$4:B717,B717,$C$4:C717,"Purch")-SUMIFS($D$4:D717,$B$4:B717,B717,$C$4:C717,"Sale"),0)</f>
        <v>0</v>
      </c>
    </row>
    <row r="718" spans="1:14" x14ac:dyDescent="0.2">
      <c r="A718" s="152"/>
      <c r="B718" s="132"/>
      <c r="C718" s="132"/>
      <c r="D718" s="277"/>
      <c r="E718" s="132"/>
      <c r="F718" s="170"/>
      <c r="G718" s="150"/>
      <c r="H718" s="152"/>
      <c r="I718" s="204"/>
      <c r="J718" s="285"/>
      <c r="K718" s="251"/>
      <c r="L718" s="133" t="str">
        <f>IF(AND(I718&lt;&gt;"",ISERROR(IF(ISERROR(VLOOKUP(I718*1,Summary!$C$8:$C$153,1,0)),VLOOKUP(I718,Summary!$C$8:$C$153,1,0),VLOOKUP(I718*1,Summary!$C$8:$C$153,1,0)))),"Add account Number to Summary","")</f>
        <v/>
      </c>
      <c r="M718" s="131" t="str">
        <f t="shared" si="11"/>
        <v/>
      </c>
      <c r="N718" s="287">
        <f>IF(C718="Sale",SUMIFS($D$4:D718,$B$4:B718,B718,$C$4:C718,"")+SUMIFS($D$4:D718,$B$4:B718,B718,$C$4:C718,"Purch")-SUMIFS($D$4:D718,$B$4:B718,B718,$C$4:C718,"Sale"),0)</f>
        <v>0</v>
      </c>
    </row>
    <row r="719" spans="1:14" x14ac:dyDescent="0.2">
      <c r="A719" s="152"/>
      <c r="B719" s="132"/>
      <c r="C719" s="132"/>
      <c r="D719" s="277"/>
      <c r="E719" s="132"/>
      <c r="F719" s="170"/>
      <c r="G719" s="150"/>
      <c r="H719" s="152"/>
      <c r="I719" s="204"/>
      <c r="J719" s="285"/>
      <c r="K719" s="251"/>
      <c r="L719" s="133" t="str">
        <f>IF(AND(I719&lt;&gt;"",ISERROR(IF(ISERROR(VLOOKUP(I719*1,Summary!$C$8:$C$153,1,0)),VLOOKUP(I719,Summary!$C$8:$C$153,1,0),VLOOKUP(I719*1,Summary!$C$8:$C$153,1,0)))),"Add account Number to Summary","")</f>
        <v/>
      </c>
      <c r="M719" s="131" t="str">
        <f t="shared" si="11"/>
        <v/>
      </c>
      <c r="N719" s="287">
        <f>IF(C719="Sale",SUMIFS($D$4:D719,$B$4:B719,B719,$C$4:C719,"")+SUMIFS($D$4:D719,$B$4:B719,B719,$C$4:C719,"Purch")-SUMIFS($D$4:D719,$B$4:B719,B719,$C$4:C719,"Sale"),0)</f>
        <v>0</v>
      </c>
    </row>
    <row r="720" spans="1:14" x14ac:dyDescent="0.2">
      <c r="A720" s="152"/>
      <c r="B720" s="132"/>
      <c r="C720" s="132"/>
      <c r="D720" s="277"/>
      <c r="E720" s="132"/>
      <c r="F720" s="170"/>
      <c r="G720" s="150"/>
      <c r="H720" s="152"/>
      <c r="I720" s="204"/>
      <c r="J720" s="285"/>
      <c r="K720" s="251"/>
      <c r="L720" s="133" t="str">
        <f>IF(AND(I720&lt;&gt;"",ISERROR(IF(ISERROR(VLOOKUP(I720*1,Summary!$C$8:$C$153,1,0)),VLOOKUP(I720,Summary!$C$8:$C$153,1,0),VLOOKUP(I720*1,Summary!$C$8:$C$153,1,0)))),"Add account Number to Summary","")</f>
        <v/>
      </c>
      <c r="M720" s="131" t="str">
        <f t="shared" si="11"/>
        <v/>
      </c>
      <c r="N720" s="287">
        <f>IF(C720="Sale",SUMIFS($D$4:D720,$B$4:B720,B720,$C$4:C720,"")+SUMIFS($D$4:D720,$B$4:B720,B720,$C$4:C720,"Purch")-SUMIFS($D$4:D720,$B$4:B720,B720,$C$4:C720,"Sale"),0)</f>
        <v>0</v>
      </c>
    </row>
    <row r="721" spans="1:14" x14ac:dyDescent="0.2">
      <c r="A721" s="152"/>
      <c r="B721" s="132"/>
      <c r="C721" s="132"/>
      <c r="D721" s="277"/>
      <c r="E721" s="132"/>
      <c r="F721" s="170"/>
      <c r="G721" s="150"/>
      <c r="H721" s="152"/>
      <c r="I721" s="204"/>
      <c r="J721" s="285"/>
      <c r="K721" s="251"/>
      <c r="L721" s="133" t="str">
        <f>IF(AND(I721&lt;&gt;"",ISERROR(IF(ISERROR(VLOOKUP(I721*1,Summary!$C$8:$C$153,1,0)),VLOOKUP(I721,Summary!$C$8:$C$153,1,0),VLOOKUP(I721*1,Summary!$C$8:$C$153,1,0)))),"Add account Number to Summary","")</f>
        <v/>
      </c>
      <c r="M721" s="131" t="str">
        <f t="shared" si="11"/>
        <v/>
      </c>
      <c r="N721" s="287">
        <f>IF(C721="Sale",SUMIFS($D$4:D721,$B$4:B721,B721,$C$4:C721,"")+SUMIFS($D$4:D721,$B$4:B721,B721,$C$4:C721,"Purch")-SUMIFS($D$4:D721,$B$4:B721,B721,$C$4:C721,"Sale"),0)</f>
        <v>0</v>
      </c>
    </row>
    <row r="722" spans="1:14" x14ac:dyDescent="0.2">
      <c r="A722" s="152"/>
      <c r="B722" s="132"/>
      <c r="C722" s="132"/>
      <c r="D722" s="277"/>
      <c r="E722" s="132"/>
      <c r="F722" s="170"/>
      <c r="G722" s="150"/>
      <c r="H722" s="152"/>
      <c r="I722" s="204"/>
      <c r="J722" s="285"/>
      <c r="K722" s="251"/>
      <c r="L722" s="133" t="str">
        <f>IF(AND(I722&lt;&gt;"",ISERROR(IF(ISERROR(VLOOKUP(I722*1,Summary!$C$8:$C$153,1,0)),VLOOKUP(I722,Summary!$C$8:$C$153,1,0),VLOOKUP(I722*1,Summary!$C$8:$C$153,1,0)))),"Add account Number to Summary","")</f>
        <v/>
      </c>
      <c r="M722" s="131" t="str">
        <f t="shared" si="11"/>
        <v/>
      </c>
      <c r="N722" s="287">
        <f>IF(C722="Sale",SUMIFS($D$4:D722,$B$4:B722,B722,$C$4:C722,"")+SUMIFS($D$4:D722,$B$4:B722,B722,$C$4:C722,"Purch")-SUMIFS($D$4:D722,$B$4:B722,B722,$C$4:C722,"Sale"),0)</f>
        <v>0</v>
      </c>
    </row>
    <row r="723" spans="1:14" x14ac:dyDescent="0.2">
      <c r="A723" s="152"/>
      <c r="B723" s="132"/>
      <c r="C723" s="132"/>
      <c r="D723" s="277"/>
      <c r="E723" s="132"/>
      <c r="F723" s="170"/>
      <c r="G723" s="150"/>
      <c r="H723" s="152"/>
      <c r="I723" s="204"/>
      <c r="J723" s="285"/>
      <c r="K723" s="251"/>
      <c r="L723" s="133" t="str">
        <f>IF(AND(I723&lt;&gt;"",ISERROR(IF(ISERROR(VLOOKUP(I723*1,Summary!$C$8:$C$153,1,0)),VLOOKUP(I723,Summary!$C$8:$C$153,1,0),VLOOKUP(I723*1,Summary!$C$8:$C$153,1,0)))),"Add account Number to Summary","")</f>
        <v/>
      </c>
      <c r="M723" s="131" t="str">
        <f t="shared" si="11"/>
        <v/>
      </c>
      <c r="N723" s="287">
        <f>IF(C723="Sale",SUMIFS($D$4:D723,$B$4:B723,B723,$C$4:C723,"")+SUMIFS($D$4:D723,$B$4:B723,B723,$C$4:C723,"Purch")-SUMIFS($D$4:D723,$B$4:B723,B723,$C$4:C723,"Sale"),0)</f>
        <v>0</v>
      </c>
    </row>
    <row r="724" spans="1:14" x14ac:dyDescent="0.2">
      <c r="A724" s="152"/>
      <c r="B724" s="132"/>
      <c r="C724" s="132"/>
      <c r="D724" s="277"/>
      <c r="E724" s="132"/>
      <c r="F724" s="170"/>
      <c r="G724" s="150"/>
      <c r="H724" s="152"/>
      <c r="I724" s="204"/>
      <c r="J724" s="285"/>
      <c r="K724" s="251"/>
      <c r="L724" s="133" t="str">
        <f>IF(AND(I724&lt;&gt;"",ISERROR(IF(ISERROR(VLOOKUP(I724*1,Summary!$C$8:$C$153,1,0)),VLOOKUP(I724,Summary!$C$8:$C$153,1,0),VLOOKUP(I724*1,Summary!$C$8:$C$153,1,0)))),"Add account Number to Summary","")</f>
        <v/>
      </c>
      <c r="M724" s="131" t="str">
        <f t="shared" si="11"/>
        <v/>
      </c>
      <c r="N724" s="287">
        <f>IF(C724="Sale",SUMIFS($D$4:D724,$B$4:B724,B724,$C$4:C724,"")+SUMIFS($D$4:D724,$B$4:B724,B724,$C$4:C724,"Purch")-SUMIFS($D$4:D724,$B$4:B724,B724,$C$4:C724,"Sale"),0)</f>
        <v>0</v>
      </c>
    </row>
    <row r="725" spans="1:14" x14ac:dyDescent="0.2">
      <c r="A725" s="152"/>
      <c r="B725" s="132"/>
      <c r="C725" s="132"/>
      <c r="D725" s="277"/>
      <c r="E725" s="132"/>
      <c r="F725" s="170"/>
      <c r="G725" s="150"/>
      <c r="H725" s="152"/>
      <c r="I725" s="204"/>
      <c r="J725" s="285"/>
      <c r="K725" s="251"/>
      <c r="L725" s="133" t="str">
        <f>IF(AND(I725&lt;&gt;"",ISERROR(IF(ISERROR(VLOOKUP(I725*1,Summary!$C$8:$C$153,1,0)),VLOOKUP(I725,Summary!$C$8:$C$153,1,0),VLOOKUP(I725*1,Summary!$C$8:$C$153,1,0)))),"Add account Number to Summary","")</f>
        <v/>
      </c>
      <c r="M725" s="131" t="str">
        <f t="shared" si="11"/>
        <v/>
      </c>
      <c r="N725" s="287">
        <f>IF(C725="Sale",SUMIFS($D$4:D725,$B$4:B725,B725,$C$4:C725,"")+SUMIFS($D$4:D725,$B$4:B725,B725,$C$4:C725,"Purch")-SUMIFS($D$4:D725,$B$4:B725,B725,$C$4:C725,"Sale"),0)</f>
        <v>0</v>
      </c>
    </row>
    <row r="726" spans="1:14" x14ac:dyDescent="0.2">
      <c r="A726" s="152"/>
      <c r="B726" s="132"/>
      <c r="C726" s="132"/>
      <c r="D726" s="277"/>
      <c r="E726" s="132"/>
      <c r="F726" s="170"/>
      <c r="G726" s="150"/>
      <c r="H726" s="152"/>
      <c r="I726" s="204"/>
      <c r="J726" s="285"/>
      <c r="K726" s="251"/>
      <c r="L726" s="133" t="str">
        <f>IF(AND(I726&lt;&gt;"",ISERROR(IF(ISERROR(VLOOKUP(I726*1,Summary!$C$8:$C$153,1,0)),VLOOKUP(I726,Summary!$C$8:$C$153,1,0),VLOOKUP(I726*1,Summary!$C$8:$C$153,1,0)))),"Add account Number to Summary","")</f>
        <v/>
      </c>
      <c r="M726" s="131" t="str">
        <f t="shared" si="11"/>
        <v/>
      </c>
      <c r="N726" s="287">
        <f>IF(C726="Sale",SUMIFS($D$4:D726,$B$4:B726,B726,$C$4:C726,"")+SUMIFS($D$4:D726,$B$4:B726,B726,$C$4:C726,"Purch")-SUMIFS($D$4:D726,$B$4:B726,B726,$C$4:C726,"Sale"),0)</f>
        <v>0</v>
      </c>
    </row>
    <row r="727" spans="1:14" x14ac:dyDescent="0.2">
      <c r="A727" s="152"/>
      <c r="B727" s="132"/>
      <c r="C727" s="132"/>
      <c r="D727" s="277"/>
      <c r="E727" s="132"/>
      <c r="F727" s="170"/>
      <c r="G727" s="150"/>
      <c r="H727" s="152"/>
      <c r="I727" s="204"/>
      <c r="J727" s="285"/>
      <c r="K727" s="251"/>
      <c r="L727" s="133" t="str">
        <f>IF(AND(I727&lt;&gt;"",ISERROR(IF(ISERROR(VLOOKUP(I727*1,Summary!$C$8:$C$153,1,0)),VLOOKUP(I727,Summary!$C$8:$C$153,1,0),VLOOKUP(I727*1,Summary!$C$8:$C$153,1,0)))),"Add account Number to Summary","")</f>
        <v/>
      </c>
      <c r="M727" s="131" t="str">
        <f t="shared" si="11"/>
        <v/>
      </c>
      <c r="N727" s="287">
        <f>IF(C727="Sale",SUMIFS($D$4:D727,$B$4:B727,B727,$C$4:C727,"")+SUMIFS($D$4:D727,$B$4:B727,B727,$C$4:C727,"Purch")-SUMIFS($D$4:D727,$B$4:B727,B727,$C$4:C727,"Sale"),0)</f>
        <v>0</v>
      </c>
    </row>
    <row r="728" spans="1:14" x14ac:dyDescent="0.2">
      <c r="A728" s="152"/>
      <c r="B728" s="132"/>
      <c r="C728" s="132"/>
      <c r="D728" s="277"/>
      <c r="E728" s="132"/>
      <c r="F728" s="170"/>
      <c r="G728" s="150"/>
      <c r="H728" s="152"/>
      <c r="I728" s="204"/>
      <c r="J728" s="285"/>
      <c r="K728" s="251"/>
      <c r="L728" s="133" t="str">
        <f>IF(AND(I728&lt;&gt;"",ISERROR(IF(ISERROR(VLOOKUP(I728*1,Summary!$C$8:$C$153,1,0)),VLOOKUP(I728,Summary!$C$8:$C$153,1,0),VLOOKUP(I728*1,Summary!$C$8:$C$153,1,0)))),"Add account Number to Summary","")</f>
        <v/>
      </c>
      <c r="M728" s="131" t="str">
        <f t="shared" si="11"/>
        <v/>
      </c>
      <c r="N728" s="287">
        <f>IF(C728="Sale",SUMIFS($D$4:D728,$B$4:B728,B728,$C$4:C728,"")+SUMIFS($D$4:D728,$B$4:B728,B728,$C$4:C728,"Purch")-SUMIFS($D$4:D728,$B$4:B728,B728,$C$4:C728,"Sale"),0)</f>
        <v>0</v>
      </c>
    </row>
    <row r="729" spans="1:14" x14ac:dyDescent="0.2">
      <c r="A729" s="152"/>
      <c r="B729" s="132"/>
      <c r="C729" s="132"/>
      <c r="D729" s="277"/>
      <c r="E729" s="132"/>
      <c r="F729" s="170"/>
      <c r="G729" s="150"/>
      <c r="H729" s="152"/>
      <c r="I729" s="204"/>
      <c r="J729" s="285"/>
      <c r="K729" s="251"/>
      <c r="L729" s="133" t="str">
        <f>IF(AND(I729&lt;&gt;"",ISERROR(IF(ISERROR(VLOOKUP(I729*1,Summary!$C$8:$C$153,1,0)),VLOOKUP(I729,Summary!$C$8:$C$153,1,0),VLOOKUP(I729*1,Summary!$C$8:$C$153,1,0)))),"Add account Number to Summary","")</f>
        <v/>
      </c>
      <c r="M729" s="131" t="str">
        <f t="shared" si="11"/>
        <v/>
      </c>
      <c r="N729" s="287">
        <f>IF(C729="Sale",SUMIFS($D$4:D729,$B$4:B729,B729,$C$4:C729,"")+SUMIFS($D$4:D729,$B$4:B729,B729,$C$4:C729,"Purch")-SUMIFS($D$4:D729,$B$4:B729,B729,$C$4:C729,"Sale"),0)</f>
        <v>0</v>
      </c>
    </row>
    <row r="730" spans="1:14" x14ac:dyDescent="0.2">
      <c r="A730" s="152"/>
      <c r="B730" s="132"/>
      <c r="C730" s="132"/>
      <c r="D730" s="277"/>
      <c r="E730" s="132"/>
      <c r="F730" s="170"/>
      <c r="G730" s="150"/>
      <c r="H730" s="152"/>
      <c r="I730" s="204"/>
      <c r="J730" s="285"/>
      <c r="K730" s="251"/>
      <c r="L730" s="133" t="str">
        <f>IF(AND(I730&lt;&gt;"",ISERROR(IF(ISERROR(VLOOKUP(I730*1,Summary!$C$8:$C$153,1,0)),VLOOKUP(I730,Summary!$C$8:$C$153,1,0),VLOOKUP(I730*1,Summary!$C$8:$C$153,1,0)))),"Add account Number to Summary","")</f>
        <v/>
      </c>
      <c r="M730" s="131" t="str">
        <f t="shared" si="11"/>
        <v/>
      </c>
      <c r="N730" s="287">
        <f>IF(C730="Sale",SUMIFS($D$4:D730,$B$4:B730,B730,$C$4:C730,"")+SUMIFS($D$4:D730,$B$4:B730,B730,$C$4:C730,"Purch")-SUMIFS($D$4:D730,$B$4:B730,B730,$C$4:C730,"Sale"),0)</f>
        <v>0</v>
      </c>
    </row>
    <row r="731" spans="1:14" x14ac:dyDescent="0.2">
      <c r="A731" s="152"/>
      <c r="B731" s="132"/>
      <c r="C731" s="132"/>
      <c r="D731" s="277"/>
      <c r="E731" s="132"/>
      <c r="F731" s="170"/>
      <c r="G731" s="150"/>
      <c r="H731" s="152"/>
      <c r="I731" s="204"/>
      <c r="J731" s="285"/>
      <c r="K731" s="251"/>
      <c r="L731" s="133" t="str">
        <f>IF(AND(I731&lt;&gt;"",ISERROR(IF(ISERROR(VLOOKUP(I731*1,Summary!$C$8:$C$153,1,0)),VLOOKUP(I731,Summary!$C$8:$C$153,1,0),VLOOKUP(I731*1,Summary!$C$8:$C$153,1,0)))),"Add account Number to Summary","")</f>
        <v/>
      </c>
      <c r="M731" s="131" t="str">
        <f t="shared" si="11"/>
        <v/>
      </c>
      <c r="N731" s="287">
        <f>IF(C731="Sale",SUMIFS($D$4:D731,$B$4:B731,B731,$C$4:C731,"")+SUMIFS($D$4:D731,$B$4:B731,B731,$C$4:C731,"Purch")-SUMIFS($D$4:D731,$B$4:B731,B731,$C$4:C731,"Sale"),0)</f>
        <v>0</v>
      </c>
    </row>
    <row r="732" spans="1:14" x14ac:dyDescent="0.2">
      <c r="A732" s="152"/>
      <c r="B732" s="132"/>
      <c r="C732" s="132"/>
      <c r="D732" s="277"/>
      <c r="E732" s="132"/>
      <c r="F732" s="170"/>
      <c r="G732" s="150"/>
      <c r="H732" s="152"/>
      <c r="I732" s="204"/>
      <c r="J732" s="285"/>
      <c r="K732" s="251"/>
      <c r="L732" s="133" t="str">
        <f>IF(AND(I732&lt;&gt;"",ISERROR(IF(ISERROR(VLOOKUP(I732*1,Summary!$C$8:$C$153,1,0)),VLOOKUP(I732,Summary!$C$8:$C$153,1,0),VLOOKUP(I732*1,Summary!$C$8:$C$153,1,0)))),"Add account Number to Summary","")</f>
        <v/>
      </c>
      <c r="M732" s="131" t="str">
        <f t="shared" si="11"/>
        <v/>
      </c>
      <c r="N732" s="287">
        <f>IF(C732="Sale",SUMIFS($D$4:D732,$B$4:B732,B732,$C$4:C732,"")+SUMIFS($D$4:D732,$B$4:B732,B732,$C$4:C732,"Purch")-SUMIFS($D$4:D732,$B$4:B732,B732,$C$4:C732,"Sale"),0)</f>
        <v>0</v>
      </c>
    </row>
    <row r="733" spans="1:14" x14ac:dyDescent="0.2">
      <c r="A733" s="152"/>
      <c r="B733" s="132"/>
      <c r="C733" s="132"/>
      <c r="D733" s="277"/>
      <c r="E733" s="132"/>
      <c r="F733" s="170"/>
      <c r="G733" s="150"/>
      <c r="H733" s="152"/>
      <c r="I733" s="204"/>
      <c r="J733" s="285"/>
      <c r="K733" s="251"/>
      <c r="L733" s="133" t="str">
        <f>IF(AND(I733&lt;&gt;"",ISERROR(IF(ISERROR(VLOOKUP(I733*1,Summary!$C$8:$C$153,1,0)),VLOOKUP(I733,Summary!$C$8:$C$153,1,0),VLOOKUP(I733*1,Summary!$C$8:$C$153,1,0)))),"Add account Number to Summary","")</f>
        <v/>
      </c>
      <c r="M733" s="131" t="str">
        <f t="shared" si="11"/>
        <v/>
      </c>
      <c r="N733" s="287">
        <f>IF(C733="Sale",SUMIFS($D$4:D733,$B$4:B733,B733,$C$4:C733,"")+SUMIFS($D$4:D733,$B$4:B733,B733,$C$4:C733,"Purch")-SUMIFS($D$4:D733,$B$4:B733,B733,$C$4:C733,"Sale"),0)</f>
        <v>0</v>
      </c>
    </row>
    <row r="734" spans="1:14" x14ac:dyDescent="0.2">
      <c r="A734" s="152"/>
      <c r="B734" s="132"/>
      <c r="C734" s="132"/>
      <c r="D734" s="277"/>
      <c r="E734" s="132"/>
      <c r="F734" s="170"/>
      <c r="G734" s="150"/>
      <c r="H734" s="152"/>
      <c r="I734" s="204"/>
      <c r="J734" s="285"/>
      <c r="K734" s="251"/>
      <c r="L734" s="133" t="str">
        <f>IF(AND(I734&lt;&gt;"",ISERROR(IF(ISERROR(VLOOKUP(I734*1,Summary!$C$8:$C$153,1,0)),VLOOKUP(I734,Summary!$C$8:$C$153,1,0),VLOOKUP(I734*1,Summary!$C$8:$C$153,1,0)))),"Add account Number to Summary","")</f>
        <v/>
      </c>
      <c r="M734" s="131" t="str">
        <f t="shared" si="11"/>
        <v/>
      </c>
      <c r="N734" s="287">
        <f>IF(C734="Sale",SUMIFS($D$4:D734,$B$4:B734,B734,$C$4:C734,"")+SUMIFS($D$4:D734,$B$4:B734,B734,$C$4:C734,"Purch")-SUMIFS($D$4:D734,$B$4:B734,B734,$C$4:C734,"Sale"),0)</f>
        <v>0</v>
      </c>
    </row>
    <row r="735" spans="1:14" x14ac:dyDescent="0.2">
      <c r="A735" s="152"/>
      <c r="B735" s="132"/>
      <c r="C735" s="132"/>
      <c r="D735" s="277"/>
      <c r="E735" s="132"/>
      <c r="F735" s="170"/>
      <c r="G735" s="150"/>
      <c r="H735" s="152"/>
      <c r="I735" s="204"/>
      <c r="J735" s="285"/>
      <c r="K735" s="251"/>
      <c r="L735" s="133" t="str">
        <f>IF(AND(I735&lt;&gt;"",ISERROR(IF(ISERROR(VLOOKUP(I735*1,Summary!$C$8:$C$153,1,0)),VLOOKUP(I735,Summary!$C$8:$C$153,1,0),VLOOKUP(I735*1,Summary!$C$8:$C$153,1,0)))),"Add account Number to Summary","")</f>
        <v/>
      </c>
      <c r="M735" s="131" t="str">
        <f t="shared" si="11"/>
        <v/>
      </c>
      <c r="N735" s="287">
        <f>IF(C735="Sale",SUMIFS($D$4:D735,$B$4:B735,B735,$C$4:C735,"")+SUMIFS($D$4:D735,$B$4:B735,B735,$C$4:C735,"Purch")-SUMIFS($D$4:D735,$B$4:B735,B735,$C$4:C735,"Sale"),0)</f>
        <v>0</v>
      </c>
    </row>
    <row r="736" spans="1:14" x14ac:dyDescent="0.2">
      <c r="A736" s="152"/>
      <c r="B736" s="132"/>
      <c r="C736" s="132"/>
      <c r="D736" s="277"/>
      <c r="E736" s="132"/>
      <c r="F736" s="170"/>
      <c r="G736" s="150"/>
      <c r="H736" s="152"/>
      <c r="I736" s="204"/>
      <c r="J736" s="285"/>
      <c r="K736" s="251"/>
      <c r="L736" s="133" t="str">
        <f>IF(AND(I736&lt;&gt;"",ISERROR(IF(ISERROR(VLOOKUP(I736*1,Summary!$C$8:$C$153,1,0)),VLOOKUP(I736,Summary!$C$8:$C$153,1,0),VLOOKUP(I736*1,Summary!$C$8:$C$153,1,0)))),"Add account Number to Summary","")</f>
        <v/>
      </c>
      <c r="M736" s="131" t="str">
        <f t="shared" si="11"/>
        <v/>
      </c>
      <c r="N736" s="287">
        <f>IF(C736="Sale",SUMIFS($D$4:D736,$B$4:B736,B736,$C$4:C736,"")+SUMIFS($D$4:D736,$B$4:B736,B736,$C$4:C736,"Purch")-SUMIFS($D$4:D736,$B$4:B736,B736,$C$4:C736,"Sale"),0)</f>
        <v>0</v>
      </c>
    </row>
    <row r="737" spans="1:14" x14ac:dyDescent="0.2">
      <c r="A737" s="152"/>
      <c r="B737" s="132"/>
      <c r="C737" s="132"/>
      <c r="D737" s="277"/>
      <c r="E737" s="132"/>
      <c r="F737" s="170"/>
      <c r="G737" s="150"/>
      <c r="H737" s="152"/>
      <c r="I737" s="204"/>
      <c r="J737" s="285"/>
      <c r="K737" s="251"/>
      <c r="L737" s="133" t="str">
        <f>IF(AND(I737&lt;&gt;"",ISERROR(IF(ISERROR(VLOOKUP(I737*1,Summary!$C$8:$C$153,1,0)),VLOOKUP(I737,Summary!$C$8:$C$153,1,0),VLOOKUP(I737*1,Summary!$C$8:$C$153,1,0)))),"Add account Number to Summary","")</f>
        <v/>
      </c>
      <c r="M737" s="131" t="str">
        <f t="shared" si="11"/>
        <v/>
      </c>
      <c r="N737" s="287">
        <f>IF(C737="Sale",SUMIFS($D$4:D737,$B$4:B737,B737,$C$4:C737,"")+SUMIFS($D$4:D737,$B$4:B737,B737,$C$4:C737,"Purch")-SUMIFS($D$4:D737,$B$4:B737,B737,$C$4:C737,"Sale"),0)</f>
        <v>0</v>
      </c>
    </row>
    <row r="738" spans="1:14" x14ac:dyDescent="0.2">
      <c r="A738" s="152"/>
      <c r="B738" s="132"/>
      <c r="C738" s="132"/>
      <c r="D738" s="277"/>
      <c r="E738" s="132"/>
      <c r="F738" s="170"/>
      <c r="G738" s="150"/>
      <c r="H738" s="152"/>
      <c r="I738" s="204"/>
      <c r="J738" s="285"/>
      <c r="K738" s="251"/>
      <c r="L738" s="133" t="str">
        <f>IF(AND(I738&lt;&gt;"",ISERROR(IF(ISERROR(VLOOKUP(I738*1,Summary!$C$8:$C$153,1,0)),VLOOKUP(I738,Summary!$C$8:$C$153,1,0),VLOOKUP(I738*1,Summary!$C$8:$C$153,1,0)))),"Add account Number to Summary","")</f>
        <v/>
      </c>
      <c r="M738" s="131" t="str">
        <f t="shared" si="11"/>
        <v/>
      </c>
      <c r="N738" s="287">
        <f>IF(C738="Sale",SUMIFS($D$4:D738,$B$4:B738,B738,$C$4:C738,"")+SUMIFS($D$4:D738,$B$4:B738,B738,$C$4:C738,"Purch")-SUMIFS($D$4:D738,$B$4:B738,B738,$C$4:C738,"Sale"),0)</f>
        <v>0</v>
      </c>
    </row>
    <row r="739" spans="1:14" x14ac:dyDescent="0.2">
      <c r="A739" s="152"/>
      <c r="B739" s="132"/>
      <c r="C739" s="132"/>
      <c r="D739" s="277"/>
      <c r="E739" s="132"/>
      <c r="F739" s="170"/>
      <c r="G739" s="150"/>
      <c r="H739" s="152"/>
      <c r="I739" s="204"/>
      <c r="J739" s="285"/>
      <c r="K739" s="251"/>
      <c r="L739" s="133" t="str">
        <f>IF(AND(I739&lt;&gt;"",ISERROR(IF(ISERROR(VLOOKUP(I739*1,Summary!$C$8:$C$153,1,0)),VLOOKUP(I739,Summary!$C$8:$C$153,1,0),VLOOKUP(I739*1,Summary!$C$8:$C$153,1,0)))),"Add account Number to Summary","")</f>
        <v/>
      </c>
      <c r="M739" s="131" t="str">
        <f t="shared" si="11"/>
        <v/>
      </c>
      <c r="N739" s="287">
        <f>IF(C739="Sale",SUMIFS($D$4:D739,$B$4:B739,B739,$C$4:C739,"")+SUMIFS($D$4:D739,$B$4:B739,B739,$C$4:C739,"Purch")-SUMIFS($D$4:D739,$B$4:B739,B739,$C$4:C739,"Sale"),0)</f>
        <v>0</v>
      </c>
    </row>
    <row r="740" spans="1:14" x14ac:dyDescent="0.2">
      <c r="A740" s="152"/>
      <c r="B740" s="132"/>
      <c r="C740" s="132"/>
      <c r="D740" s="277"/>
      <c r="E740" s="132"/>
      <c r="F740" s="170"/>
      <c r="G740" s="150"/>
      <c r="H740" s="152"/>
      <c r="I740" s="204"/>
      <c r="J740" s="285"/>
      <c r="K740" s="251"/>
      <c r="L740" s="133" t="str">
        <f>IF(AND(I740&lt;&gt;"",ISERROR(IF(ISERROR(VLOOKUP(I740*1,Summary!$C$8:$C$153,1,0)),VLOOKUP(I740,Summary!$C$8:$C$153,1,0),VLOOKUP(I740*1,Summary!$C$8:$C$153,1,0)))),"Add account Number to Summary","")</f>
        <v/>
      </c>
      <c r="M740" s="131" t="str">
        <f t="shared" si="11"/>
        <v/>
      </c>
      <c r="N740" s="287">
        <f>IF(C740="Sale",SUMIFS($D$4:D740,$B$4:B740,B740,$C$4:C740,"")+SUMIFS($D$4:D740,$B$4:B740,B740,$C$4:C740,"Purch")-SUMIFS($D$4:D740,$B$4:B740,B740,$C$4:C740,"Sale"),0)</f>
        <v>0</v>
      </c>
    </row>
    <row r="741" spans="1:14" x14ac:dyDescent="0.2">
      <c r="A741" s="152"/>
      <c r="B741" s="132"/>
      <c r="C741" s="132"/>
      <c r="D741" s="277"/>
      <c r="E741" s="132"/>
      <c r="F741" s="170"/>
      <c r="G741" s="150"/>
      <c r="H741" s="152"/>
      <c r="I741" s="204"/>
      <c r="J741" s="285"/>
      <c r="K741" s="251"/>
      <c r="L741" s="133" t="str">
        <f>IF(AND(I741&lt;&gt;"",ISERROR(IF(ISERROR(VLOOKUP(I741*1,Summary!$C$8:$C$153,1,0)),VLOOKUP(I741,Summary!$C$8:$C$153,1,0),VLOOKUP(I741*1,Summary!$C$8:$C$153,1,0)))),"Add account Number to Summary","")</f>
        <v/>
      </c>
      <c r="M741" s="131" t="str">
        <f t="shared" si="11"/>
        <v/>
      </c>
      <c r="N741" s="287">
        <f>IF(C741="Sale",SUMIFS($D$4:D741,$B$4:B741,B741,$C$4:C741,"")+SUMIFS($D$4:D741,$B$4:B741,B741,$C$4:C741,"Purch")-SUMIFS($D$4:D741,$B$4:B741,B741,$C$4:C741,"Sale"),0)</f>
        <v>0</v>
      </c>
    </row>
    <row r="742" spans="1:14" x14ac:dyDescent="0.2">
      <c r="A742" s="152"/>
      <c r="B742" s="132"/>
      <c r="C742" s="132"/>
      <c r="D742" s="277"/>
      <c r="E742" s="132"/>
      <c r="F742" s="170"/>
      <c r="G742" s="150"/>
      <c r="H742" s="152"/>
      <c r="I742" s="204"/>
      <c r="J742" s="285"/>
      <c r="K742" s="251"/>
      <c r="L742" s="133" t="str">
        <f>IF(AND(I742&lt;&gt;"",ISERROR(IF(ISERROR(VLOOKUP(I742*1,Summary!$C$8:$C$153,1,0)),VLOOKUP(I742,Summary!$C$8:$C$153,1,0),VLOOKUP(I742*1,Summary!$C$8:$C$153,1,0)))),"Add account Number to Summary","")</f>
        <v/>
      </c>
      <c r="M742" s="131" t="str">
        <f t="shared" si="11"/>
        <v/>
      </c>
      <c r="N742" s="287">
        <f>IF(C742="Sale",SUMIFS($D$4:D742,$B$4:B742,B742,$C$4:C742,"")+SUMIFS($D$4:D742,$B$4:B742,B742,$C$4:C742,"Purch")-SUMIFS($D$4:D742,$B$4:B742,B742,$C$4:C742,"Sale"),0)</f>
        <v>0</v>
      </c>
    </row>
    <row r="743" spans="1:14" x14ac:dyDescent="0.2">
      <c r="A743" s="152"/>
      <c r="B743" s="132"/>
      <c r="C743" s="132"/>
      <c r="D743" s="277"/>
      <c r="E743" s="132"/>
      <c r="F743" s="170"/>
      <c r="G743" s="150"/>
      <c r="H743" s="152"/>
      <c r="I743" s="204"/>
      <c r="J743" s="285"/>
      <c r="K743" s="251"/>
      <c r="L743" s="133" t="str">
        <f>IF(AND(I743&lt;&gt;"",ISERROR(IF(ISERROR(VLOOKUP(I743*1,Summary!$C$8:$C$153,1,0)),VLOOKUP(I743,Summary!$C$8:$C$153,1,0),VLOOKUP(I743*1,Summary!$C$8:$C$153,1,0)))),"Add account Number to Summary","")</f>
        <v/>
      </c>
      <c r="M743" s="131" t="str">
        <f t="shared" si="11"/>
        <v/>
      </c>
      <c r="N743" s="287">
        <f>IF(C743="Sale",SUMIFS($D$4:D743,$B$4:B743,B743,$C$4:C743,"")+SUMIFS($D$4:D743,$B$4:B743,B743,$C$4:C743,"Purch")-SUMIFS($D$4:D743,$B$4:B743,B743,$C$4:C743,"Sale"),0)</f>
        <v>0</v>
      </c>
    </row>
    <row r="744" spans="1:14" x14ac:dyDescent="0.2">
      <c r="A744" s="152"/>
      <c r="B744" s="132"/>
      <c r="C744" s="132"/>
      <c r="D744" s="277"/>
      <c r="E744" s="132"/>
      <c r="F744" s="170"/>
      <c r="G744" s="150"/>
      <c r="H744" s="152"/>
      <c r="I744" s="204"/>
      <c r="J744" s="285"/>
      <c r="K744" s="251"/>
      <c r="L744" s="133" t="str">
        <f>IF(AND(I744&lt;&gt;"",ISERROR(IF(ISERROR(VLOOKUP(I744*1,Summary!$C$8:$C$153,1,0)),VLOOKUP(I744,Summary!$C$8:$C$153,1,0),VLOOKUP(I744*1,Summary!$C$8:$C$153,1,0)))),"Add account Number to Summary","")</f>
        <v/>
      </c>
      <c r="M744" s="131" t="str">
        <f t="shared" si="11"/>
        <v/>
      </c>
      <c r="N744" s="287">
        <f>IF(C744="Sale",SUMIFS($D$4:D744,$B$4:B744,B744,$C$4:C744,"")+SUMIFS($D$4:D744,$B$4:B744,B744,$C$4:C744,"Purch")-SUMIFS($D$4:D744,$B$4:B744,B744,$C$4:C744,"Sale"),0)</f>
        <v>0</v>
      </c>
    </row>
    <row r="745" spans="1:14" x14ac:dyDescent="0.2">
      <c r="A745" s="152"/>
      <c r="B745" s="132"/>
      <c r="C745" s="132"/>
      <c r="D745" s="277"/>
      <c r="E745" s="132"/>
      <c r="F745" s="170"/>
      <c r="G745" s="150"/>
      <c r="H745" s="152"/>
      <c r="I745" s="204"/>
      <c r="J745" s="285"/>
      <c r="K745" s="251"/>
      <c r="L745" s="133" t="str">
        <f>IF(AND(I745&lt;&gt;"",ISERROR(IF(ISERROR(VLOOKUP(I745*1,Summary!$C$8:$C$153,1,0)),VLOOKUP(I745,Summary!$C$8:$C$153,1,0),VLOOKUP(I745*1,Summary!$C$8:$C$153,1,0)))),"Add account Number to Summary","")</f>
        <v/>
      </c>
      <c r="M745" s="131" t="str">
        <f t="shared" si="11"/>
        <v/>
      </c>
      <c r="N745" s="287">
        <f>IF(C745="Sale",SUMIFS($D$4:D745,$B$4:B745,B745,$C$4:C745,"")+SUMIFS($D$4:D745,$B$4:B745,B745,$C$4:C745,"Purch")-SUMIFS($D$4:D745,$B$4:B745,B745,$C$4:C745,"Sale"),0)</f>
        <v>0</v>
      </c>
    </row>
    <row r="746" spans="1:14" x14ac:dyDescent="0.2">
      <c r="A746" s="152"/>
      <c r="B746" s="132"/>
      <c r="C746" s="132"/>
      <c r="D746" s="277"/>
      <c r="E746" s="132"/>
      <c r="F746" s="170"/>
      <c r="G746" s="150"/>
      <c r="H746" s="152"/>
      <c r="I746" s="204"/>
      <c r="J746" s="285"/>
      <c r="K746" s="251"/>
      <c r="L746" s="133" t="str">
        <f>IF(AND(I746&lt;&gt;"",ISERROR(IF(ISERROR(VLOOKUP(I746*1,Summary!$C$8:$C$153,1,0)),VLOOKUP(I746,Summary!$C$8:$C$153,1,0),VLOOKUP(I746*1,Summary!$C$8:$C$153,1,0)))),"Add account Number to Summary","")</f>
        <v/>
      </c>
      <c r="M746" s="131" t="str">
        <f t="shared" si="11"/>
        <v/>
      </c>
      <c r="N746" s="287">
        <f>IF(C746="Sale",SUMIFS($D$4:D746,$B$4:B746,B746,$C$4:C746,"")+SUMIFS($D$4:D746,$B$4:B746,B746,$C$4:C746,"Purch")-SUMIFS($D$4:D746,$B$4:B746,B746,$C$4:C746,"Sale"),0)</f>
        <v>0</v>
      </c>
    </row>
    <row r="747" spans="1:14" x14ac:dyDescent="0.2">
      <c r="A747" s="152"/>
      <c r="B747" s="132"/>
      <c r="C747" s="132"/>
      <c r="D747" s="277"/>
      <c r="E747" s="132"/>
      <c r="F747" s="170"/>
      <c r="G747" s="150"/>
      <c r="H747" s="152"/>
      <c r="I747" s="204"/>
      <c r="J747" s="285"/>
      <c r="K747" s="251"/>
      <c r="L747" s="133" t="str">
        <f>IF(AND(I747&lt;&gt;"",ISERROR(IF(ISERROR(VLOOKUP(I747*1,Summary!$C$8:$C$153,1,0)),VLOOKUP(I747,Summary!$C$8:$C$153,1,0),VLOOKUP(I747*1,Summary!$C$8:$C$153,1,0)))),"Add account Number to Summary","")</f>
        <v/>
      </c>
      <c r="M747" s="131" t="str">
        <f t="shared" si="11"/>
        <v/>
      </c>
      <c r="N747" s="287">
        <f>IF(C747="Sale",SUMIFS($D$4:D747,$B$4:B747,B747,$C$4:C747,"")+SUMIFS($D$4:D747,$B$4:B747,B747,$C$4:C747,"Purch")-SUMIFS($D$4:D747,$B$4:B747,B747,$C$4:C747,"Sale"),0)</f>
        <v>0</v>
      </c>
    </row>
    <row r="748" spans="1:14" x14ac:dyDescent="0.2">
      <c r="A748" s="152"/>
      <c r="B748" s="132"/>
      <c r="C748" s="132"/>
      <c r="D748" s="277"/>
      <c r="E748" s="132"/>
      <c r="F748" s="170"/>
      <c r="G748" s="150"/>
      <c r="H748" s="152"/>
      <c r="I748" s="204"/>
      <c r="J748" s="285"/>
      <c r="K748" s="251"/>
      <c r="L748" s="133" t="str">
        <f>IF(AND(I748&lt;&gt;"",ISERROR(IF(ISERROR(VLOOKUP(I748*1,Summary!$C$8:$C$153,1,0)),VLOOKUP(I748,Summary!$C$8:$C$153,1,0),VLOOKUP(I748*1,Summary!$C$8:$C$153,1,0)))),"Add account Number to Summary","")</f>
        <v/>
      </c>
      <c r="M748" s="131" t="str">
        <f t="shared" ref="M748:M811" si="12">IF(K748="Yes",IF(YEAR(A748)&lt;&gt;YEAR(date),"Check Date",""),"")</f>
        <v/>
      </c>
      <c r="N748" s="287">
        <f>IF(C748="Sale",SUMIFS($D$4:D748,$B$4:B748,B748,$C$4:C748,"")+SUMIFS($D$4:D748,$B$4:B748,B748,$C$4:C748,"Purch")-SUMIFS($D$4:D748,$B$4:B748,B748,$C$4:C748,"Sale"),0)</f>
        <v>0</v>
      </c>
    </row>
    <row r="749" spans="1:14" x14ac:dyDescent="0.2">
      <c r="A749" s="152"/>
      <c r="B749" s="132"/>
      <c r="C749" s="132"/>
      <c r="D749" s="277"/>
      <c r="E749" s="132"/>
      <c r="F749" s="170"/>
      <c r="G749" s="150"/>
      <c r="H749" s="152"/>
      <c r="I749" s="204"/>
      <c r="J749" s="285"/>
      <c r="K749" s="251"/>
      <c r="L749" s="133" t="str">
        <f>IF(AND(I749&lt;&gt;"",ISERROR(IF(ISERROR(VLOOKUP(I749*1,Summary!$C$8:$C$153,1,0)),VLOOKUP(I749,Summary!$C$8:$C$153,1,0),VLOOKUP(I749*1,Summary!$C$8:$C$153,1,0)))),"Add account Number to Summary","")</f>
        <v/>
      </c>
      <c r="M749" s="131" t="str">
        <f t="shared" si="12"/>
        <v/>
      </c>
      <c r="N749" s="287">
        <f>IF(C749="Sale",SUMIFS($D$4:D749,$B$4:B749,B749,$C$4:C749,"")+SUMIFS($D$4:D749,$B$4:B749,B749,$C$4:C749,"Purch")-SUMIFS($D$4:D749,$B$4:B749,B749,$C$4:C749,"Sale"),0)</f>
        <v>0</v>
      </c>
    </row>
    <row r="750" spans="1:14" x14ac:dyDescent="0.2">
      <c r="A750" s="152"/>
      <c r="B750" s="132"/>
      <c r="C750" s="132"/>
      <c r="D750" s="277"/>
      <c r="E750" s="132"/>
      <c r="F750" s="170"/>
      <c r="G750" s="150"/>
      <c r="H750" s="152"/>
      <c r="I750" s="204"/>
      <c r="J750" s="285"/>
      <c r="K750" s="251"/>
      <c r="L750" s="133" t="str">
        <f>IF(AND(I750&lt;&gt;"",ISERROR(IF(ISERROR(VLOOKUP(I750*1,Summary!$C$8:$C$153,1,0)),VLOOKUP(I750,Summary!$C$8:$C$153,1,0),VLOOKUP(I750*1,Summary!$C$8:$C$153,1,0)))),"Add account Number to Summary","")</f>
        <v/>
      </c>
      <c r="M750" s="131" t="str">
        <f t="shared" si="12"/>
        <v/>
      </c>
      <c r="N750" s="287">
        <f>IF(C750="Sale",SUMIFS($D$4:D750,$B$4:B750,B750,$C$4:C750,"")+SUMIFS($D$4:D750,$B$4:B750,B750,$C$4:C750,"Purch")-SUMIFS($D$4:D750,$B$4:B750,B750,$C$4:C750,"Sale"),0)</f>
        <v>0</v>
      </c>
    </row>
    <row r="751" spans="1:14" x14ac:dyDescent="0.2">
      <c r="A751" s="152"/>
      <c r="B751" s="132"/>
      <c r="C751" s="132"/>
      <c r="D751" s="277"/>
      <c r="E751" s="132"/>
      <c r="F751" s="170"/>
      <c r="G751" s="150"/>
      <c r="H751" s="152"/>
      <c r="I751" s="204"/>
      <c r="J751" s="285"/>
      <c r="K751" s="251"/>
      <c r="L751" s="133" t="str">
        <f>IF(AND(I751&lt;&gt;"",ISERROR(IF(ISERROR(VLOOKUP(I751*1,Summary!$C$8:$C$153,1,0)),VLOOKUP(I751,Summary!$C$8:$C$153,1,0),VLOOKUP(I751*1,Summary!$C$8:$C$153,1,0)))),"Add account Number to Summary","")</f>
        <v/>
      </c>
      <c r="M751" s="131" t="str">
        <f t="shared" si="12"/>
        <v/>
      </c>
      <c r="N751" s="287">
        <f>IF(C751="Sale",SUMIFS($D$4:D751,$B$4:B751,B751,$C$4:C751,"")+SUMIFS($D$4:D751,$B$4:B751,B751,$C$4:C751,"Purch")-SUMIFS($D$4:D751,$B$4:B751,B751,$C$4:C751,"Sale"),0)</f>
        <v>0</v>
      </c>
    </row>
    <row r="752" spans="1:14" x14ac:dyDescent="0.2">
      <c r="A752" s="152"/>
      <c r="B752" s="132"/>
      <c r="C752" s="132"/>
      <c r="D752" s="277"/>
      <c r="E752" s="132"/>
      <c r="F752" s="170"/>
      <c r="G752" s="150"/>
      <c r="H752" s="152"/>
      <c r="I752" s="204"/>
      <c r="J752" s="285"/>
      <c r="K752" s="251"/>
      <c r="L752" s="133" t="str">
        <f>IF(AND(I752&lt;&gt;"",ISERROR(IF(ISERROR(VLOOKUP(I752*1,Summary!$C$8:$C$153,1,0)),VLOOKUP(I752,Summary!$C$8:$C$153,1,0),VLOOKUP(I752*1,Summary!$C$8:$C$153,1,0)))),"Add account Number to Summary","")</f>
        <v/>
      </c>
      <c r="M752" s="131" t="str">
        <f t="shared" si="12"/>
        <v/>
      </c>
      <c r="N752" s="287">
        <f>IF(C752="Sale",SUMIFS($D$4:D752,$B$4:B752,B752,$C$4:C752,"")+SUMIFS($D$4:D752,$B$4:B752,B752,$C$4:C752,"Purch")-SUMIFS($D$4:D752,$B$4:B752,B752,$C$4:C752,"Sale"),0)</f>
        <v>0</v>
      </c>
    </row>
    <row r="753" spans="1:14" x14ac:dyDescent="0.2">
      <c r="A753" s="152"/>
      <c r="B753" s="132"/>
      <c r="C753" s="132"/>
      <c r="D753" s="277"/>
      <c r="E753" s="132"/>
      <c r="F753" s="170"/>
      <c r="G753" s="150"/>
      <c r="H753" s="152"/>
      <c r="I753" s="204"/>
      <c r="J753" s="285"/>
      <c r="K753" s="251"/>
      <c r="L753" s="133" t="str">
        <f>IF(AND(I753&lt;&gt;"",ISERROR(IF(ISERROR(VLOOKUP(I753*1,Summary!$C$8:$C$153,1,0)),VLOOKUP(I753,Summary!$C$8:$C$153,1,0),VLOOKUP(I753*1,Summary!$C$8:$C$153,1,0)))),"Add account Number to Summary","")</f>
        <v/>
      </c>
      <c r="M753" s="131" t="str">
        <f t="shared" si="12"/>
        <v/>
      </c>
      <c r="N753" s="287">
        <f>IF(C753="Sale",SUMIFS($D$4:D753,$B$4:B753,B753,$C$4:C753,"")+SUMIFS($D$4:D753,$B$4:B753,B753,$C$4:C753,"Purch")-SUMIFS($D$4:D753,$B$4:B753,B753,$C$4:C753,"Sale"),0)</f>
        <v>0</v>
      </c>
    </row>
    <row r="754" spans="1:14" x14ac:dyDescent="0.2">
      <c r="A754" s="152"/>
      <c r="B754" s="132"/>
      <c r="C754" s="132"/>
      <c r="D754" s="277"/>
      <c r="E754" s="132"/>
      <c r="F754" s="170"/>
      <c r="G754" s="150"/>
      <c r="H754" s="152"/>
      <c r="I754" s="204"/>
      <c r="J754" s="285"/>
      <c r="K754" s="251"/>
      <c r="L754" s="133" t="str">
        <f>IF(AND(I754&lt;&gt;"",ISERROR(IF(ISERROR(VLOOKUP(I754*1,Summary!$C$8:$C$153,1,0)),VLOOKUP(I754,Summary!$C$8:$C$153,1,0),VLOOKUP(I754*1,Summary!$C$8:$C$153,1,0)))),"Add account Number to Summary","")</f>
        <v/>
      </c>
      <c r="M754" s="131" t="str">
        <f t="shared" si="12"/>
        <v/>
      </c>
      <c r="N754" s="287">
        <f>IF(C754="Sale",SUMIFS($D$4:D754,$B$4:B754,B754,$C$4:C754,"")+SUMIFS($D$4:D754,$B$4:B754,B754,$C$4:C754,"Purch")-SUMIFS($D$4:D754,$B$4:B754,B754,$C$4:C754,"Sale"),0)</f>
        <v>0</v>
      </c>
    </row>
    <row r="755" spans="1:14" x14ac:dyDescent="0.2">
      <c r="A755" s="152"/>
      <c r="B755" s="132"/>
      <c r="C755" s="132"/>
      <c r="D755" s="277"/>
      <c r="E755" s="132"/>
      <c r="F755" s="170"/>
      <c r="G755" s="150"/>
      <c r="H755" s="152"/>
      <c r="I755" s="204"/>
      <c r="J755" s="285"/>
      <c r="K755" s="251"/>
      <c r="L755" s="133" t="str">
        <f>IF(AND(I755&lt;&gt;"",ISERROR(IF(ISERROR(VLOOKUP(I755*1,Summary!$C$8:$C$153,1,0)),VLOOKUP(I755,Summary!$C$8:$C$153,1,0),VLOOKUP(I755*1,Summary!$C$8:$C$153,1,0)))),"Add account Number to Summary","")</f>
        <v/>
      </c>
      <c r="M755" s="131" t="str">
        <f t="shared" si="12"/>
        <v/>
      </c>
      <c r="N755" s="287">
        <f>IF(C755="Sale",SUMIFS($D$4:D755,$B$4:B755,B755,$C$4:C755,"")+SUMIFS($D$4:D755,$B$4:B755,B755,$C$4:C755,"Purch")-SUMIFS($D$4:D755,$B$4:B755,B755,$C$4:C755,"Sale"),0)</f>
        <v>0</v>
      </c>
    </row>
    <row r="756" spans="1:14" x14ac:dyDescent="0.2">
      <c r="A756" s="152"/>
      <c r="B756" s="132"/>
      <c r="C756" s="132"/>
      <c r="D756" s="277"/>
      <c r="E756" s="132"/>
      <c r="F756" s="170"/>
      <c r="G756" s="150"/>
      <c r="H756" s="152"/>
      <c r="I756" s="204"/>
      <c r="J756" s="285"/>
      <c r="K756" s="251"/>
      <c r="L756" s="133" t="str">
        <f>IF(AND(I756&lt;&gt;"",ISERROR(IF(ISERROR(VLOOKUP(I756*1,Summary!$C$8:$C$153,1,0)),VLOOKUP(I756,Summary!$C$8:$C$153,1,0),VLOOKUP(I756*1,Summary!$C$8:$C$153,1,0)))),"Add account Number to Summary","")</f>
        <v/>
      </c>
      <c r="M756" s="131" t="str">
        <f t="shared" si="12"/>
        <v/>
      </c>
      <c r="N756" s="287">
        <f>IF(C756="Sale",SUMIFS($D$4:D756,$B$4:B756,B756,$C$4:C756,"")+SUMIFS($D$4:D756,$B$4:B756,B756,$C$4:C756,"Purch")-SUMIFS($D$4:D756,$B$4:B756,B756,$C$4:C756,"Sale"),0)</f>
        <v>0</v>
      </c>
    </row>
    <row r="757" spans="1:14" x14ac:dyDescent="0.2">
      <c r="A757" s="152"/>
      <c r="B757" s="132"/>
      <c r="C757" s="132"/>
      <c r="D757" s="277"/>
      <c r="E757" s="132"/>
      <c r="F757" s="170"/>
      <c r="G757" s="150"/>
      <c r="H757" s="152"/>
      <c r="I757" s="204"/>
      <c r="J757" s="285"/>
      <c r="K757" s="251"/>
      <c r="L757" s="133" t="str">
        <f>IF(AND(I757&lt;&gt;"",ISERROR(IF(ISERROR(VLOOKUP(I757*1,Summary!$C$8:$C$153,1,0)),VLOOKUP(I757,Summary!$C$8:$C$153,1,0),VLOOKUP(I757*1,Summary!$C$8:$C$153,1,0)))),"Add account Number to Summary","")</f>
        <v/>
      </c>
      <c r="M757" s="131" t="str">
        <f t="shared" si="12"/>
        <v/>
      </c>
      <c r="N757" s="287">
        <f>IF(C757="Sale",SUMIFS($D$4:D757,$B$4:B757,B757,$C$4:C757,"")+SUMIFS($D$4:D757,$B$4:B757,B757,$C$4:C757,"Purch")-SUMIFS($D$4:D757,$B$4:B757,B757,$C$4:C757,"Sale"),0)</f>
        <v>0</v>
      </c>
    </row>
    <row r="758" spans="1:14" x14ac:dyDescent="0.2">
      <c r="A758" s="152"/>
      <c r="B758" s="132"/>
      <c r="C758" s="132"/>
      <c r="D758" s="277"/>
      <c r="E758" s="132"/>
      <c r="F758" s="170"/>
      <c r="G758" s="150"/>
      <c r="H758" s="152"/>
      <c r="I758" s="204"/>
      <c r="J758" s="285"/>
      <c r="K758" s="251"/>
      <c r="L758" s="133" t="str">
        <f>IF(AND(I758&lt;&gt;"",ISERROR(IF(ISERROR(VLOOKUP(I758*1,Summary!$C$8:$C$153,1,0)),VLOOKUP(I758,Summary!$C$8:$C$153,1,0),VLOOKUP(I758*1,Summary!$C$8:$C$153,1,0)))),"Add account Number to Summary","")</f>
        <v/>
      </c>
      <c r="M758" s="131" t="str">
        <f t="shared" si="12"/>
        <v/>
      </c>
      <c r="N758" s="287">
        <f>IF(C758="Sale",SUMIFS($D$4:D758,$B$4:B758,B758,$C$4:C758,"")+SUMIFS($D$4:D758,$B$4:B758,B758,$C$4:C758,"Purch")-SUMIFS($D$4:D758,$B$4:B758,B758,$C$4:C758,"Sale"),0)</f>
        <v>0</v>
      </c>
    </row>
    <row r="759" spans="1:14" x14ac:dyDescent="0.2">
      <c r="A759" s="152"/>
      <c r="B759" s="132"/>
      <c r="C759" s="132"/>
      <c r="D759" s="277"/>
      <c r="E759" s="132"/>
      <c r="F759" s="170"/>
      <c r="G759" s="150"/>
      <c r="H759" s="152"/>
      <c r="I759" s="204"/>
      <c r="J759" s="285"/>
      <c r="K759" s="251"/>
      <c r="L759" s="133" t="str">
        <f>IF(AND(I759&lt;&gt;"",ISERROR(IF(ISERROR(VLOOKUP(I759*1,Summary!$C$8:$C$153,1,0)),VLOOKUP(I759,Summary!$C$8:$C$153,1,0),VLOOKUP(I759*1,Summary!$C$8:$C$153,1,0)))),"Add account Number to Summary","")</f>
        <v/>
      </c>
      <c r="M759" s="131" t="str">
        <f t="shared" si="12"/>
        <v/>
      </c>
      <c r="N759" s="287">
        <f>IF(C759="Sale",SUMIFS($D$4:D759,$B$4:B759,B759,$C$4:C759,"")+SUMIFS($D$4:D759,$B$4:B759,B759,$C$4:C759,"Purch")-SUMIFS($D$4:D759,$B$4:B759,B759,$C$4:C759,"Sale"),0)</f>
        <v>0</v>
      </c>
    </row>
    <row r="760" spans="1:14" x14ac:dyDescent="0.2">
      <c r="A760" s="152"/>
      <c r="B760" s="132"/>
      <c r="C760" s="132"/>
      <c r="D760" s="277"/>
      <c r="E760" s="132"/>
      <c r="F760" s="170"/>
      <c r="G760" s="150"/>
      <c r="H760" s="152"/>
      <c r="I760" s="204"/>
      <c r="J760" s="285"/>
      <c r="K760" s="251"/>
      <c r="L760" s="133" t="str">
        <f>IF(AND(I760&lt;&gt;"",ISERROR(IF(ISERROR(VLOOKUP(I760*1,Summary!$C$8:$C$153,1,0)),VLOOKUP(I760,Summary!$C$8:$C$153,1,0),VLOOKUP(I760*1,Summary!$C$8:$C$153,1,0)))),"Add account Number to Summary","")</f>
        <v/>
      </c>
      <c r="M760" s="131" t="str">
        <f t="shared" si="12"/>
        <v/>
      </c>
      <c r="N760" s="287">
        <f>IF(C760="Sale",SUMIFS($D$4:D760,$B$4:B760,B760,$C$4:C760,"")+SUMIFS($D$4:D760,$B$4:B760,B760,$C$4:C760,"Purch")-SUMIFS($D$4:D760,$B$4:B760,B760,$C$4:C760,"Sale"),0)</f>
        <v>0</v>
      </c>
    </row>
    <row r="761" spans="1:14" x14ac:dyDescent="0.2">
      <c r="A761" s="152"/>
      <c r="B761" s="132"/>
      <c r="C761" s="132"/>
      <c r="D761" s="277"/>
      <c r="E761" s="132"/>
      <c r="F761" s="170"/>
      <c r="G761" s="150"/>
      <c r="H761" s="152"/>
      <c r="I761" s="204"/>
      <c r="J761" s="285"/>
      <c r="K761" s="251"/>
      <c r="L761" s="133" t="str">
        <f>IF(AND(I761&lt;&gt;"",ISERROR(IF(ISERROR(VLOOKUP(I761*1,Summary!$C$8:$C$153,1,0)),VLOOKUP(I761,Summary!$C$8:$C$153,1,0),VLOOKUP(I761*1,Summary!$C$8:$C$153,1,0)))),"Add account Number to Summary","")</f>
        <v/>
      </c>
      <c r="M761" s="131" t="str">
        <f t="shared" si="12"/>
        <v/>
      </c>
      <c r="N761" s="287">
        <f>IF(C761="Sale",SUMIFS($D$4:D761,$B$4:B761,B761,$C$4:C761,"")+SUMIFS($D$4:D761,$B$4:B761,B761,$C$4:C761,"Purch")-SUMIFS($D$4:D761,$B$4:B761,B761,$C$4:C761,"Sale"),0)</f>
        <v>0</v>
      </c>
    </row>
    <row r="762" spans="1:14" x14ac:dyDescent="0.2">
      <c r="A762" s="152"/>
      <c r="B762" s="132"/>
      <c r="C762" s="132"/>
      <c r="D762" s="277"/>
      <c r="E762" s="132"/>
      <c r="F762" s="170"/>
      <c r="G762" s="150"/>
      <c r="H762" s="152"/>
      <c r="I762" s="204"/>
      <c r="J762" s="285"/>
      <c r="K762" s="251"/>
      <c r="L762" s="133" t="str">
        <f>IF(AND(I762&lt;&gt;"",ISERROR(IF(ISERROR(VLOOKUP(I762*1,Summary!$C$8:$C$153,1,0)),VLOOKUP(I762,Summary!$C$8:$C$153,1,0),VLOOKUP(I762*1,Summary!$C$8:$C$153,1,0)))),"Add account Number to Summary","")</f>
        <v/>
      </c>
      <c r="M762" s="131" t="str">
        <f t="shared" si="12"/>
        <v/>
      </c>
      <c r="N762" s="287">
        <f>IF(C762="Sale",SUMIFS($D$4:D762,$B$4:B762,B762,$C$4:C762,"")+SUMIFS($D$4:D762,$B$4:B762,B762,$C$4:C762,"Purch")-SUMIFS($D$4:D762,$B$4:B762,B762,$C$4:C762,"Sale"),0)</f>
        <v>0</v>
      </c>
    </row>
    <row r="763" spans="1:14" x14ac:dyDescent="0.2">
      <c r="A763" s="152"/>
      <c r="B763" s="132"/>
      <c r="C763" s="132"/>
      <c r="D763" s="277"/>
      <c r="E763" s="132"/>
      <c r="F763" s="170"/>
      <c r="G763" s="150"/>
      <c r="H763" s="152"/>
      <c r="I763" s="204"/>
      <c r="J763" s="285"/>
      <c r="K763" s="251"/>
      <c r="L763" s="133" t="str">
        <f>IF(AND(I763&lt;&gt;"",ISERROR(IF(ISERROR(VLOOKUP(I763*1,Summary!$C$8:$C$153,1,0)),VLOOKUP(I763,Summary!$C$8:$C$153,1,0),VLOOKUP(I763*1,Summary!$C$8:$C$153,1,0)))),"Add account Number to Summary","")</f>
        <v/>
      </c>
      <c r="M763" s="131" t="str">
        <f t="shared" si="12"/>
        <v/>
      </c>
      <c r="N763" s="287">
        <f>IF(C763="Sale",SUMIFS($D$4:D763,$B$4:B763,B763,$C$4:C763,"")+SUMIFS($D$4:D763,$B$4:B763,B763,$C$4:C763,"Purch")-SUMIFS($D$4:D763,$B$4:B763,B763,$C$4:C763,"Sale"),0)</f>
        <v>0</v>
      </c>
    </row>
    <row r="764" spans="1:14" x14ac:dyDescent="0.2">
      <c r="A764" s="152"/>
      <c r="B764" s="132"/>
      <c r="C764" s="132"/>
      <c r="D764" s="277"/>
      <c r="E764" s="132"/>
      <c r="F764" s="170"/>
      <c r="G764" s="150"/>
      <c r="H764" s="152"/>
      <c r="I764" s="204"/>
      <c r="J764" s="285"/>
      <c r="K764" s="251"/>
      <c r="L764" s="133" t="str">
        <f>IF(AND(I764&lt;&gt;"",ISERROR(IF(ISERROR(VLOOKUP(I764*1,Summary!$C$8:$C$153,1,0)),VLOOKUP(I764,Summary!$C$8:$C$153,1,0),VLOOKUP(I764*1,Summary!$C$8:$C$153,1,0)))),"Add account Number to Summary","")</f>
        <v/>
      </c>
      <c r="M764" s="131" t="str">
        <f t="shared" si="12"/>
        <v/>
      </c>
      <c r="N764" s="287">
        <f>IF(C764="Sale",SUMIFS($D$4:D764,$B$4:B764,B764,$C$4:C764,"")+SUMIFS($D$4:D764,$B$4:B764,B764,$C$4:C764,"Purch")-SUMIFS($D$4:D764,$B$4:B764,B764,$C$4:C764,"Sale"),0)</f>
        <v>0</v>
      </c>
    </row>
    <row r="765" spans="1:14" x14ac:dyDescent="0.2">
      <c r="A765" s="152"/>
      <c r="B765" s="132"/>
      <c r="C765" s="132"/>
      <c r="D765" s="277"/>
      <c r="E765" s="132"/>
      <c r="F765" s="170"/>
      <c r="G765" s="150"/>
      <c r="H765" s="152"/>
      <c r="I765" s="204"/>
      <c r="J765" s="285"/>
      <c r="K765" s="251"/>
      <c r="L765" s="133" t="str">
        <f>IF(AND(I765&lt;&gt;"",ISERROR(IF(ISERROR(VLOOKUP(I765*1,Summary!$C$8:$C$153,1,0)),VLOOKUP(I765,Summary!$C$8:$C$153,1,0),VLOOKUP(I765*1,Summary!$C$8:$C$153,1,0)))),"Add account Number to Summary","")</f>
        <v/>
      </c>
      <c r="M765" s="131" t="str">
        <f t="shared" si="12"/>
        <v/>
      </c>
      <c r="N765" s="287">
        <f>IF(C765="Sale",SUMIFS($D$4:D765,$B$4:B765,B765,$C$4:C765,"")+SUMIFS($D$4:D765,$B$4:B765,B765,$C$4:C765,"Purch")-SUMIFS($D$4:D765,$B$4:B765,B765,$C$4:C765,"Sale"),0)</f>
        <v>0</v>
      </c>
    </row>
    <row r="766" spans="1:14" x14ac:dyDescent="0.2">
      <c r="A766" s="152"/>
      <c r="B766" s="132"/>
      <c r="C766" s="132"/>
      <c r="D766" s="277"/>
      <c r="E766" s="132"/>
      <c r="F766" s="170"/>
      <c r="G766" s="150"/>
      <c r="H766" s="152"/>
      <c r="I766" s="204"/>
      <c r="J766" s="285"/>
      <c r="K766" s="251"/>
      <c r="L766" s="133" t="str">
        <f>IF(AND(I766&lt;&gt;"",ISERROR(IF(ISERROR(VLOOKUP(I766*1,Summary!$C$8:$C$153,1,0)),VLOOKUP(I766,Summary!$C$8:$C$153,1,0),VLOOKUP(I766*1,Summary!$C$8:$C$153,1,0)))),"Add account Number to Summary","")</f>
        <v/>
      </c>
      <c r="M766" s="131" t="str">
        <f t="shared" si="12"/>
        <v/>
      </c>
      <c r="N766" s="287">
        <f>IF(C766="Sale",SUMIFS($D$4:D766,$B$4:B766,B766,$C$4:C766,"")+SUMIFS($D$4:D766,$B$4:B766,B766,$C$4:C766,"Purch")-SUMIFS($D$4:D766,$B$4:B766,B766,$C$4:C766,"Sale"),0)</f>
        <v>0</v>
      </c>
    </row>
    <row r="767" spans="1:14" x14ac:dyDescent="0.2">
      <c r="A767" s="152"/>
      <c r="B767" s="132"/>
      <c r="C767" s="132"/>
      <c r="D767" s="277"/>
      <c r="E767" s="132"/>
      <c r="F767" s="170"/>
      <c r="G767" s="150"/>
      <c r="H767" s="152"/>
      <c r="I767" s="204"/>
      <c r="J767" s="285"/>
      <c r="K767" s="251"/>
      <c r="L767" s="133" t="str">
        <f>IF(AND(I767&lt;&gt;"",ISERROR(IF(ISERROR(VLOOKUP(I767*1,Summary!$C$8:$C$153,1,0)),VLOOKUP(I767,Summary!$C$8:$C$153,1,0),VLOOKUP(I767*1,Summary!$C$8:$C$153,1,0)))),"Add account Number to Summary","")</f>
        <v/>
      </c>
      <c r="M767" s="131" t="str">
        <f t="shared" si="12"/>
        <v/>
      </c>
      <c r="N767" s="287">
        <f>IF(C767="Sale",SUMIFS($D$4:D767,$B$4:B767,B767,$C$4:C767,"")+SUMIFS($D$4:D767,$B$4:B767,B767,$C$4:C767,"Purch")-SUMIFS($D$4:D767,$B$4:B767,B767,$C$4:C767,"Sale"),0)</f>
        <v>0</v>
      </c>
    </row>
    <row r="768" spans="1:14" x14ac:dyDescent="0.2">
      <c r="A768" s="152"/>
      <c r="B768" s="132"/>
      <c r="C768" s="132"/>
      <c r="D768" s="277"/>
      <c r="E768" s="132"/>
      <c r="F768" s="170"/>
      <c r="G768" s="150"/>
      <c r="H768" s="152"/>
      <c r="I768" s="204"/>
      <c r="J768" s="285"/>
      <c r="K768" s="251"/>
      <c r="L768" s="133" t="str">
        <f>IF(AND(I768&lt;&gt;"",ISERROR(IF(ISERROR(VLOOKUP(I768*1,Summary!$C$8:$C$153,1,0)),VLOOKUP(I768,Summary!$C$8:$C$153,1,0),VLOOKUP(I768*1,Summary!$C$8:$C$153,1,0)))),"Add account Number to Summary","")</f>
        <v/>
      </c>
      <c r="M768" s="131" t="str">
        <f t="shared" si="12"/>
        <v/>
      </c>
      <c r="N768" s="287">
        <f>IF(C768="Sale",SUMIFS($D$4:D768,$B$4:B768,B768,$C$4:C768,"")+SUMIFS($D$4:D768,$B$4:B768,B768,$C$4:C768,"Purch")-SUMIFS($D$4:D768,$B$4:B768,B768,$C$4:C768,"Sale"),0)</f>
        <v>0</v>
      </c>
    </row>
    <row r="769" spans="1:14" x14ac:dyDescent="0.2">
      <c r="A769" s="152"/>
      <c r="B769" s="132"/>
      <c r="C769" s="132"/>
      <c r="D769" s="277"/>
      <c r="E769" s="132"/>
      <c r="F769" s="170"/>
      <c r="G769" s="150"/>
      <c r="H769" s="152"/>
      <c r="I769" s="204"/>
      <c r="J769" s="285"/>
      <c r="K769" s="251"/>
      <c r="L769" s="133" t="str">
        <f>IF(AND(I769&lt;&gt;"",ISERROR(IF(ISERROR(VLOOKUP(I769*1,Summary!$C$8:$C$153,1,0)),VLOOKUP(I769,Summary!$C$8:$C$153,1,0),VLOOKUP(I769*1,Summary!$C$8:$C$153,1,0)))),"Add account Number to Summary","")</f>
        <v/>
      </c>
      <c r="M769" s="131" t="str">
        <f t="shared" si="12"/>
        <v/>
      </c>
      <c r="N769" s="287">
        <f>IF(C769="Sale",SUMIFS($D$4:D769,$B$4:B769,B769,$C$4:C769,"")+SUMIFS($D$4:D769,$B$4:B769,B769,$C$4:C769,"Purch")-SUMIFS($D$4:D769,$B$4:B769,B769,$C$4:C769,"Sale"),0)</f>
        <v>0</v>
      </c>
    </row>
    <row r="770" spans="1:14" x14ac:dyDescent="0.2">
      <c r="A770" s="152"/>
      <c r="B770" s="132"/>
      <c r="C770" s="132"/>
      <c r="D770" s="277"/>
      <c r="E770" s="132"/>
      <c r="F770" s="170"/>
      <c r="G770" s="150"/>
      <c r="H770" s="152"/>
      <c r="I770" s="204"/>
      <c r="J770" s="285"/>
      <c r="K770" s="251"/>
      <c r="L770" s="133" t="str">
        <f>IF(AND(I770&lt;&gt;"",ISERROR(IF(ISERROR(VLOOKUP(I770*1,Summary!$C$8:$C$153,1,0)),VLOOKUP(I770,Summary!$C$8:$C$153,1,0),VLOOKUP(I770*1,Summary!$C$8:$C$153,1,0)))),"Add account Number to Summary","")</f>
        <v/>
      </c>
      <c r="M770" s="131" t="str">
        <f t="shared" si="12"/>
        <v/>
      </c>
      <c r="N770" s="287">
        <f>IF(C770="Sale",SUMIFS($D$4:D770,$B$4:B770,B770,$C$4:C770,"")+SUMIFS($D$4:D770,$B$4:B770,B770,$C$4:C770,"Purch")-SUMIFS($D$4:D770,$B$4:B770,B770,$C$4:C770,"Sale"),0)</f>
        <v>0</v>
      </c>
    </row>
    <row r="771" spans="1:14" x14ac:dyDescent="0.2">
      <c r="A771" s="152"/>
      <c r="B771" s="132"/>
      <c r="C771" s="132"/>
      <c r="D771" s="277"/>
      <c r="E771" s="132"/>
      <c r="F771" s="170"/>
      <c r="G771" s="150"/>
      <c r="H771" s="152"/>
      <c r="I771" s="204"/>
      <c r="J771" s="285"/>
      <c r="K771" s="251"/>
      <c r="L771" s="133" t="str">
        <f>IF(AND(I771&lt;&gt;"",ISERROR(IF(ISERROR(VLOOKUP(I771*1,Summary!$C$8:$C$153,1,0)),VLOOKUP(I771,Summary!$C$8:$C$153,1,0),VLOOKUP(I771*1,Summary!$C$8:$C$153,1,0)))),"Add account Number to Summary","")</f>
        <v/>
      </c>
      <c r="M771" s="131" t="str">
        <f t="shared" si="12"/>
        <v/>
      </c>
      <c r="N771" s="287">
        <f>IF(C771="Sale",SUMIFS($D$4:D771,$B$4:B771,B771,$C$4:C771,"")+SUMIFS($D$4:D771,$B$4:B771,B771,$C$4:C771,"Purch")-SUMIFS($D$4:D771,$B$4:B771,B771,$C$4:C771,"Sale"),0)</f>
        <v>0</v>
      </c>
    </row>
    <row r="772" spans="1:14" x14ac:dyDescent="0.2">
      <c r="A772" s="152"/>
      <c r="B772" s="132"/>
      <c r="C772" s="132"/>
      <c r="D772" s="277"/>
      <c r="E772" s="132"/>
      <c r="F772" s="170"/>
      <c r="G772" s="150"/>
      <c r="H772" s="152"/>
      <c r="I772" s="204"/>
      <c r="J772" s="285"/>
      <c r="K772" s="251"/>
      <c r="L772" s="133" t="str">
        <f>IF(AND(I772&lt;&gt;"",ISERROR(IF(ISERROR(VLOOKUP(I772*1,Summary!$C$8:$C$153,1,0)),VLOOKUP(I772,Summary!$C$8:$C$153,1,0),VLOOKUP(I772*1,Summary!$C$8:$C$153,1,0)))),"Add account Number to Summary","")</f>
        <v/>
      </c>
      <c r="M772" s="131" t="str">
        <f t="shared" si="12"/>
        <v/>
      </c>
      <c r="N772" s="287">
        <f>IF(C772="Sale",SUMIFS($D$4:D772,$B$4:B772,B772,$C$4:C772,"")+SUMIFS($D$4:D772,$B$4:B772,B772,$C$4:C772,"Purch")-SUMIFS($D$4:D772,$B$4:B772,B772,$C$4:C772,"Sale"),0)</f>
        <v>0</v>
      </c>
    </row>
    <row r="773" spans="1:14" x14ac:dyDescent="0.2">
      <c r="A773" s="152"/>
      <c r="B773" s="132"/>
      <c r="C773" s="132"/>
      <c r="D773" s="277"/>
      <c r="E773" s="132"/>
      <c r="F773" s="170"/>
      <c r="G773" s="150"/>
      <c r="H773" s="152"/>
      <c r="I773" s="204"/>
      <c r="J773" s="285"/>
      <c r="K773" s="251"/>
      <c r="L773" s="133" t="str">
        <f>IF(AND(I773&lt;&gt;"",ISERROR(IF(ISERROR(VLOOKUP(I773*1,Summary!$C$8:$C$153,1,0)),VLOOKUP(I773,Summary!$C$8:$C$153,1,0),VLOOKUP(I773*1,Summary!$C$8:$C$153,1,0)))),"Add account Number to Summary","")</f>
        <v/>
      </c>
      <c r="M773" s="131" t="str">
        <f t="shared" si="12"/>
        <v/>
      </c>
      <c r="N773" s="287">
        <f>IF(C773="Sale",SUMIFS($D$4:D773,$B$4:B773,B773,$C$4:C773,"")+SUMIFS($D$4:D773,$B$4:B773,B773,$C$4:C773,"Purch")-SUMIFS($D$4:D773,$B$4:B773,B773,$C$4:C773,"Sale"),0)</f>
        <v>0</v>
      </c>
    </row>
    <row r="774" spans="1:14" x14ac:dyDescent="0.2">
      <c r="A774" s="152"/>
      <c r="B774" s="132"/>
      <c r="C774" s="132"/>
      <c r="D774" s="277"/>
      <c r="E774" s="132"/>
      <c r="F774" s="170"/>
      <c r="G774" s="150"/>
      <c r="H774" s="152"/>
      <c r="I774" s="204"/>
      <c r="J774" s="285"/>
      <c r="K774" s="251"/>
      <c r="L774" s="133" t="str">
        <f>IF(AND(I774&lt;&gt;"",ISERROR(IF(ISERROR(VLOOKUP(I774*1,Summary!$C$8:$C$153,1,0)),VLOOKUP(I774,Summary!$C$8:$C$153,1,0),VLOOKUP(I774*1,Summary!$C$8:$C$153,1,0)))),"Add account Number to Summary","")</f>
        <v/>
      </c>
      <c r="M774" s="131" t="str">
        <f t="shared" si="12"/>
        <v/>
      </c>
      <c r="N774" s="287">
        <f>IF(C774="Sale",SUMIFS($D$4:D774,$B$4:B774,B774,$C$4:C774,"")+SUMIFS($D$4:D774,$B$4:B774,B774,$C$4:C774,"Purch")-SUMIFS($D$4:D774,$B$4:B774,B774,$C$4:C774,"Sale"),0)</f>
        <v>0</v>
      </c>
    </row>
    <row r="775" spans="1:14" x14ac:dyDescent="0.2">
      <c r="A775" s="152"/>
      <c r="B775" s="132"/>
      <c r="C775" s="132"/>
      <c r="D775" s="277"/>
      <c r="E775" s="132"/>
      <c r="F775" s="170"/>
      <c r="G775" s="150"/>
      <c r="H775" s="152"/>
      <c r="I775" s="204"/>
      <c r="J775" s="285"/>
      <c r="K775" s="251"/>
      <c r="L775" s="133" t="str">
        <f>IF(AND(I775&lt;&gt;"",ISERROR(IF(ISERROR(VLOOKUP(I775*1,Summary!$C$8:$C$153,1,0)),VLOOKUP(I775,Summary!$C$8:$C$153,1,0),VLOOKUP(I775*1,Summary!$C$8:$C$153,1,0)))),"Add account Number to Summary","")</f>
        <v/>
      </c>
      <c r="M775" s="131" t="str">
        <f t="shared" si="12"/>
        <v/>
      </c>
      <c r="N775" s="287">
        <f>IF(C775="Sale",SUMIFS($D$4:D775,$B$4:B775,B775,$C$4:C775,"")+SUMIFS($D$4:D775,$B$4:B775,B775,$C$4:C775,"Purch")-SUMIFS($D$4:D775,$B$4:B775,B775,$C$4:C775,"Sale"),0)</f>
        <v>0</v>
      </c>
    </row>
    <row r="776" spans="1:14" x14ac:dyDescent="0.2">
      <c r="A776" s="152"/>
      <c r="B776" s="132"/>
      <c r="C776" s="132"/>
      <c r="D776" s="277"/>
      <c r="E776" s="132"/>
      <c r="F776" s="170"/>
      <c r="G776" s="150"/>
      <c r="H776" s="152"/>
      <c r="I776" s="204"/>
      <c r="J776" s="285"/>
      <c r="K776" s="251"/>
      <c r="L776" s="133" t="str">
        <f>IF(AND(I776&lt;&gt;"",ISERROR(IF(ISERROR(VLOOKUP(I776*1,Summary!$C$8:$C$153,1,0)),VLOOKUP(I776,Summary!$C$8:$C$153,1,0),VLOOKUP(I776*1,Summary!$C$8:$C$153,1,0)))),"Add account Number to Summary","")</f>
        <v/>
      </c>
      <c r="M776" s="131" t="str">
        <f t="shared" si="12"/>
        <v/>
      </c>
      <c r="N776" s="287">
        <f>IF(C776="Sale",SUMIFS($D$4:D776,$B$4:B776,B776,$C$4:C776,"")+SUMIFS($D$4:D776,$B$4:B776,B776,$C$4:C776,"Purch")-SUMIFS($D$4:D776,$B$4:B776,B776,$C$4:C776,"Sale"),0)</f>
        <v>0</v>
      </c>
    </row>
    <row r="777" spans="1:14" x14ac:dyDescent="0.2">
      <c r="A777" s="152"/>
      <c r="B777" s="132"/>
      <c r="C777" s="132"/>
      <c r="D777" s="277"/>
      <c r="E777" s="132"/>
      <c r="F777" s="170"/>
      <c r="G777" s="150"/>
      <c r="H777" s="152"/>
      <c r="I777" s="204"/>
      <c r="J777" s="285"/>
      <c r="K777" s="251"/>
      <c r="L777" s="133" t="str">
        <f>IF(AND(I777&lt;&gt;"",ISERROR(IF(ISERROR(VLOOKUP(I777*1,Summary!$C$8:$C$153,1,0)),VLOOKUP(I777,Summary!$C$8:$C$153,1,0),VLOOKUP(I777*1,Summary!$C$8:$C$153,1,0)))),"Add account Number to Summary","")</f>
        <v/>
      </c>
      <c r="M777" s="131" t="str">
        <f t="shared" si="12"/>
        <v/>
      </c>
      <c r="N777" s="287">
        <f>IF(C777="Sale",SUMIFS($D$4:D777,$B$4:B777,B777,$C$4:C777,"")+SUMIFS($D$4:D777,$B$4:B777,B777,$C$4:C777,"Purch")-SUMIFS($D$4:D777,$B$4:B777,B777,$C$4:C777,"Sale"),0)</f>
        <v>0</v>
      </c>
    </row>
    <row r="778" spans="1:14" x14ac:dyDescent="0.2">
      <c r="A778" s="152"/>
      <c r="B778" s="132"/>
      <c r="C778" s="132"/>
      <c r="D778" s="277"/>
      <c r="E778" s="132"/>
      <c r="F778" s="170"/>
      <c r="G778" s="150"/>
      <c r="H778" s="152"/>
      <c r="I778" s="204"/>
      <c r="J778" s="285"/>
      <c r="K778" s="251"/>
      <c r="L778" s="133" t="str">
        <f>IF(AND(I778&lt;&gt;"",ISERROR(IF(ISERROR(VLOOKUP(I778*1,Summary!$C$8:$C$153,1,0)),VLOOKUP(I778,Summary!$C$8:$C$153,1,0),VLOOKUP(I778*1,Summary!$C$8:$C$153,1,0)))),"Add account Number to Summary","")</f>
        <v/>
      </c>
      <c r="M778" s="131" t="str">
        <f t="shared" si="12"/>
        <v/>
      </c>
      <c r="N778" s="287">
        <f>IF(C778="Sale",SUMIFS($D$4:D778,$B$4:B778,B778,$C$4:C778,"")+SUMIFS($D$4:D778,$B$4:B778,B778,$C$4:C778,"Purch")-SUMIFS($D$4:D778,$B$4:B778,B778,$C$4:C778,"Sale"),0)</f>
        <v>0</v>
      </c>
    </row>
    <row r="779" spans="1:14" x14ac:dyDescent="0.2">
      <c r="A779" s="152"/>
      <c r="B779" s="132"/>
      <c r="C779" s="132"/>
      <c r="D779" s="277"/>
      <c r="E779" s="132"/>
      <c r="F779" s="170"/>
      <c r="G779" s="150"/>
      <c r="H779" s="152"/>
      <c r="I779" s="204"/>
      <c r="J779" s="285"/>
      <c r="K779" s="251"/>
      <c r="L779" s="133" t="str">
        <f>IF(AND(I779&lt;&gt;"",ISERROR(IF(ISERROR(VLOOKUP(I779*1,Summary!$C$8:$C$153,1,0)),VLOOKUP(I779,Summary!$C$8:$C$153,1,0),VLOOKUP(I779*1,Summary!$C$8:$C$153,1,0)))),"Add account Number to Summary","")</f>
        <v/>
      </c>
      <c r="M779" s="131" t="str">
        <f t="shared" si="12"/>
        <v/>
      </c>
      <c r="N779" s="287">
        <f>IF(C779="Sale",SUMIFS($D$4:D779,$B$4:B779,B779,$C$4:C779,"")+SUMIFS($D$4:D779,$B$4:B779,B779,$C$4:C779,"Purch")-SUMIFS($D$4:D779,$B$4:B779,B779,$C$4:C779,"Sale"),0)</f>
        <v>0</v>
      </c>
    </row>
    <row r="780" spans="1:14" x14ac:dyDescent="0.2">
      <c r="A780" s="152"/>
      <c r="B780" s="132"/>
      <c r="C780" s="132"/>
      <c r="D780" s="277"/>
      <c r="E780" s="132"/>
      <c r="F780" s="170"/>
      <c r="G780" s="150"/>
      <c r="H780" s="152"/>
      <c r="I780" s="204"/>
      <c r="J780" s="285"/>
      <c r="K780" s="251"/>
      <c r="L780" s="133" t="str">
        <f>IF(AND(I780&lt;&gt;"",ISERROR(IF(ISERROR(VLOOKUP(I780*1,Summary!$C$8:$C$153,1,0)),VLOOKUP(I780,Summary!$C$8:$C$153,1,0),VLOOKUP(I780*1,Summary!$C$8:$C$153,1,0)))),"Add account Number to Summary","")</f>
        <v/>
      </c>
      <c r="M780" s="131" t="str">
        <f t="shared" si="12"/>
        <v/>
      </c>
      <c r="N780" s="287">
        <f>IF(C780="Sale",SUMIFS($D$4:D780,$B$4:B780,B780,$C$4:C780,"")+SUMIFS($D$4:D780,$B$4:B780,B780,$C$4:C780,"Purch")-SUMIFS($D$4:D780,$B$4:B780,B780,$C$4:C780,"Sale"),0)</f>
        <v>0</v>
      </c>
    </row>
    <row r="781" spans="1:14" x14ac:dyDescent="0.2">
      <c r="A781" s="152"/>
      <c r="B781" s="132"/>
      <c r="C781" s="132"/>
      <c r="D781" s="277"/>
      <c r="E781" s="132"/>
      <c r="F781" s="170"/>
      <c r="G781" s="150"/>
      <c r="H781" s="152"/>
      <c r="I781" s="204"/>
      <c r="J781" s="285"/>
      <c r="K781" s="251"/>
      <c r="L781" s="133" t="str">
        <f>IF(AND(I781&lt;&gt;"",ISERROR(IF(ISERROR(VLOOKUP(I781*1,Summary!$C$8:$C$153,1,0)),VLOOKUP(I781,Summary!$C$8:$C$153,1,0),VLOOKUP(I781*1,Summary!$C$8:$C$153,1,0)))),"Add account Number to Summary","")</f>
        <v/>
      </c>
      <c r="M781" s="131" t="str">
        <f t="shared" si="12"/>
        <v/>
      </c>
      <c r="N781" s="287">
        <f>IF(C781="Sale",SUMIFS($D$4:D781,$B$4:B781,B781,$C$4:C781,"")+SUMIFS($D$4:D781,$B$4:B781,B781,$C$4:C781,"Purch")-SUMIFS($D$4:D781,$B$4:B781,B781,$C$4:C781,"Sale"),0)</f>
        <v>0</v>
      </c>
    </row>
    <row r="782" spans="1:14" x14ac:dyDescent="0.2">
      <c r="A782" s="152"/>
      <c r="B782" s="132"/>
      <c r="C782" s="132"/>
      <c r="D782" s="277"/>
      <c r="E782" s="132"/>
      <c r="F782" s="170"/>
      <c r="G782" s="150"/>
      <c r="H782" s="152"/>
      <c r="I782" s="204"/>
      <c r="J782" s="285"/>
      <c r="K782" s="251"/>
      <c r="L782" s="133" t="str">
        <f>IF(AND(I782&lt;&gt;"",ISERROR(IF(ISERROR(VLOOKUP(I782*1,Summary!$C$8:$C$153,1,0)),VLOOKUP(I782,Summary!$C$8:$C$153,1,0),VLOOKUP(I782*1,Summary!$C$8:$C$153,1,0)))),"Add account Number to Summary","")</f>
        <v/>
      </c>
      <c r="M782" s="131" t="str">
        <f t="shared" si="12"/>
        <v/>
      </c>
      <c r="N782" s="287">
        <f>IF(C782="Sale",SUMIFS($D$4:D782,$B$4:B782,B782,$C$4:C782,"")+SUMIFS($D$4:D782,$B$4:B782,B782,$C$4:C782,"Purch")-SUMIFS($D$4:D782,$B$4:B782,B782,$C$4:C782,"Sale"),0)</f>
        <v>0</v>
      </c>
    </row>
    <row r="783" spans="1:14" x14ac:dyDescent="0.2">
      <c r="A783" s="152"/>
      <c r="B783" s="132"/>
      <c r="C783" s="132"/>
      <c r="D783" s="277"/>
      <c r="E783" s="132"/>
      <c r="F783" s="170"/>
      <c r="G783" s="150"/>
      <c r="H783" s="152"/>
      <c r="I783" s="204"/>
      <c r="J783" s="285"/>
      <c r="K783" s="251"/>
      <c r="L783" s="133" t="str">
        <f>IF(AND(I783&lt;&gt;"",ISERROR(IF(ISERROR(VLOOKUP(I783*1,Summary!$C$8:$C$153,1,0)),VLOOKUP(I783,Summary!$C$8:$C$153,1,0),VLOOKUP(I783*1,Summary!$C$8:$C$153,1,0)))),"Add account Number to Summary","")</f>
        <v/>
      </c>
      <c r="M783" s="131" t="str">
        <f t="shared" si="12"/>
        <v/>
      </c>
      <c r="N783" s="287">
        <f>IF(C783="Sale",SUMIFS($D$4:D783,$B$4:B783,B783,$C$4:C783,"")+SUMIFS($D$4:D783,$B$4:B783,B783,$C$4:C783,"Purch")-SUMIFS($D$4:D783,$B$4:B783,B783,$C$4:C783,"Sale"),0)</f>
        <v>0</v>
      </c>
    </row>
    <row r="784" spans="1:14" x14ac:dyDescent="0.2">
      <c r="A784" s="152"/>
      <c r="B784" s="132"/>
      <c r="C784" s="132"/>
      <c r="D784" s="277"/>
      <c r="E784" s="132"/>
      <c r="F784" s="170"/>
      <c r="G784" s="150"/>
      <c r="H784" s="152"/>
      <c r="I784" s="204"/>
      <c r="J784" s="285"/>
      <c r="K784" s="251"/>
      <c r="L784" s="133" t="str">
        <f>IF(AND(I784&lt;&gt;"",ISERROR(IF(ISERROR(VLOOKUP(I784*1,Summary!$C$8:$C$153,1,0)),VLOOKUP(I784,Summary!$C$8:$C$153,1,0),VLOOKUP(I784*1,Summary!$C$8:$C$153,1,0)))),"Add account Number to Summary","")</f>
        <v/>
      </c>
      <c r="M784" s="131" t="str">
        <f t="shared" si="12"/>
        <v/>
      </c>
      <c r="N784" s="287">
        <f>IF(C784="Sale",SUMIFS($D$4:D784,$B$4:B784,B784,$C$4:C784,"")+SUMIFS($D$4:D784,$B$4:B784,B784,$C$4:C784,"Purch")-SUMIFS($D$4:D784,$B$4:B784,B784,$C$4:C784,"Sale"),0)</f>
        <v>0</v>
      </c>
    </row>
    <row r="785" spans="1:14" x14ac:dyDescent="0.2">
      <c r="A785" s="152"/>
      <c r="B785" s="132"/>
      <c r="C785" s="132"/>
      <c r="D785" s="277"/>
      <c r="E785" s="132"/>
      <c r="F785" s="170"/>
      <c r="G785" s="150"/>
      <c r="H785" s="152"/>
      <c r="I785" s="204"/>
      <c r="J785" s="285"/>
      <c r="K785" s="251"/>
      <c r="L785" s="133" t="str">
        <f>IF(AND(I785&lt;&gt;"",ISERROR(IF(ISERROR(VLOOKUP(I785*1,Summary!$C$8:$C$153,1,0)),VLOOKUP(I785,Summary!$C$8:$C$153,1,0),VLOOKUP(I785*1,Summary!$C$8:$C$153,1,0)))),"Add account Number to Summary","")</f>
        <v/>
      </c>
      <c r="M785" s="131" t="str">
        <f t="shared" si="12"/>
        <v/>
      </c>
      <c r="N785" s="287">
        <f>IF(C785="Sale",SUMIFS($D$4:D785,$B$4:B785,B785,$C$4:C785,"")+SUMIFS($D$4:D785,$B$4:B785,B785,$C$4:C785,"Purch")-SUMIFS($D$4:D785,$B$4:B785,B785,$C$4:C785,"Sale"),0)</f>
        <v>0</v>
      </c>
    </row>
    <row r="786" spans="1:14" x14ac:dyDescent="0.2">
      <c r="A786" s="152"/>
      <c r="B786" s="132"/>
      <c r="C786" s="132"/>
      <c r="D786" s="277"/>
      <c r="E786" s="132"/>
      <c r="F786" s="170"/>
      <c r="G786" s="150"/>
      <c r="H786" s="152"/>
      <c r="I786" s="204"/>
      <c r="J786" s="285"/>
      <c r="K786" s="251"/>
      <c r="L786" s="133" t="str">
        <f>IF(AND(I786&lt;&gt;"",ISERROR(IF(ISERROR(VLOOKUP(I786*1,Summary!$C$8:$C$153,1,0)),VLOOKUP(I786,Summary!$C$8:$C$153,1,0),VLOOKUP(I786*1,Summary!$C$8:$C$153,1,0)))),"Add account Number to Summary","")</f>
        <v/>
      </c>
      <c r="M786" s="131" t="str">
        <f t="shared" si="12"/>
        <v/>
      </c>
      <c r="N786" s="287">
        <f>IF(C786="Sale",SUMIFS($D$4:D786,$B$4:B786,B786,$C$4:C786,"")+SUMIFS($D$4:D786,$B$4:B786,B786,$C$4:C786,"Purch")-SUMIFS($D$4:D786,$B$4:B786,B786,$C$4:C786,"Sale"),0)</f>
        <v>0</v>
      </c>
    </row>
    <row r="787" spans="1:14" x14ac:dyDescent="0.2">
      <c r="A787" s="152"/>
      <c r="B787" s="132"/>
      <c r="C787" s="132"/>
      <c r="D787" s="277"/>
      <c r="E787" s="132"/>
      <c r="F787" s="170"/>
      <c r="G787" s="150"/>
      <c r="H787" s="152"/>
      <c r="I787" s="204"/>
      <c r="J787" s="285"/>
      <c r="K787" s="251"/>
      <c r="L787" s="133" t="str">
        <f>IF(AND(I787&lt;&gt;"",ISERROR(IF(ISERROR(VLOOKUP(I787*1,Summary!$C$8:$C$153,1,0)),VLOOKUP(I787,Summary!$C$8:$C$153,1,0),VLOOKUP(I787*1,Summary!$C$8:$C$153,1,0)))),"Add account Number to Summary","")</f>
        <v/>
      </c>
      <c r="M787" s="131" t="str">
        <f t="shared" si="12"/>
        <v/>
      </c>
      <c r="N787" s="287">
        <f>IF(C787="Sale",SUMIFS($D$4:D787,$B$4:B787,B787,$C$4:C787,"")+SUMIFS($D$4:D787,$B$4:B787,B787,$C$4:C787,"Purch")-SUMIFS($D$4:D787,$B$4:B787,B787,$C$4:C787,"Sale"),0)</f>
        <v>0</v>
      </c>
    </row>
    <row r="788" spans="1:14" x14ac:dyDescent="0.2">
      <c r="A788" s="152"/>
      <c r="B788" s="132"/>
      <c r="C788" s="132"/>
      <c r="D788" s="277"/>
      <c r="E788" s="132"/>
      <c r="F788" s="170"/>
      <c r="G788" s="150"/>
      <c r="H788" s="152"/>
      <c r="I788" s="204"/>
      <c r="J788" s="285"/>
      <c r="K788" s="251"/>
      <c r="L788" s="133" t="str">
        <f>IF(AND(I788&lt;&gt;"",ISERROR(IF(ISERROR(VLOOKUP(I788*1,Summary!$C$8:$C$153,1,0)),VLOOKUP(I788,Summary!$C$8:$C$153,1,0),VLOOKUP(I788*1,Summary!$C$8:$C$153,1,0)))),"Add account Number to Summary","")</f>
        <v/>
      </c>
      <c r="M788" s="131" t="str">
        <f t="shared" si="12"/>
        <v/>
      </c>
      <c r="N788" s="287">
        <f>IF(C788="Sale",SUMIFS($D$4:D788,$B$4:B788,B788,$C$4:C788,"")+SUMIFS($D$4:D788,$B$4:B788,B788,$C$4:C788,"Purch")-SUMIFS($D$4:D788,$B$4:B788,B788,$C$4:C788,"Sale"),0)</f>
        <v>0</v>
      </c>
    </row>
    <row r="789" spans="1:14" x14ac:dyDescent="0.2">
      <c r="A789" s="152"/>
      <c r="B789" s="132"/>
      <c r="C789" s="132"/>
      <c r="D789" s="277"/>
      <c r="E789" s="132"/>
      <c r="F789" s="170"/>
      <c r="G789" s="150"/>
      <c r="H789" s="152"/>
      <c r="I789" s="204"/>
      <c r="J789" s="285"/>
      <c r="K789" s="251"/>
      <c r="L789" s="133" t="str">
        <f>IF(AND(I789&lt;&gt;"",ISERROR(IF(ISERROR(VLOOKUP(I789*1,Summary!$C$8:$C$153,1,0)),VLOOKUP(I789,Summary!$C$8:$C$153,1,0),VLOOKUP(I789*1,Summary!$C$8:$C$153,1,0)))),"Add account Number to Summary","")</f>
        <v/>
      </c>
      <c r="M789" s="131" t="str">
        <f t="shared" si="12"/>
        <v/>
      </c>
      <c r="N789" s="287">
        <f>IF(C789="Sale",SUMIFS($D$4:D789,$B$4:B789,B789,$C$4:C789,"")+SUMIFS($D$4:D789,$B$4:B789,B789,$C$4:C789,"Purch")-SUMIFS($D$4:D789,$B$4:B789,B789,$C$4:C789,"Sale"),0)</f>
        <v>0</v>
      </c>
    </row>
    <row r="790" spans="1:14" x14ac:dyDescent="0.2">
      <c r="A790" s="152"/>
      <c r="B790" s="132"/>
      <c r="C790" s="132"/>
      <c r="D790" s="277"/>
      <c r="E790" s="132"/>
      <c r="F790" s="170"/>
      <c r="G790" s="150"/>
      <c r="H790" s="152"/>
      <c r="I790" s="204"/>
      <c r="J790" s="285"/>
      <c r="K790" s="251"/>
      <c r="L790" s="133" t="str">
        <f>IF(AND(I790&lt;&gt;"",ISERROR(IF(ISERROR(VLOOKUP(I790*1,Summary!$C$8:$C$153,1,0)),VLOOKUP(I790,Summary!$C$8:$C$153,1,0),VLOOKUP(I790*1,Summary!$C$8:$C$153,1,0)))),"Add account Number to Summary","")</f>
        <v/>
      </c>
      <c r="M790" s="131" t="str">
        <f t="shared" si="12"/>
        <v/>
      </c>
      <c r="N790" s="287">
        <f>IF(C790="Sale",SUMIFS($D$4:D790,$B$4:B790,B790,$C$4:C790,"")+SUMIFS($D$4:D790,$B$4:B790,B790,$C$4:C790,"Purch")-SUMIFS($D$4:D790,$B$4:B790,B790,$C$4:C790,"Sale"),0)</f>
        <v>0</v>
      </c>
    </row>
    <row r="791" spans="1:14" x14ac:dyDescent="0.2">
      <c r="A791" s="152"/>
      <c r="B791" s="132"/>
      <c r="C791" s="132"/>
      <c r="D791" s="277"/>
      <c r="E791" s="132"/>
      <c r="F791" s="170"/>
      <c r="G791" s="150"/>
      <c r="H791" s="152"/>
      <c r="I791" s="204"/>
      <c r="J791" s="285"/>
      <c r="K791" s="251"/>
      <c r="L791" s="133" t="str">
        <f>IF(AND(I791&lt;&gt;"",ISERROR(IF(ISERROR(VLOOKUP(I791*1,Summary!$C$8:$C$153,1,0)),VLOOKUP(I791,Summary!$C$8:$C$153,1,0),VLOOKUP(I791*1,Summary!$C$8:$C$153,1,0)))),"Add account Number to Summary","")</f>
        <v/>
      </c>
      <c r="M791" s="131" t="str">
        <f t="shared" si="12"/>
        <v/>
      </c>
      <c r="N791" s="287">
        <f>IF(C791="Sale",SUMIFS($D$4:D791,$B$4:B791,B791,$C$4:C791,"")+SUMIFS($D$4:D791,$B$4:B791,B791,$C$4:C791,"Purch")-SUMIFS($D$4:D791,$B$4:B791,B791,$C$4:C791,"Sale"),0)</f>
        <v>0</v>
      </c>
    </row>
    <row r="792" spans="1:14" x14ac:dyDescent="0.2">
      <c r="A792" s="152"/>
      <c r="B792" s="132"/>
      <c r="C792" s="132"/>
      <c r="D792" s="277"/>
      <c r="E792" s="132"/>
      <c r="F792" s="170"/>
      <c r="G792" s="150"/>
      <c r="H792" s="152"/>
      <c r="I792" s="204"/>
      <c r="J792" s="285"/>
      <c r="K792" s="251"/>
      <c r="L792" s="133" t="str">
        <f>IF(AND(I792&lt;&gt;"",ISERROR(IF(ISERROR(VLOOKUP(I792*1,Summary!$C$8:$C$153,1,0)),VLOOKUP(I792,Summary!$C$8:$C$153,1,0),VLOOKUP(I792*1,Summary!$C$8:$C$153,1,0)))),"Add account Number to Summary","")</f>
        <v/>
      </c>
      <c r="M792" s="131" t="str">
        <f t="shared" si="12"/>
        <v/>
      </c>
      <c r="N792" s="287">
        <f>IF(C792="Sale",SUMIFS($D$4:D792,$B$4:B792,B792,$C$4:C792,"")+SUMIFS($D$4:D792,$B$4:B792,B792,$C$4:C792,"Purch")-SUMIFS($D$4:D792,$B$4:B792,B792,$C$4:C792,"Sale"),0)</f>
        <v>0</v>
      </c>
    </row>
    <row r="793" spans="1:14" x14ac:dyDescent="0.2">
      <c r="A793" s="152"/>
      <c r="B793" s="132"/>
      <c r="C793" s="132"/>
      <c r="D793" s="277"/>
      <c r="E793" s="132"/>
      <c r="F793" s="170"/>
      <c r="G793" s="150"/>
      <c r="H793" s="152"/>
      <c r="I793" s="204"/>
      <c r="J793" s="285"/>
      <c r="K793" s="251"/>
      <c r="L793" s="133" t="str">
        <f>IF(AND(I793&lt;&gt;"",ISERROR(IF(ISERROR(VLOOKUP(I793*1,Summary!$C$8:$C$153,1,0)),VLOOKUP(I793,Summary!$C$8:$C$153,1,0),VLOOKUP(I793*1,Summary!$C$8:$C$153,1,0)))),"Add account Number to Summary","")</f>
        <v/>
      </c>
      <c r="M793" s="131" t="str">
        <f t="shared" si="12"/>
        <v/>
      </c>
      <c r="N793" s="287">
        <f>IF(C793="Sale",SUMIFS($D$4:D793,$B$4:B793,B793,$C$4:C793,"")+SUMIFS($D$4:D793,$B$4:B793,B793,$C$4:C793,"Purch")-SUMIFS($D$4:D793,$B$4:B793,B793,$C$4:C793,"Sale"),0)</f>
        <v>0</v>
      </c>
    </row>
    <row r="794" spans="1:14" x14ac:dyDescent="0.2">
      <c r="A794" s="152"/>
      <c r="B794" s="132"/>
      <c r="C794" s="132"/>
      <c r="D794" s="277"/>
      <c r="E794" s="132"/>
      <c r="F794" s="170"/>
      <c r="G794" s="150"/>
      <c r="H794" s="152"/>
      <c r="I794" s="204"/>
      <c r="J794" s="285"/>
      <c r="K794" s="251"/>
      <c r="L794" s="133" t="str">
        <f>IF(AND(I794&lt;&gt;"",ISERROR(IF(ISERROR(VLOOKUP(I794*1,Summary!$C$8:$C$153,1,0)),VLOOKUP(I794,Summary!$C$8:$C$153,1,0),VLOOKUP(I794*1,Summary!$C$8:$C$153,1,0)))),"Add account Number to Summary","")</f>
        <v/>
      </c>
      <c r="M794" s="131" t="str">
        <f t="shared" si="12"/>
        <v/>
      </c>
      <c r="N794" s="287">
        <f>IF(C794="Sale",SUMIFS($D$4:D794,$B$4:B794,B794,$C$4:C794,"")+SUMIFS($D$4:D794,$B$4:B794,B794,$C$4:C794,"Purch")-SUMIFS($D$4:D794,$B$4:B794,B794,$C$4:C794,"Sale"),0)</f>
        <v>0</v>
      </c>
    </row>
    <row r="795" spans="1:14" x14ac:dyDescent="0.2">
      <c r="A795" s="152"/>
      <c r="B795" s="132"/>
      <c r="C795" s="132"/>
      <c r="D795" s="277"/>
      <c r="E795" s="132"/>
      <c r="F795" s="170"/>
      <c r="G795" s="150"/>
      <c r="H795" s="152"/>
      <c r="I795" s="204"/>
      <c r="J795" s="285"/>
      <c r="K795" s="251"/>
      <c r="L795" s="133" t="str">
        <f>IF(AND(I795&lt;&gt;"",ISERROR(IF(ISERROR(VLOOKUP(I795*1,Summary!$C$8:$C$153,1,0)),VLOOKUP(I795,Summary!$C$8:$C$153,1,0),VLOOKUP(I795*1,Summary!$C$8:$C$153,1,0)))),"Add account Number to Summary","")</f>
        <v/>
      </c>
      <c r="M795" s="131" t="str">
        <f t="shared" si="12"/>
        <v/>
      </c>
      <c r="N795" s="287">
        <f>IF(C795="Sale",SUMIFS($D$4:D795,$B$4:B795,B795,$C$4:C795,"")+SUMIFS($D$4:D795,$B$4:B795,B795,$C$4:C795,"Purch")-SUMIFS($D$4:D795,$B$4:B795,B795,$C$4:C795,"Sale"),0)</f>
        <v>0</v>
      </c>
    </row>
    <row r="796" spans="1:14" x14ac:dyDescent="0.2">
      <c r="A796" s="152"/>
      <c r="B796" s="132"/>
      <c r="C796" s="132"/>
      <c r="D796" s="277"/>
      <c r="E796" s="132"/>
      <c r="F796" s="170"/>
      <c r="G796" s="150"/>
      <c r="H796" s="152"/>
      <c r="I796" s="204"/>
      <c r="J796" s="285"/>
      <c r="K796" s="251"/>
      <c r="L796" s="133" t="str">
        <f>IF(AND(I796&lt;&gt;"",ISERROR(IF(ISERROR(VLOOKUP(I796*1,Summary!$C$8:$C$153,1,0)),VLOOKUP(I796,Summary!$C$8:$C$153,1,0),VLOOKUP(I796*1,Summary!$C$8:$C$153,1,0)))),"Add account Number to Summary","")</f>
        <v/>
      </c>
      <c r="M796" s="131" t="str">
        <f t="shared" si="12"/>
        <v/>
      </c>
      <c r="N796" s="287">
        <f>IF(C796="Sale",SUMIFS($D$4:D796,$B$4:B796,B796,$C$4:C796,"")+SUMIFS($D$4:D796,$B$4:B796,B796,$C$4:C796,"Purch")-SUMIFS($D$4:D796,$B$4:B796,B796,$C$4:C796,"Sale"),0)</f>
        <v>0</v>
      </c>
    </row>
    <row r="797" spans="1:14" x14ac:dyDescent="0.2">
      <c r="A797" s="152"/>
      <c r="B797" s="132"/>
      <c r="C797" s="132"/>
      <c r="D797" s="277"/>
      <c r="E797" s="132"/>
      <c r="F797" s="170"/>
      <c r="G797" s="150"/>
      <c r="H797" s="152"/>
      <c r="I797" s="204"/>
      <c r="J797" s="285"/>
      <c r="K797" s="251"/>
      <c r="L797" s="133" t="str">
        <f>IF(AND(I797&lt;&gt;"",ISERROR(IF(ISERROR(VLOOKUP(I797*1,Summary!$C$8:$C$153,1,0)),VLOOKUP(I797,Summary!$C$8:$C$153,1,0),VLOOKUP(I797*1,Summary!$C$8:$C$153,1,0)))),"Add account Number to Summary","")</f>
        <v/>
      </c>
      <c r="M797" s="131" t="str">
        <f t="shared" si="12"/>
        <v/>
      </c>
      <c r="N797" s="287">
        <f>IF(C797="Sale",SUMIFS($D$4:D797,$B$4:B797,B797,$C$4:C797,"")+SUMIFS($D$4:D797,$B$4:B797,B797,$C$4:C797,"Purch")-SUMIFS($D$4:D797,$B$4:B797,B797,$C$4:C797,"Sale"),0)</f>
        <v>0</v>
      </c>
    </row>
    <row r="798" spans="1:14" x14ac:dyDescent="0.2">
      <c r="A798" s="152"/>
      <c r="B798" s="132"/>
      <c r="C798" s="132"/>
      <c r="D798" s="277"/>
      <c r="E798" s="132"/>
      <c r="F798" s="170"/>
      <c r="G798" s="150"/>
      <c r="H798" s="152"/>
      <c r="I798" s="204"/>
      <c r="J798" s="285"/>
      <c r="K798" s="251"/>
      <c r="L798" s="133" t="str">
        <f>IF(AND(I798&lt;&gt;"",ISERROR(IF(ISERROR(VLOOKUP(I798*1,Summary!$C$8:$C$153,1,0)),VLOOKUP(I798,Summary!$C$8:$C$153,1,0),VLOOKUP(I798*1,Summary!$C$8:$C$153,1,0)))),"Add account Number to Summary","")</f>
        <v/>
      </c>
      <c r="M798" s="131" t="str">
        <f t="shared" si="12"/>
        <v/>
      </c>
      <c r="N798" s="287">
        <f>IF(C798="Sale",SUMIFS($D$4:D798,$B$4:B798,B798,$C$4:C798,"")+SUMIFS($D$4:D798,$B$4:B798,B798,$C$4:C798,"Purch")-SUMIFS($D$4:D798,$B$4:B798,B798,$C$4:C798,"Sale"),0)</f>
        <v>0</v>
      </c>
    </row>
    <row r="799" spans="1:14" x14ac:dyDescent="0.2">
      <c r="A799" s="152"/>
      <c r="B799" s="132"/>
      <c r="C799" s="132"/>
      <c r="D799" s="277"/>
      <c r="E799" s="132"/>
      <c r="F799" s="170"/>
      <c r="G799" s="150"/>
      <c r="H799" s="152"/>
      <c r="I799" s="204"/>
      <c r="J799" s="285"/>
      <c r="K799" s="251"/>
      <c r="L799" s="133" t="str">
        <f>IF(AND(I799&lt;&gt;"",ISERROR(IF(ISERROR(VLOOKUP(I799*1,Summary!$C$8:$C$153,1,0)),VLOOKUP(I799,Summary!$C$8:$C$153,1,0),VLOOKUP(I799*1,Summary!$C$8:$C$153,1,0)))),"Add account Number to Summary","")</f>
        <v/>
      </c>
      <c r="M799" s="131" t="str">
        <f t="shared" si="12"/>
        <v/>
      </c>
      <c r="N799" s="287">
        <f>IF(C799="Sale",SUMIFS($D$4:D799,$B$4:B799,B799,$C$4:C799,"")+SUMIFS($D$4:D799,$B$4:B799,B799,$C$4:C799,"Purch")-SUMIFS($D$4:D799,$B$4:B799,B799,$C$4:C799,"Sale"),0)</f>
        <v>0</v>
      </c>
    </row>
    <row r="800" spans="1:14" x14ac:dyDescent="0.2">
      <c r="A800" s="152"/>
      <c r="B800" s="132"/>
      <c r="C800" s="132"/>
      <c r="D800" s="277"/>
      <c r="E800" s="132"/>
      <c r="F800" s="170"/>
      <c r="G800" s="150"/>
      <c r="H800" s="152"/>
      <c r="I800" s="204"/>
      <c r="J800" s="285"/>
      <c r="K800" s="251"/>
      <c r="L800" s="133" t="str">
        <f>IF(AND(I800&lt;&gt;"",ISERROR(IF(ISERROR(VLOOKUP(I800*1,Summary!$C$8:$C$153,1,0)),VLOOKUP(I800,Summary!$C$8:$C$153,1,0),VLOOKUP(I800*1,Summary!$C$8:$C$153,1,0)))),"Add account Number to Summary","")</f>
        <v/>
      </c>
      <c r="M800" s="131" t="str">
        <f t="shared" si="12"/>
        <v/>
      </c>
      <c r="N800" s="287">
        <f>IF(C800="Sale",SUMIFS($D$4:D800,$B$4:B800,B800,$C$4:C800,"")+SUMIFS($D$4:D800,$B$4:B800,B800,$C$4:C800,"Purch")-SUMIFS($D$4:D800,$B$4:B800,B800,$C$4:C800,"Sale"),0)</f>
        <v>0</v>
      </c>
    </row>
    <row r="801" spans="1:14" x14ac:dyDescent="0.2">
      <c r="A801" s="152"/>
      <c r="B801" s="132"/>
      <c r="C801" s="132"/>
      <c r="D801" s="277"/>
      <c r="E801" s="132"/>
      <c r="F801" s="170"/>
      <c r="G801" s="150"/>
      <c r="H801" s="152"/>
      <c r="I801" s="204"/>
      <c r="J801" s="285"/>
      <c r="K801" s="251"/>
      <c r="L801" s="133" t="str">
        <f>IF(AND(I801&lt;&gt;"",ISERROR(IF(ISERROR(VLOOKUP(I801*1,Summary!$C$8:$C$153,1,0)),VLOOKUP(I801,Summary!$C$8:$C$153,1,0),VLOOKUP(I801*1,Summary!$C$8:$C$153,1,0)))),"Add account Number to Summary","")</f>
        <v/>
      </c>
      <c r="M801" s="131" t="str">
        <f t="shared" si="12"/>
        <v/>
      </c>
      <c r="N801" s="287">
        <f>IF(C801="Sale",SUMIFS($D$4:D801,$B$4:B801,B801,$C$4:C801,"")+SUMIFS($D$4:D801,$B$4:B801,B801,$C$4:C801,"Purch")-SUMIFS($D$4:D801,$B$4:B801,B801,$C$4:C801,"Sale"),0)</f>
        <v>0</v>
      </c>
    </row>
    <row r="802" spans="1:14" x14ac:dyDescent="0.2">
      <c r="A802" s="152"/>
      <c r="B802" s="132"/>
      <c r="C802" s="132"/>
      <c r="D802" s="277"/>
      <c r="E802" s="132"/>
      <c r="F802" s="170"/>
      <c r="G802" s="150"/>
      <c r="H802" s="152"/>
      <c r="I802" s="204"/>
      <c r="J802" s="285"/>
      <c r="K802" s="251"/>
      <c r="L802" s="133" t="str">
        <f>IF(AND(I802&lt;&gt;"",ISERROR(IF(ISERROR(VLOOKUP(I802*1,Summary!$C$8:$C$153,1,0)),VLOOKUP(I802,Summary!$C$8:$C$153,1,0),VLOOKUP(I802*1,Summary!$C$8:$C$153,1,0)))),"Add account Number to Summary","")</f>
        <v/>
      </c>
      <c r="M802" s="131" t="str">
        <f t="shared" si="12"/>
        <v/>
      </c>
      <c r="N802" s="287">
        <f>IF(C802="Sale",SUMIFS($D$4:D802,$B$4:B802,B802,$C$4:C802,"")+SUMIFS($D$4:D802,$B$4:B802,B802,$C$4:C802,"Purch")-SUMIFS($D$4:D802,$B$4:B802,B802,$C$4:C802,"Sale"),0)</f>
        <v>0</v>
      </c>
    </row>
    <row r="803" spans="1:14" x14ac:dyDescent="0.2">
      <c r="A803" s="152"/>
      <c r="B803" s="132"/>
      <c r="C803" s="132"/>
      <c r="D803" s="277"/>
      <c r="E803" s="132"/>
      <c r="F803" s="170"/>
      <c r="G803" s="150"/>
      <c r="H803" s="152"/>
      <c r="I803" s="204"/>
      <c r="J803" s="285"/>
      <c r="K803" s="251"/>
      <c r="L803" s="133" t="str">
        <f>IF(AND(I803&lt;&gt;"",ISERROR(IF(ISERROR(VLOOKUP(I803*1,Summary!$C$8:$C$153,1,0)),VLOOKUP(I803,Summary!$C$8:$C$153,1,0),VLOOKUP(I803*1,Summary!$C$8:$C$153,1,0)))),"Add account Number to Summary","")</f>
        <v/>
      </c>
      <c r="M803" s="131" t="str">
        <f t="shared" si="12"/>
        <v/>
      </c>
      <c r="N803" s="287">
        <f>IF(C803="Sale",SUMIFS($D$4:D803,$B$4:B803,B803,$C$4:C803,"")+SUMIFS($D$4:D803,$B$4:B803,B803,$C$4:C803,"Purch")-SUMIFS($D$4:D803,$B$4:B803,B803,$C$4:C803,"Sale"),0)</f>
        <v>0</v>
      </c>
    </row>
    <row r="804" spans="1:14" x14ac:dyDescent="0.2">
      <c r="A804" s="152"/>
      <c r="B804" s="132"/>
      <c r="C804" s="132"/>
      <c r="D804" s="277"/>
      <c r="E804" s="132"/>
      <c r="F804" s="170"/>
      <c r="G804" s="150"/>
      <c r="H804" s="152"/>
      <c r="I804" s="204"/>
      <c r="J804" s="285"/>
      <c r="K804" s="251"/>
      <c r="L804" s="133" t="str">
        <f>IF(AND(I804&lt;&gt;"",ISERROR(IF(ISERROR(VLOOKUP(I804*1,Summary!$C$8:$C$153,1,0)),VLOOKUP(I804,Summary!$C$8:$C$153,1,0),VLOOKUP(I804*1,Summary!$C$8:$C$153,1,0)))),"Add account Number to Summary","")</f>
        <v/>
      </c>
      <c r="M804" s="131" t="str">
        <f t="shared" si="12"/>
        <v/>
      </c>
      <c r="N804" s="287">
        <f>IF(C804="Sale",SUMIFS($D$4:D804,$B$4:B804,B804,$C$4:C804,"")+SUMIFS($D$4:D804,$B$4:B804,B804,$C$4:C804,"Purch")-SUMIFS($D$4:D804,$B$4:B804,B804,$C$4:C804,"Sale"),0)</f>
        <v>0</v>
      </c>
    </row>
    <row r="805" spans="1:14" x14ac:dyDescent="0.2">
      <c r="A805" s="152"/>
      <c r="B805" s="132"/>
      <c r="C805" s="132"/>
      <c r="D805" s="277"/>
      <c r="E805" s="132"/>
      <c r="F805" s="170"/>
      <c r="G805" s="150"/>
      <c r="H805" s="152"/>
      <c r="I805" s="204"/>
      <c r="J805" s="285"/>
      <c r="K805" s="251"/>
      <c r="L805" s="133" t="str">
        <f>IF(AND(I805&lt;&gt;"",ISERROR(IF(ISERROR(VLOOKUP(I805*1,Summary!$C$8:$C$153,1,0)),VLOOKUP(I805,Summary!$C$8:$C$153,1,0),VLOOKUP(I805*1,Summary!$C$8:$C$153,1,0)))),"Add account Number to Summary","")</f>
        <v/>
      </c>
      <c r="M805" s="131" t="str">
        <f t="shared" si="12"/>
        <v/>
      </c>
      <c r="N805" s="287">
        <f>IF(C805="Sale",SUMIFS($D$4:D805,$B$4:B805,B805,$C$4:C805,"")+SUMIFS($D$4:D805,$B$4:B805,B805,$C$4:C805,"Purch")-SUMIFS($D$4:D805,$B$4:B805,B805,$C$4:C805,"Sale"),0)</f>
        <v>0</v>
      </c>
    </row>
    <row r="806" spans="1:14" x14ac:dyDescent="0.2">
      <c r="A806" s="152"/>
      <c r="B806" s="132"/>
      <c r="C806" s="132"/>
      <c r="D806" s="277"/>
      <c r="E806" s="132"/>
      <c r="F806" s="170"/>
      <c r="G806" s="150"/>
      <c r="H806" s="152"/>
      <c r="I806" s="204"/>
      <c r="J806" s="285"/>
      <c r="K806" s="251"/>
      <c r="L806" s="133" t="str">
        <f>IF(AND(I806&lt;&gt;"",ISERROR(IF(ISERROR(VLOOKUP(I806*1,Summary!$C$8:$C$153,1,0)),VLOOKUP(I806,Summary!$C$8:$C$153,1,0),VLOOKUP(I806*1,Summary!$C$8:$C$153,1,0)))),"Add account Number to Summary","")</f>
        <v/>
      </c>
      <c r="M806" s="131" t="str">
        <f t="shared" si="12"/>
        <v/>
      </c>
      <c r="N806" s="287">
        <f>IF(C806="Sale",SUMIFS($D$4:D806,$B$4:B806,B806,$C$4:C806,"")+SUMIFS($D$4:D806,$B$4:B806,B806,$C$4:C806,"Purch")-SUMIFS($D$4:D806,$B$4:B806,B806,$C$4:C806,"Sale"),0)</f>
        <v>0</v>
      </c>
    </row>
    <row r="807" spans="1:14" x14ac:dyDescent="0.2">
      <c r="A807" s="152"/>
      <c r="B807" s="132"/>
      <c r="C807" s="132"/>
      <c r="D807" s="277"/>
      <c r="E807" s="132"/>
      <c r="F807" s="170"/>
      <c r="G807" s="150"/>
      <c r="H807" s="152"/>
      <c r="I807" s="204"/>
      <c r="J807" s="285"/>
      <c r="K807" s="251"/>
      <c r="L807" s="133" t="str">
        <f>IF(AND(I807&lt;&gt;"",ISERROR(IF(ISERROR(VLOOKUP(I807*1,Summary!$C$8:$C$153,1,0)),VLOOKUP(I807,Summary!$C$8:$C$153,1,0),VLOOKUP(I807*1,Summary!$C$8:$C$153,1,0)))),"Add account Number to Summary","")</f>
        <v/>
      </c>
      <c r="M807" s="131" t="str">
        <f t="shared" si="12"/>
        <v/>
      </c>
      <c r="N807" s="287">
        <f>IF(C807="Sale",SUMIFS($D$4:D807,$B$4:B807,B807,$C$4:C807,"")+SUMIFS($D$4:D807,$B$4:B807,B807,$C$4:C807,"Purch")-SUMIFS($D$4:D807,$B$4:B807,B807,$C$4:C807,"Sale"),0)</f>
        <v>0</v>
      </c>
    </row>
    <row r="808" spans="1:14" x14ac:dyDescent="0.2">
      <c r="A808" s="152"/>
      <c r="B808" s="132"/>
      <c r="C808" s="132"/>
      <c r="D808" s="277"/>
      <c r="E808" s="132"/>
      <c r="F808" s="170"/>
      <c r="G808" s="150"/>
      <c r="H808" s="152"/>
      <c r="I808" s="204"/>
      <c r="J808" s="285"/>
      <c r="K808" s="251"/>
      <c r="L808" s="133" t="str">
        <f>IF(AND(I808&lt;&gt;"",ISERROR(IF(ISERROR(VLOOKUP(I808*1,Summary!$C$8:$C$153,1,0)),VLOOKUP(I808,Summary!$C$8:$C$153,1,0),VLOOKUP(I808*1,Summary!$C$8:$C$153,1,0)))),"Add account Number to Summary","")</f>
        <v/>
      </c>
      <c r="M808" s="131" t="str">
        <f t="shared" si="12"/>
        <v/>
      </c>
      <c r="N808" s="287">
        <f>IF(C808="Sale",SUMIFS($D$4:D808,$B$4:B808,B808,$C$4:C808,"")+SUMIFS($D$4:D808,$B$4:B808,B808,$C$4:C808,"Purch")-SUMIFS($D$4:D808,$B$4:B808,B808,$C$4:C808,"Sale"),0)</f>
        <v>0</v>
      </c>
    </row>
    <row r="809" spans="1:14" x14ac:dyDescent="0.2">
      <c r="A809" s="152"/>
      <c r="B809" s="132"/>
      <c r="C809" s="132"/>
      <c r="D809" s="277"/>
      <c r="E809" s="132"/>
      <c r="F809" s="170"/>
      <c r="G809" s="150"/>
      <c r="H809" s="152"/>
      <c r="I809" s="204"/>
      <c r="J809" s="285"/>
      <c r="K809" s="251"/>
      <c r="L809" s="133" t="str">
        <f>IF(AND(I809&lt;&gt;"",ISERROR(IF(ISERROR(VLOOKUP(I809*1,Summary!$C$8:$C$153,1,0)),VLOOKUP(I809,Summary!$C$8:$C$153,1,0),VLOOKUP(I809*1,Summary!$C$8:$C$153,1,0)))),"Add account Number to Summary","")</f>
        <v/>
      </c>
      <c r="M809" s="131" t="str">
        <f t="shared" si="12"/>
        <v/>
      </c>
      <c r="N809" s="287">
        <f>IF(C809="Sale",SUMIFS($D$4:D809,$B$4:B809,B809,$C$4:C809,"")+SUMIFS($D$4:D809,$B$4:B809,B809,$C$4:C809,"Purch")-SUMIFS($D$4:D809,$B$4:B809,B809,$C$4:C809,"Sale"),0)</f>
        <v>0</v>
      </c>
    </row>
    <row r="810" spans="1:14" x14ac:dyDescent="0.2">
      <c r="A810" s="152"/>
      <c r="B810" s="132"/>
      <c r="C810" s="132"/>
      <c r="D810" s="277"/>
      <c r="E810" s="132"/>
      <c r="F810" s="170"/>
      <c r="G810" s="150"/>
      <c r="H810" s="152"/>
      <c r="I810" s="204"/>
      <c r="J810" s="285"/>
      <c r="K810" s="251"/>
      <c r="L810" s="133" t="str">
        <f>IF(AND(I810&lt;&gt;"",ISERROR(IF(ISERROR(VLOOKUP(I810*1,Summary!$C$8:$C$153,1,0)),VLOOKUP(I810,Summary!$C$8:$C$153,1,0),VLOOKUP(I810*1,Summary!$C$8:$C$153,1,0)))),"Add account Number to Summary","")</f>
        <v/>
      </c>
      <c r="M810" s="131" t="str">
        <f t="shared" si="12"/>
        <v/>
      </c>
      <c r="N810" s="287">
        <f>IF(C810="Sale",SUMIFS($D$4:D810,$B$4:B810,B810,$C$4:C810,"")+SUMIFS($D$4:D810,$B$4:B810,B810,$C$4:C810,"Purch")-SUMIFS($D$4:D810,$B$4:B810,B810,$C$4:C810,"Sale"),0)</f>
        <v>0</v>
      </c>
    </row>
    <row r="811" spans="1:14" x14ac:dyDescent="0.2">
      <c r="A811" s="152"/>
      <c r="B811" s="132"/>
      <c r="C811" s="132"/>
      <c r="D811" s="277"/>
      <c r="E811" s="132"/>
      <c r="F811" s="170"/>
      <c r="G811" s="150"/>
      <c r="H811" s="152"/>
      <c r="I811" s="204"/>
      <c r="J811" s="285"/>
      <c r="K811" s="251"/>
      <c r="L811" s="133" t="str">
        <f>IF(AND(I811&lt;&gt;"",ISERROR(IF(ISERROR(VLOOKUP(I811*1,Summary!$C$8:$C$153,1,0)),VLOOKUP(I811,Summary!$C$8:$C$153,1,0),VLOOKUP(I811*1,Summary!$C$8:$C$153,1,0)))),"Add account Number to Summary","")</f>
        <v/>
      </c>
      <c r="M811" s="131" t="str">
        <f t="shared" si="12"/>
        <v/>
      </c>
      <c r="N811" s="287">
        <f>IF(C811="Sale",SUMIFS($D$4:D811,$B$4:B811,B811,$C$4:C811,"")+SUMIFS($D$4:D811,$B$4:B811,B811,$C$4:C811,"Purch")-SUMIFS($D$4:D811,$B$4:B811,B811,$C$4:C811,"Sale"),0)</f>
        <v>0</v>
      </c>
    </row>
    <row r="812" spans="1:14" x14ac:dyDescent="0.2">
      <c r="A812" s="152"/>
      <c r="B812" s="132"/>
      <c r="C812" s="132"/>
      <c r="D812" s="277"/>
      <c r="E812" s="132"/>
      <c r="F812" s="170"/>
      <c r="G812" s="150"/>
      <c r="H812" s="152"/>
      <c r="I812" s="204"/>
      <c r="J812" s="285"/>
      <c r="K812" s="251"/>
      <c r="L812" s="133" t="str">
        <f>IF(AND(I812&lt;&gt;"",ISERROR(IF(ISERROR(VLOOKUP(I812*1,Summary!$C$8:$C$153,1,0)),VLOOKUP(I812,Summary!$C$8:$C$153,1,0),VLOOKUP(I812*1,Summary!$C$8:$C$153,1,0)))),"Add account Number to Summary","")</f>
        <v/>
      </c>
      <c r="M812" s="131" t="str">
        <f t="shared" ref="M812:M875" si="13">IF(K812="Yes",IF(YEAR(A812)&lt;&gt;YEAR(date),"Check Date",""),"")</f>
        <v/>
      </c>
      <c r="N812" s="287">
        <f>IF(C812="Sale",SUMIFS($D$4:D812,$B$4:B812,B812,$C$4:C812,"")+SUMIFS($D$4:D812,$B$4:B812,B812,$C$4:C812,"Purch")-SUMIFS($D$4:D812,$B$4:B812,B812,$C$4:C812,"Sale"),0)</f>
        <v>0</v>
      </c>
    </row>
    <row r="813" spans="1:14" x14ac:dyDescent="0.2">
      <c r="A813" s="152"/>
      <c r="B813" s="132"/>
      <c r="C813" s="132"/>
      <c r="D813" s="277"/>
      <c r="E813" s="132"/>
      <c r="F813" s="170"/>
      <c r="G813" s="150"/>
      <c r="H813" s="152"/>
      <c r="I813" s="204"/>
      <c r="J813" s="285"/>
      <c r="K813" s="251"/>
      <c r="L813" s="133" t="str">
        <f>IF(AND(I813&lt;&gt;"",ISERROR(IF(ISERROR(VLOOKUP(I813*1,Summary!$C$8:$C$153,1,0)),VLOOKUP(I813,Summary!$C$8:$C$153,1,0),VLOOKUP(I813*1,Summary!$C$8:$C$153,1,0)))),"Add account Number to Summary","")</f>
        <v/>
      </c>
      <c r="M813" s="131" t="str">
        <f t="shared" si="13"/>
        <v/>
      </c>
      <c r="N813" s="287">
        <f>IF(C813="Sale",SUMIFS($D$4:D813,$B$4:B813,B813,$C$4:C813,"")+SUMIFS($D$4:D813,$B$4:B813,B813,$C$4:C813,"Purch")-SUMIFS($D$4:D813,$B$4:B813,B813,$C$4:C813,"Sale"),0)</f>
        <v>0</v>
      </c>
    </row>
    <row r="814" spans="1:14" x14ac:dyDescent="0.2">
      <c r="A814" s="152"/>
      <c r="B814" s="132"/>
      <c r="C814" s="132"/>
      <c r="D814" s="277"/>
      <c r="E814" s="132"/>
      <c r="F814" s="170"/>
      <c r="G814" s="150"/>
      <c r="H814" s="152"/>
      <c r="I814" s="204"/>
      <c r="J814" s="285"/>
      <c r="K814" s="251"/>
      <c r="L814" s="133" t="str">
        <f>IF(AND(I814&lt;&gt;"",ISERROR(IF(ISERROR(VLOOKUP(I814*1,Summary!$C$8:$C$153,1,0)),VLOOKUP(I814,Summary!$C$8:$C$153,1,0),VLOOKUP(I814*1,Summary!$C$8:$C$153,1,0)))),"Add account Number to Summary","")</f>
        <v/>
      </c>
      <c r="M814" s="131" t="str">
        <f t="shared" si="13"/>
        <v/>
      </c>
      <c r="N814" s="287">
        <f>IF(C814="Sale",SUMIFS($D$4:D814,$B$4:B814,B814,$C$4:C814,"")+SUMIFS($D$4:D814,$B$4:B814,B814,$C$4:C814,"Purch")-SUMIFS($D$4:D814,$B$4:B814,B814,$C$4:C814,"Sale"),0)</f>
        <v>0</v>
      </c>
    </row>
    <row r="815" spans="1:14" x14ac:dyDescent="0.2">
      <c r="A815" s="152"/>
      <c r="B815" s="132"/>
      <c r="C815" s="132"/>
      <c r="D815" s="277"/>
      <c r="E815" s="132"/>
      <c r="F815" s="170"/>
      <c r="G815" s="150"/>
      <c r="H815" s="152"/>
      <c r="I815" s="204"/>
      <c r="J815" s="285"/>
      <c r="K815" s="251"/>
      <c r="L815" s="133" t="str">
        <f>IF(AND(I815&lt;&gt;"",ISERROR(IF(ISERROR(VLOOKUP(I815*1,Summary!$C$8:$C$153,1,0)),VLOOKUP(I815,Summary!$C$8:$C$153,1,0),VLOOKUP(I815*1,Summary!$C$8:$C$153,1,0)))),"Add account Number to Summary","")</f>
        <v/>
      </c>
      <c r="M815" s="131" t="str">
        <f t="shared" si="13"/>
        <v/>
      </c>
      <c r="N815" s="287">
        <f>IF(C815="Sale",SUMIFS($D$4:D815,$B$4:B815,B815,$C$4:C815,"")+SUMIFS($D$4:D815,$B$4:B815,B815,$C$4:C815,"Purch")-SUMIFS($D$4:D815,$B$4:B815,B815,$C$4:C815,"Sale"),0)</f>
        <v>0</v>
      </c>
    </row>
    <row r="816" spans="1:14" x14ac:dyDescent="0.2">
      <c r="A816" s="152"/>
      <c r="B816" s="132"/>
      <c r="C816" s="132"/>
      <c r="D816" s="277"/>
      <c r="E816" s="132"/>
      <c r="F816" s="170"/>
      <c r="G816" s="150"/>
      <c r="H816" s="152"/>
      <c r="I816" s="204"/>
      <c r="J816" s="285"/>
      <c r="K816" s="251"/>
      <c r="L816" s="133" t="str">
        <f>IF(AND(I816&lt;&gt;"",ISERROR(IF(ISERROR(VLOOKUP(I816*1,Summary!$C$8:$C$153,1,0)),VLOOKUP(I816,Summary!$C$8:$C$153,1,0),VLOOKUP(I816*1,Summary!$C$8:$C$153,1,0)))),"Add account Number to Summary","")</f>
        <v/>
      </c>
      <c r="M816" s="131" t="str">
        <f t="shared" si="13"/>
        <v/>
      </c>
      <c r="N816" s="287">
        <f>IF(C816="Sale",SUMIFS($D$4:D816,$B$4:B816,B816,$C$4:C816,"")+SUMIFS($D$4:D816,$B$4:B816,B816,$C$4:C816,"Purch")-SUMIFS($D$4:D816,$B$4:B816,B816,$C$4:C816,"Sale"),0)</f>
        <v>0</v>
      </c>
    </row>
    <row r="817" spans="1:14" x14ac:dyDescent="0.2">
      <c r="A817" s="152"/>
      <c r="B817" s="132"/>
      <c r="C817" s="132"/>
      <c r="D817" s="277"/>
      <c r="E817" s="132"/>
      <c r="F817" s="170"/>
      <c r="G817" s="150"/>
      <c r="H817" s="152"/>
      <c r="I817" s="204"/>
      <c r="J817" s="285"/>
      <c r="K817" s="251"/>
      <c r="L817" s="133" t="str">
        <f>IF(AND(I817&lt;&gt;"",ISERROR(IF(ISERROR(VLOOKUP(I817*1,Summary!$C$8:$C$153,1,0)),VLOOKUP(I817,Summary!$C$8:$C$153,1,0),VLOOKUP(I817*1,Summary!$C$8:$C$153,1,0)))),"Add account Number to Summary","")</f>
        <v/>
      </c>
      <c r="M817" s="131" t="str">
        <f t="shared" si="13"/>
        <v/>
      </c>
      <c r="N817" s="287">
        <f>IF(C817="Sale",SUMIFS($D$4:D817,$B$4:B817,B817,$C$4:C817,"")+SUMIFS($D$4:D817,$B$4:B817,B817,$C$4:C817,"Purch")-SUMIFS($D$4:D817,$B$4:B817,B817,$C$4:C817,"Sale"),0)</f>
        <v>0</v>
      </c>
    </row>
    <row r="818" spans="1:14" x14ac:dyDescent="0.2">
      <c r="A818" s="152"/>
      <c r="B818" s="132"/>
      <c r="C818" s="132"/>
      <c r="D818" s="277"/>
      <c r="E818" s="132"/>
      <c r="F818" s="170"/>
      <c r="G818" s="150"/>
      <c r="H818" s="152"/>
      <c r="I818" s="204"/>
      <c r="J818" s="285"/>
      <c r="K818" s="251"/>
      <c r="L818" s="133" t="str">
        <f>IF(AND(I818&lt;&gt;"",ISERROR(IF(ISERROR(VLOOKUP(I818*1,Summary!$C$8:$C$153,1,0)),VLOOKUP(I818,Summary!$C$8:$C$153,1,0),VLOOKUP(I818*1,Summary!$C$8:$C$153,1,0)))),"Add account Number to Summary","")</f>
        <v/>
      </c>
      <c r="M818" s="131" t="str">
        <f t="shared" si="13"/>
        <v/>
      </c>
      <c r="N818" s="287">
        <f>IF(C818="Sale",SUMIFS($D$4:D818,$B$4:B818,B818,$C$4:C818,"")+SUMIFS($D$4:D818,$B$4:B818,B818,$C$4:C818,"Purch")-SUMIFS($D$4:D818,$B$4:B818,B818,$C$4:C818,"Sale"),0)</f>
        <v>0</v>
      </c>
    </row>
    <row r="819" spans="1:14" x14ac:dyDescent="0.2">
      <c r="A819" s="152"/>
      <c r="B819" s="132"/>
      <c r="C819" s="132"/>
      <c r="D819" s="277"/>
      <c r="E819" s="132"/>
      <c r="F819" s="170"/>
      <c r="G819" s="150"/>
      <c r="H819" s="152"/>
      <c r="I819" s="204"/>
      <c r="J819" s="285"/>
      <c r="K819" s="251"/>
      <c r="L819" s="133" t="str">
        <f>IF(AND(I819&lt;&gt;"",ISERROR(IF(ISERROR(VLOOKUP(I819*1,Summary!$C$8:$C$153,1,0)),VLOOKUP(I819,Summary!$C$8:$C$153,1,0),VLOOKUP(I819*1,Summary!$C$8:$C$153,1,0)))),"Add account Number to Summary","")</f>
        <v/>
      </c>
      <c r="M819" s="131" t="str">
        <f t="shared" si="13"/>
        <v/>
      </c>
      <c r="N819" s="287">
        <f>IF(C819="Sale",SUMIFS($D$4:D819,$B$4:B819,B819,$C$4:C819,"")+SUMIFS($D$4:D819,$B$4:B819,B819,$C$4:C819,"Purch")-SUMIFS($D$4:D819,$B$4:B819,B819,$C$4:C819,"Sale"),0)</f>
        <v>0</v>
      </c>
    </row>
    <row r="820" spans="1:14" x14ac:dyDescent="0.2">
      <c r="A820" s="152"/>
      <c r="B820" s="132"/>
      <c r="C820" s="132"/>
      <c r="D820" s="277"/>
      <c r="E820" s="132"/>
      <c r="F820" s="170"/>
      <c r="G820" s="150"/>
      <c r="H820" s="152"/>
      <c r="I820" s="204"/>
      <c r="J820" s="285"/>
      <c r="K820" s="251"/>
      <c r="L820" s="133" t="str">
        <f>IF(AND(I820&lt;&gt;"",ISERROR(IF(ISERROR(VLOOKUP(I820*1,Summary!$C$8:$C$153,1,0)),VLOOKUP(I820,Summary!$C$8:$C$153,1,0),VLOOKUP(I820*1,Summary!$C$8:$C$153,1,0)))),"Add account Number to Summary","")</f>
        <v/>
      </c>
      <c r="M820" s="131" t="str">
        <f t="shared" si="13"/>
        <v/>
      </c>
      <c r="N820" s="287">
        <f>IF(C820="Sale",SUMIFS($D$4:D820,$B$4:B820,B820,$C$4:C820,"")+SUMIFS($D$4:D820,$B$4:B820,B820,$C$4:C820,"Purch")-SUMIFS($D$4:D820,$B$4:B820,B820,$C$4:C820,"Sale"),0)</f>
        <v>0</v>
      </c>
    </row>
    <row r="821" spans="1:14" x14ac:dyDescent="0.2">
      <c r="A821" s="152"/>
      <c r="B821" s="132"/>
      <c r="C821" s="132"/>
      <c r="D821" s="277"/>
      <c r="E821" s="132"/>
      <c r="F821" s="170"/>
      <c r="G821" s="150"/>
      <c r="H821" s="152"/>
      <c r="I821" s="204"/>
      <c r="J821" s="285"/>
      <c r="K821" s="251"/>
      <c r="L821" s="133" t="str">
        <f>IF(AND(I821&lt;&gt;"",ISERROR(IF(ISERROR(VLOOKUP(I821*1,Summary!$C$8:$C$153,1,0)),VLOOKUP(I821,Summary!$C$8:$C$153,1,0),VLOOKUP(I821*1,Summary!$C$8:$C$153,1,0)))),"Add account Number to Summary","")</f>
        <v/>
      </c>
      <c r="M821" s="131" t="str">
        <f t="shared" si="13"/>
        <v/>
      </c>
      <c r="N821" s="287">
        <f>IF(C821="Sale",SUMIFS($D$4:D821,$B$4:B821,B821,$C$4:C821,"")+SUMIFS($D$4:D821,$B$4:B821,B821,$C$4:C821,"Purch")-SUMIFS($D$4:D821,$B$4:B821,B821,$C$4:C821,"Sale"),0)</f>
        <v>0</v>
      </c>
    </row>
    <row r="822" spans="1:14" x14ac:dyDescent="0.2">
      <c r="A822" s="152"/>
      <c r="B822" s="132"/>
      <c r="C822" s="132"/>
      <c r="D822" s="277"/>
      <c r="E822" s="132"/>
      <c r="F822" s="170"/>
      <c r="G822" s="150"/>
      <c r="H822" s="152"/>
      <c r="I822" s="204"/>
      <c r="J822" s="285"/>
      <c r="K822" s="251"/>
      <c r="L822" s="133" t="str">
        <f>IF(AND(I822&lt;&gt;"",ISERROR(IF(ISERROR(VLOOKUP(I822*1,Summary!$C$8:$C$153,1,0)),VLOOKUP(I822,Summary!$C$8:$C$153,1,0),VLOOKUP(I822*1,Summary!$C$8:$C$153,1,0)))),"Add account Number to Summary","")</f>
        <v/>
      </c>
      <c r="M822" s="131" t="str">
        <f t="shared" si="13"/>
        <v/>
      </c>
      <c r="N822" s="287">
        <f>IF(C822="Sale",SUMIFS($D$4:D822,$B$4:B822,B822,$C$4:C822,"")+SUMIFS($D$4:D822,$B$4:B822,B822,$C$4:C822,"Purch")-SUMIFS($D$4:D822,$B$4:B822,B822,$C$4:C822,"Sale"),0)</f>
        <v>0</v>
      </c>
    </row>
    <row r="823" spans="1:14" x14ac:dyDescent="0.2">
      <c r="A823" s="152"/>
      <c r="B823" s="132"/>
      <c r="C823" s="132"/>
      <c r="D823" s="277"/>
      <c r="E823" s="132"/>
      <c r="F823" s="170"/>
      <c r="G823" s="150"/>
      <c r="H823" s="152"/>
      <c r="I823" s="204"/>
      <c r="J823" s="285"/>
      <c r="K823" s="251"/>
      <c r="L823" s="133" t="str">
        <f>IF(AND(I823&lt;&gt;"",ISERROR(IF(ISERROR(VLOOKUP(I823*1,Summary!$C$8:$C$153,1,0)),VLOOKUP(I823,Summary!$C$8:$C$153,1,0),VLOOKUP(I823*1,Summary!$C$8:$C$153,1,0)))),"Add account Number to Summary","")</f>
        <v/>
      </c>
      <c r="M823" s="131" t="str">
        <f t="shared" si="13"/>
        <v/>
      </c>
      <c r="N823" s="287">
        <f>IF(C823="Sale",SUMIFS($D$4:D823,$B$4:B823,B823,$C$4:C823,"")+SUMIFS($D$4:D823,$B$4:B823,B823,$C$4:C823,"Purch")-SUMIFS($D$4:D823,$B$4:B823,B823,$C$4:C823,"Sale"),0)</f>
        <v>0</v>
      </c>
    </row>
    <row r="824" spans="1:14" x14ac:dyDescent="0.2">
      <c r="A824" s="152"/>
      <c r="B824" s="132"/>
      <c r="C824" s="132"/>
      <c r="D824" s="277"/>
      <c r="E824" s="132"/>
      <c r="F824" s="170"/>
      <c r="G824" s="150"/>
      <c r="H824" s="152"/>
      <c r="I824" s="204"/>
      <c r="J824" s="285"/>
      <c r="K824" s="251"/>
      <c r="L824" s="133" t="str">
        <f>IF(AND(I824&lt;&gt;"",ISERROR(IF(ISERROR(VLOOKUP(I824*1,Summary!$C$8:$C$153,1,0)),VLOOKUP(I824,Summary!$C$8:$C$153,1,0),VLOOKUP(I824*1,Summary!$C$8:$C$153,1,0)))),"Add account Number to Summary","")</f>
        <v/>
      </c>
      <c r="M824" s="131" t="str">
        <f t="shared" si="13"/>
        <v/>
      </c>
      <c r="N824" s="287">
        <f>IF(C824="Sale",SUMIFS($D$4:D824,$B$4:B824,B824,$C$4:C824,"")+SUMIFS($D$4:D824,$B$4:B824,B824,$C$4:C824,"Purch")-SUMIFS($D$4:D824,$B$4:B824,B824,$C$4:C824,"Sale"),0)</f>
        <v>0</v>
      </c>
    </row>
    <row r="825" spans="1:14" x14ac:dyDescent="0.2">
      <c r="A825" s="152"/>
      <c r="B825" s="132"/>
      <c r="C825" s="132"/>
      <c r="D825" s="277"/>
      <c r="E825" s="132"/>
      <c r="F825" s="170"/>
      <c r="G825" s="150"/>
      <c r="H825" s="152"/>
      <c r="I825" s="204"/>
      <c r="J825" s="285"/>
      <c r="K825" s="251"/>
      <c r="L825" s="133" t="str">
        <f>IF(AND(I825&lt;&gt;"",ISERROR(IF(ISERROR(VLOOKUP(I825*1,Summary!$C$8:$C$153,1,0)),VLOOKUP(I825,Summary!$C$8:$C$153,1,0),VLOOKUP(I825*1,Summary!$C$8:$C$153,1,0)))),"Add account Number to Summary","")</f>
        <v/>
      </c>
      <c r="M825" s="131" t="str">
        <f t="shared" si="13"/>
        <v/>
      </c>
      <c r="N825" s="287">
        <f>IF(C825="Sale",SUMIFS($D$4:D825,$B$4:B825,B825,$C$4:C825,"")+SUMIFS($D$4:D825,$B$4:B825,B825,$C$4:C825,"Purch")-SUMIFS($D$4:D825,$B$4:B825,B825,$C$4:C825,"Sale"),0)</f>
        <v>0</v>
      </c>
    </row>
    <row r="826" spans="1:14" x14ac:dyDescent="0.2">
      <c r="A826" s="152"/>
      <c r="B826" s="132"/>
      <c r="C826" s="132"/>
      <c r="D826" s="277"/>
      <c r="E826" s="132"/>
      <c r="F826" s="170"/>
      <c r="G826" s="150"/>
      <c r="H826" s="152"/>
      <c r="I826" s="204"/>
      <c r="J826" s="285"/>
      <c r="K826" s="251"/>
      <c r="L826" s="133" t="str">
        <f>IF(AND(I826&lt;&gt;"",ISERROR(IF(ISERROR(VLOOKUP(I826*1,Summary!$C$8:$C$153,1,0)),VLOOKUP(I826,Summary!$C$8:$C$153,1,0),VLOOKUP(I826*1,Summary!$C$8:$C$153,1,0)))),"Add account Number to Summary","")</f>
        <v/>
      </c>
      <c r="M826" s="131" t="str">
        <f t="shared" si="13"/>
        <v/>
      </c>
      <c r="N826" s="287">
        <f>IF(C826="Sale",SUMIFS($D$4:D826,$B$4:B826,B826,$C$4:C826,"")+SUMIFS($D$4:D826,$B$4:B826,B826,$C$4:C826,"Purch")-SUMIFS($D$4:D826,$B$4:B826,B826,$C$4:C826,"Sale"),0)</f>
        <v>0</v>
      </c>
    </row>
    <row r="827" spans="1:14" x14ac:dyDescent="0.2">
      <c r="A827" s="152"/>
      <c r="B827" s="132"/>
      <c r="C827" s="132"/>
      <c r="D827" s="277"/>
      <c r="E827" s="132"/>
      <c r="F827" s="170"/>
      <c r="G827" s="150"/>
      <c r="H827" s="152"/>
      <c r="I827" s="204"/>
      <c r="J827" s="285"/>
      <c r="K827" s="251"/>
      <c r="L827" s="133" t="str">
        <f>IF(AND(I827&lt;&gt;"",ISERROR(IF(ISERROR(VLOOKUP(I827*1,Summary!$C$8:$C$153,1,0)),VLOOKUP(I827,Summary!$C$8:$C$153,1,0),VLOOKUP(I827*1,Summary!$C$8:$C$153,1,0)))),"Add account Number to Summary","")</f>
        <v/>
      </c>
      <c r="M827" s="131" t="str">
        <f t="shared" si="13"/>
        <v/>
      </c>
      <c r="N827" s="287">
        <f>IF(C827="Sale",SUMIFS($D$4:D827,$B$4:B827,B827,$C$4:C827,"")+SUMIFS($D$4:D827,$B$4:B827,B827,$C$4:C827,"Purch")-SUMIFS($D$4:D827,$B$4:B827,B827,$C$4:C827,"Sale"),0)</f>
        <v>0</v>
      </c>
    </row>
    <row r="828" spans="1:14" x14ac:dyDescent="0.2">
      <c r="A828" s="152"/>
      <c r="B828" s="132"/>
      <c r="C828" s="132"/>
      <c r="D828" s="277"/>
      <c r="E828" s="132"/>
      <c r="F828" s="170"/>
      <c r="G828" s="150"/>
      <c r="H828" s="152"/>
      <c r="I828" s="204"/>
      <c r="J828" s="285"/>
      <c r="K828" s="251"/>
      <c r="L828" s="133" t="str">
        <f>IF(AND(I828&lt;&gt;"",ISERROR(IF(ISERROR(VLOOKUP(I828*1,Summary!$C$8:$C$153,1,0)),VLOOKUP(I828,Summary!$C$8:$C$153,1,0),VLOOKUP(I828*1,Summary!$C$8:$C$153,1,0)))),"Add account Number to Summary","")</f>
        <v/>
      </c>
      <c r="M828" s="131" t="str">
        <f t="shared" si="13"/>
        <v/>
      </c>
      <c r="N828" s="287">
        <f>IF(C828="Sale",SUMIFS($D$4:D828,$B$4:B828,B828,$C$4:C828,"")+SUMIFS($D$4:D828,$B$4:B828,B828,$C$4:C828,"Purch")-SUMIFS($D$4:D828,$B$4:B828,B828,$C$4:C828,"Sale"),0)</f>
        <v>0</v>
      </c>
    </row>
    <row r="829" spans="1:14" x14ac:dyDescent="0.2">
      <c r="A829" s="152"/>
      <c r="B829" s="132"/>
      <c r="C829" s="132"/>
      <c r="D829" s="277"/>
      <c r="E829" s="132"/>
      <c r="F829" s="170"/>
      <c r="G829" s="150"/>
      <c r="H829" s="152"/>
      <c r="I829" s="204"/>
      <c r="J829" s="285"/>
      <c r="K829" s="251"/>
      <c r="L829" s="133" t="str">
        <f>IF(AND(I829&lt;&gt;"",ISERROR(IF(ISERROR(VLOOKUP(I829*1,Summary!$C$8:$C$153,1,0)),VLOOKUP(I829,Summary!$C$8:$C$153,1,0),VLOOKUP(I829*1,Summary!$C$8:$C$153,1,0)))),"Add account Number to Summary","")</f>
        <v/>
      </c>
      <c r="M829" s="131" t="str">
        <f t="shared" si="13"/>
        <v/>
      </c>
      <c r="N829" s="287">
        <f>IF(C829="Sale",SUMIFS($D$4:D829,$B$4:B829,B829,$C$4:C829,"")+SUMIFS($D$4:D829,$B$4:B829,B829,$C$4:C829,"Purch")-SUMIFS($D$4:D829,$B$4:B829,B829,$C$4:C829,"Sale"),0)</f>
        <v>0</v>
      </c>
    </row>
    <row r="830" spans="1:14" x14ac:dyDescent="0.2">
      <c r="A830" s="152"/>
      <c r="B830" s="132"/>
      <c r="C830" s="132"/>
      <c r="D830" s="277"/>
      <c r="E830" s="132"/>
      <c r="F830" s="170"/>
      <c r="G830" s="150"/>
      <c r="H830" s="152"/>
      <c r="I830" s="204"/>
      <c r="J830" s="285"/>
      <c r="K830" s="251"/>
      <c r="L830" s="133" t="str">
        <f>IF(AND(I830&lt;&gt;"",ISERROR(IF(ISERROR(VLOOKUP(I830*1,Summary!$C$8:$C$153,1,0)),VLOOKUP(I830,Summary!$C$8:$C$153,1,0),VLOOKUP(I830*1,Summary!$C$8:$C$153,1,0)))),"Add account Number to Summary","")</f>
        <v/>
      </c>
      <c r="M830" s="131" t="str">
        <f t="shared" si="13"/>
        <v/>
      </c>
      <c r="N830" s="287">
        <f>IF(C830="Sale",SUMIFS($D$4:D830,$B$4:B830,B830,$C$4:C830,"")+SUMIFS($D$4:D830,$B$4:B830,B830,$C$4:C830,"Purch")-SUMIFS($D$4:D830,$B$4:B830,B830,$C$4:C830,"Sale"),0)</f>
        <v>0</v>
      </c>
    </row>
    <row r="831" spans="1:14" x14ac:dyDescent="0.2">
      <c r="A831" s="152"/>
      <c r="B831" s="132"/>
      <c r="C831" s="132"/>
      <c r="D831" s="277"/>
      <c r="E831" s="132"/>
      <c r="F831" s="170"/>
      <c r="G831" s="150"/>
      <c r="H831" s="152"/>
      <c r="I831" s="204"/>
      <c r="J831" s="285"/>
      <c r="K831" s="251"/>
      <c r="L831" s="133" t="str">
        <f>IF(AND(I831&lt;&gt;"",ISERROR(IF(ISERROR(VLOOKUP(I831*1,Summary!$C$8:$C$153,1,0)),VLOOKUP(I831,Summary!$C$8:$C$153,1,0),VLOOKUP(I831*1,Summary!$C$8:$C$153,1,0)))),"Add account Number to Summary","")</f>
        <v/>
      </c>
      <c r="M831" s="131" t="str">
        <f t="shared" si="13"/>
        <v/>
      </c>
      <c r="N831" s="287">
        <f>IF(C831="Sale",SUMIFS($D$4:D831,$B$4:B831,B831,$C$4:C831,"")+SUMIFS($D$4:D831,$B$4:B831,B831,$C$4:C831,"Purch")-SUMIFS($D$4:D831,$B$4:B831,B831,$C$4:C831,"Sale"),0)</f>
        <v>0</v>
      </c>
    </row>
    <row r="832" spans="1:14" x14ac:dyDescent="0.2">
      <c r="A832" s="152"/>
      <c r="B832" s="132"/>
      <c r="C832" s="132"/>
      <c r="D832" s="277"/>
      <c r="E832" s="132"/>
      <c r="F832" s="170"/>
      <c r="G832" s="150"/>
      <c r="H832" s="152"/>
      <c r="I832" s="204"/>
      <c r="J832" s="285"/>
      <c r="K832" s="251"/>
      <c r="L832" s="133" t="str">
        <f>IF(AND(I832&lt;&gt;"",ISERROR(IF(ISERROR(VLOOKUP(I832*1,Summary!$C$8:$C$153,1,0)),VLOOKUP(I832,Summary!$C$8:$C$153,1,0),VLOOKUP(I832*1,Summary!$C$8:$C$153,1,0)))),"Add account Number to Summary","")</f>
        <v/>
      </c>
      <c r="M832" s="131" t="str">
        <f t="shared" si="13"/>
        <v/>
      </c>
      <c r="N832" s="287">
        <f>IF(C832="Sale",SUMIFS($D$4:D832,$B$4:B832,B832,$C$4:C832,"")+SUMIFS($D$4:D832,$B$4:B832,B832,$C$4:C832,"Purch")-SUMIFS($D$4:D832,$B$4:B832,B832,$C$4:C832,"Sale"),0)</f>
        <v>0</v>
      </c>
    </row>
    <row r="833" spans="1:14" x14ac:dyDescent="0.2">
      <c r="A833" s="152"/>
      <c r="B833" s="132"/>
      <c r="C833" s="132"/>
      <c r="D833" s="277"/>
      <c r="E833" s="132"/>
      <c r="F833" s="170"/>
      <c r="G833" s="150"/>
      <c r="H833" s="152"/>
      <c r="I833" s="204"/>
      <c r="J833" s="285"/>
      <c r="K833" s="251"/>
      <c r="L833" s="133" t="str">
        <f>IF(AND(I833&lt;&gt;"",ISERROR(IF(ISERROR(VLOOKUP(I833*1,Summary!$C$8:$C$153,1,0)),VLOOKUP(I833,Summary!$C$8:$C$153,1,0),VLOOKUP(I833*1,Summary!$C$8:$C$153,1,0)))),"Add account Number to Summary","")</f>
        <v/>
      </c>
      <c r="M833" s="131" t="str">
        <f t="shared" si="13"/>
        <v/>
      </c>
      <c r="N833" s="287">
        <f>IF(C833="Sale",SUMIFS($D$4:D833,$B$4:B833,B833,$C$4:C833,"")+SUMIFS($D$4:D833,$B$4:B833,B833,$C$4:C833,"Purch")-SUMIFS($D$4:D833,$B$4:B833,B833,$C$4:C833,"Sale"),0)</f>
        <v>0</v>
      </c>
    </row>
    <row r="834" spans="1:14" x14ac:dyDescent="0.2">
      <c r="A834" s="152"/>
      <c r="B834" s="132"/>
      <c r="C834" s="132"/>
      <c r="D834" s="277"/>
      <c r="E834" s="132"/>
      <c r="F834" s="170"/>
      <c r="G834" s="150"/>
      <c r="H834" s="152"/>
      <c r="I834" s="204"/>
      <c r="J834" s="285"/>
      <c r="K834" s="251"/>
      <c r="L834" s="133" t="str">
        <f>IF(AND(I834&lt;&gt;"",ISERROR(IF(ISERROR(VLOOKUP(I834*1,Summary!$C$8:$C$153,1,0)),VLOOKUP(I834,Summary!$C$8:$C$153,1,0),VLOOKUP(I834*1,Summary!$C$8:$C$153,1,0)))),"Add account Number to Summary","")</f>
        <v/>
      </c>
      <c r="M834" s="131" t="str">
        <f t="shared" si="13"/>
        <v/>
      </c>
      <c r="N834" s="287">
        <f>IF(C834="Sale",SUMIFS($D$4:D834,$B$4:B834,B834,$C$4:C834,"")+SUMIFS($D$4:D834,$B$4:B834,B834,$C$4:C834,"Purch")-SUMIFS($D$4:D834,$B$4:B834,B834,$C$4:C834,"Sale"),0)</f>
        <v>0</v>
      </c>
    </row>
    <row r="835" spans="1:14" x14ac:dyDescent="0.2">
      <c r="A835" s="152"/>
      <c r="B835" s="132"/>
      <c r="C835" s="132"/>
      <c r="D835" s="277"/>
      <c r="E835" s="132"/>
      <c r="F835" s="170"/>
      <c r="G835" s="150"/>
      <c r="H835" s="152"/>
      <c r="I835" s="204"/>
      <c r="J835" s="285"/>
      <c r="K835" s="251"/>
      <c r="L835" s="133" t="str">
        <f>IF(AND(I835&lt;&gt;"",ISERROR(IF(ISERROR(VLOOKUP(I835*1,Summary!$C$8:$C$153,1,0)),VLOOKUP(I835,Summary!$C$8:$C$153,1,0),VLOOKUP(I835*1,Summary!$C$8:$C$153,1,0)))),"Add account Number to Summary","")</f>
        <v/>
      </c>
      <c r="M835" s="131" t="str">
        <f t="shared" si="13"/>
        <v/>
      </c>
      <c r="N835" s="287">
        <f>IF(C835="Sale",SUMIFS($D$4:D835,$B$4:B835,B835,$C$4:C835,"")+SUMIFS($D$4:D835,$B$4:B835,B835,$C$4:C835,"Purch")-SUMIFS($D$4:D835,$B$4:B835,B835,$C$4:C835,"Sale"),0)</f>
        <v>0</v>
      </c>
    </row>
    <row r="836" spans="1:14" x14ac:dyDescent="0.2">
      <c r="A836" s="152"/>
      <c r="B836" s="132"/>
      <c r="C836" s="132"/>
      <c r="D836" s="277"/>
      <c r="E836" s="132"/>
      <c r="F836" s="170"/>
      <c r="G836" s="150"/>
      <c r="H836" s="152"/>
      <c r="I836" s="204"/>
      <c r="J836" s="285"/>
      <c r="K836" s="251"/>
      <c r="L836" s="133" t="str">
        <f>IF(AND(I836&lt;&gt;"",ISERROR(IF(ISERROR(VLOOKUP(I836*1,Summary!$C$8:$C$153,1,0)),VLOOKUP(I836,Summary!$C$8:$C$153,1,0),VLOOKUP(I836*1,Summary!$C$8:$C$153,1,0)))),"Add account Number to Summary","")</f>
        <v/>
      </c>
      <c r="M836" s="131" t="str">
        <f t="shared" si="13"/>
        <v/>
      </c>
      <c r="N836" s="287">
        <f>IF(C836="Sale",SUMIFS($D$4:D836,$B$4:B836,B836,$C$4:C836,"")+SUMIFS($D$4:D836,$B$4:B836,B836,$C$4:C836,"Purch")-SUMIFS($D$4:D836,$B$4:B836,B836,$C$4:C836,"Sale"),0)</f>
        <v>0</v>
      </c>
    </row>
    <row r="837" spans="1:14" x14ac:dyDescent="0.2">
      <c r="A837" s="152"/>
      <c r="B837" s="132"/>
      <c r="C837" s="132"/>
      <c r="D837" s="277"/>
      <c r="E837" s="132"/>
      <c r="F837" s="170"/>
      <c r="G837" s="150"/>
      <c r="H837" s="152"/>
      <c r="I837" s="204"/>
      <c r="J837" s="285"/>
      <c r="K837" s="251"/>
      <c r="L837" s="133" t="str">
        <f>IF(AND(I837&lt;&gt;"",ISERROR(IF(ISERROR(VLOOKUP(I837*1,Summary!$C$8:$C$153,1,0)),VLOOKUP(I837,Summary!$C$8:$C$153,1,0),VLOOKUP(I837*1,Summary!$C$8:$C$153,1,0)))),"Add account Number to Summary","")</f>
        <v/>
      </c>
      <c r="M837" s="131" t="str">
        <f t="shared" si="13"/>
        <v/>
      </c>
      <c r="N837" s="287">
        <f>IF(C837="Sale",SUMIFS($D$4:D837,$B$4:B837,B837,$C$4:C837,"")+SUMIFS($D$4:D837,$B$4:B837,B837,$C$4:C837,"Purch")-SUMIFS($D$4:D837,$B$4:B837,B837,$C$4:C837,"Sale"),0)</f>
        <v>0</v>
      </c>
    </row>
    <row r="838" spans="1:14" x14ac:dyDescent="0.2">
      <c r="A838" s="152"/>
      <c r="B838" s="132"/>
      <c r="C838" s="132"/>
      <c r="D838" s="277"/>
      <c r="E838" s="132"/>
      <c r="F838" s="170"/>
      <c r="G838" s="150"/>
      <c r="H838" s="152"/>
      <c r="I838" s="204"/>
      <c r="J838" s="285"/>
      <c r="K838" s="251"/>
      <c r="L838" s="133" t="str">
        <f>IF(AND(I838&lt;&gt;"",ISERROR(IF(ISERROR(VLOOKUP(I838*1,Summary!$C$8:$C$153,1,0)),VLOOKUP(I838,Summary!$C$8:$C$153,1,0),VLOOKUP(I838*1,Summary!$C$8:$C$153,1,0)))),"Add account Number to Summary","")</f>
        <v/>
      </c>
      <c r="M838" s="131" t="str">
        <f t="shared" si="13"/>
        <v/>
      </c>
      <c r="N838" s="287">
        <f>IF(C838="Sale",SUMIFS($D$4:D838,$B$4:B838,B838,$C$4:C838,"")+SUMIFS($D$4:D838,$B$4:B838,B838,$C$4:C838,"Purch")-SUMIFS($D$4:D838,$B$4:B838,B838,$C$4:C838,"Sale"),0)</f>
        <v>0</v>
      </c>
    </row>
    <row r="839" spans="1:14" x14ac:dyDescent="0.2">
      <c r="A839" s="152"/>
      <c r="B839" s="132"/>
      <c r="C839" s="132"/>
      <c r="D839" s="277"/>
      <c r="E839" s="132"/>
      <c r="F839" s="170"/>
      <c r="G839" s="150"/>
      <c r="H839" s="152"/>
      <c r="I839" s="204"/>
      <c r="J839" s="285"/>
      <c r="K839" s="251"/>
      <c r="L839" s="133" t="str">
        <f>IF(AND(I839&lt;&gt;"",ISERROR(IF(ISERROR(VLOOKUP(I839*1,Summary!$C$8:$C$153,1,0)),VLOOKUP(I839,Summary!$C$8:$C$153,1,0),VLOOKUP(I839*1,Summary!$C$8:$C$153,1,0)))),"Add account Number to Summary","")</f>
        <v/>
      </c>
      <c r="M839" s="131" t="str">
        <f t="shared" si="13"/>
        <v/>
      </c>
      <c r="N839" s="287">
        <f>IF(C839="Sale",SUMIFS($D$4:D839,$B$4:B839,B839,$C$4:C839,"")+SUMIFS($D$4:D839,$B$4:B839,B839,$C$4:C839,"Purch")-SUMIFS($D$4:D839,$B$4:B839,B839,$C$4:C839,"Sale"),0)</f>
        <v>0</v>
      </c>
    </row>
    <row r="840" spans="1:14" x14ac:dyDescent="0.2">
      <c r="A840" s="152"/>
      <c r="B840" s="132"/>
      <c r="C840" s="132"/>
      <c r="D840" s="277"/>
      <c r="E840" s="132"/>
      <c r="F840" s="170"/>
      <c r="G840" s="150"/>
      <c r="H840" s="152"/>
      <c r="I840" s="204"/>
      <c r="J840" s="285"/>
      <c r="K840" s="251"/>
      <c r="L840" s="133" t="str">
        <f>IF(AND(I840&lt;&gt;"",ISERROR(IF(ISERROR(VLOOKUP(I840*1,Summary!$C$8:$C$153,1,0)),VLOOKUP(I840,Summary!$C$8:$C$153,1,0),VLOOKUP(I840*1,Summary!$C$8:$C$153,1,0)))),"Add account Number to Summary","")</f>
        <v/>
      </c>
      <c r="M840" s="131" t="str">
        <f t="shared" si="13"/>
        <v/>
      </c>
      <c r="N840" s="287">
        <f>IF(C840="Sale",SUMIFS($D$4:D840,$B$4:B840,B840,$C$4:C840,"")+SUMIFS($D$4:D840,$B$4:B840,B840,$C$4:C840,"Purch")-SUMIFS($D$4:D840,$B$4:B840,B840,$C$4:C840,"Sale"),0)</f>
        <v>0</v>
      </c>
    </row>
    <row r="841" spans="1:14" x14ac:dyDescent="0.2">
      <c r="A841" s="152"/>
      <c r="B841" s="132"/>
      <c r="C841" s="132"/>
      <c r="D841" s="277"/>
      <c r="E841" s="132"/>
      <c r="F841" s="170"/>
      <c r="G841" s="150"/>
      <c r="H841" s="152"/>
      <c r="I841" s="204"/>
      <c r="J841" s="285"/>
      <c r="K841" s="251"/>
      <c r="L841" s="133" t="str">
        <f>IF(AND(I841&lt;&gt;"",ISERROR(IF(ISERROR(VLOOKUP(I841*1,Summary!$C$8:$C$153,1,0)),VLOOKUP(I841,Summary!$C$8:$C$153,1,0),VLOOKUP(I841*1,Summary!$C$8:$C$153,1,0)))),"Add account Number to Summary","")</f>
        <v/>
      </c>
      <c r="M841" s="131" t="str">
        <f t="shared" si="13"/>
        <v/>
      </c>
      <c r="N841" s="287">
        <f>IF(C841="Sale",SUMIFS($D$4:D841,$B$4:B841,B841,$C$4:C841,"")+SUMIFS($D$4:D841,$B$4:B841,B841,$C$4:C841,"Purch")-SUMIFS($D$4:D841,$B$4:B841,B841,$C$4:C841,"Sale"),0)</f>
        <v>0</v>
      </c>
    </row>
    <row r="842" spans="1:14" x14ac:dyDescent="0.2">
      <c r="A842" s="152"/>
      <c r="B842" s="132"/>
      <c r="C842" s="132"/>
      <c r="D842" s="277"/>
      <c r="E842" s="132"/>
      <c r="F842" s="170"/>
      <c r="G842" s="150"/>
      <c r="H842" s="152"/>
      <c r="I842" s="204"/>
      <c r="J842" s="285"/>
      <c r="K842" s="251"/>
      <c r="L842" s="133" t="str">
        <f>IF(AND(I842&lt;&gt;"",ISERROR(IF(ISERROR(VLOOKUP(I842*1,Summary!$C$8:$C$153,1,0)),VLOOKUP(I842,Summary!$C$8:$C$153,1,0),VLOOKUP(I842*1,Summary!$C$8:$C$153,1,0)))),"Add account Number to Summary","")</f>
        <v/>
      </c>
      <c r="M842" s="131" t="str">
        <f t="shared" si="13"/>
        <v/>
      </c>
      <c r="N842" s="287">
        <f>IF(C842="Sale",SUMIFS($D$4:D842,$B$4:B842,B842,$C$4:C842,"")+SUMIFS($D$4:D842,$B$4:B842,B842,$C$4:C842,"Purch")-SUMIFS($D$4:D842,$B$4:B842,B842,$C$4:C842,"Sale"),0)</f>
        <v>0</v>
      </c>
    </row>
    <row r="843" spans="1:14" x14ac:dyDescent="0.2">
      <c r="A843" s="152"/>
      <c r="B843" s="132"/>
      <c r="C843" s="132"/>
      <c r="D843" s="277"/>
      <c r="E843" s="132"/>
      <c r="F843" s="170"/>
      <c r="G843" s="150"/>
      <c r="H843" s="152"/>
      <c r="I843" s="204"/>
      <c r="J843" s="285"/>
      <c r="K843" s="251"/>
      <c r="L843" s="133" t="str">
        <f>IF(AND(I843&lt;&gt;"",ISERROR(IF(ISERROR(VLOOKUP(I843*1,Summary!$C$8:$C$153,1,0)),VLOOKUP(I843,Summary!$C$8:$C$153,1,0),VLOOKUP(I843*1,Summary!$C$8:$C$153,1,0)))),"Add account Number to Summary","")</f>
        <v/>
      </c>
      <c r="M843" s="131" t="str">
        <f t="shared" si="13"/>
        <v/>
      </c>
      <c r="N843" s="287">
        <f>IF(C843="Sale",SUMIFS($D$4:D843,$B$4:B843,B843,$C$4:C843,"")+SUMIFS($D$4:D843,$B$4:B843,B843,$C$4:C843,"Purch")-SUMIFS($D$4:D843,$B$4:B843,B843,$C$4:C843,"Sale"),0)</f>
        <v>0</v>
      </c>
    </row>
    <row r="844" spans="1:14" x14ac:dyDescent="0.2">
      <c r="A844" s="152"/>
      <c r="B844" s="132"/>
      <c r="C844" s="132"/>
      <c r="D844" s="277"/>
      <c r="E844" s="132"/>
      <c r="F844" s="170"/>
      <c r="G844" s="150"/>
      <c r="H844" s="152"/>
      <c r="I844" s="204"/>
      <c r="J844" s="285"/>
      <c r="K844" s="251"/>
      <c r="L844" s="133" t="str">
        <f>IF(AND(I844&lt;&gt;"",ISERROR(IF(ISERROR(VLOOKUP(I844*1,Summary!$C$8:$C$153,1,0)),VLOOKUP(I844,Summary!$C$8:$C$153,1,0),VLOOKUP(I844*1,Summary!$C$8:$C$153,1,0)))),"Add account Number to Summary","")</f>
        <v/>
      </c>
      <c r="M844" s="131" t="str">
        <f t="shared" si="13"/>
        <v/>
      </c>
      <c r="N844" s="287">
        <f>IF(C844="Sale",SUMIFS($D$4:D844,$B$4:B844,B844,$C$4:C844,"")+SUMIFS($D$4:D844,$B$4:B844,B844,$C$4:C844,"Purch")-SUMIFS($D$4:D844,$B$4:B844,B844,$C$4:C844,"Sale"),0)</f>
        <v>0</v>
      </c>
    </row>
    <row r="845" spans="1:14" x14ac:dyDescent="0.2">
      <c r="A845" s="152"/>
      <c r="B845" s="132"/>
      <c r="C845" s="132"/>
      <c r="D845" s="277"/>
      <c r="E845" s="132"/>
      <c r="F845" s="170"/>
      <c r="G845" s="150"/>
      <c r="H845" s="152"/>
      <c r="I845" s="204"/>
      <c r="J845" s="285"/>
      <c r="K845" s="251"/>
      <c r="L845" s="133" t="str">
        <f>IF(AND(I845&lt;&gt;"",ISERROR(IF(ISERROR(VLOOKUP(I845*1,Summary!$C$8:$C$153,1,0)),VLOOKUP(I845,Summary!$C$8:$C$153,1,0),VLOOKUP(I845*1,Summary!$C$8:$C$153,1,0)))),"Add account Number to Summary","")</f>
        <v/>
      </c>
      <c r="M845" s="131" t="str">
        <f t="shared" si="13"/>
        <v/>
      </c>
      <c r="N845" s="287">
        <f>IF(C845="Sale",SUMIFS($D$4:D845,$B$4:B845,B845,$C$4:C845,"")+SUMIFS($D$4:D845,$B$4:B845,B845,$C$4:C845,"Purch")-SUMIFS($D$4:D845,$B$4:B845,B845,$C$4:C845,"Sale"),0)</f>
        <v>0</v>
      </c>
    </row>
    <row r="846" spans="1:14" x14ac:dyDescent="0.2">
      <c r="A846" s="152"/>
      <c r="B846" s="132"/>
      <c r="C846" s="132"/>
      <c r="D846" s="277"/>
      <c r="E846" s="132"/>
      <c r="F846" s="170"/>
      <c r="G846" s="150"/>
      <c r="H846" s="152"/>
      <c r="I846" s="204"/>
      <c r="J846" s="285"/>
      <c r="K846" s="251"/>
      <c r="L846" s="133" t="str">
        <f>IF(AND(I846&lt;&gt;"",ISERROR(IF(ISERROR(VLOOKUP(I846*1,Summary!$C$8:$C$153,1,0)),VLOOKUP(I846,Summary!$C$8:$C$153,1,0),VLOOKUP(I846*1,Summary!$C$8:$C$153,1,0)))),"Add account Number to Summary","")</f>
        <v/>
      </c>
      <c r="M846" s="131" t="str">
        <f t="shared" si="13"/>
        <v/>
      </c>
      <c r="N846" s="287">
        <f>IF(C846="Sale",SUMIFS($D$4:D846,$B$4:B846,B846,$C$4:C846,"")+SUMIFS($D$4:D846,$B$4:B846,B846,$C$4:C846,"Purch")-SUMIFS($D$4:D846,$B$4:B846,B846,$C$4:C846,"Sale"),0)</f>
        <v>0</v>
      </c>
    </row>
    <row r="847" spans="1:14" x14ac:dyDescent="0.2">
      <c r="A847" s="152"/>
      <c r="B847" s="132"/>
      <c r="C847" s="132"/>
      <c r="D847" s="277"/>
      <c r="E847" s="132"/>
      <c r="F847" s="170"/>
      <c r="G847" s="150"/>
      <c r="H847" s="152"/>
      <c r="I847" s="204"/>
      <c r="J847" s="285"/>
      <c r="K847" s="251"/>
      <c r="L847" s="133" t="str">
        <f>IF(AND(I847&lt;&gt;"",ISERROR(IF(ISERROR(VLOOKUP(I847*1,Summary!$C$8:$C$153,1,0)),VLOOKUP(I847,Summary!$C$8:$C$153,1,0),VLOOKUP(I847*1,Summary!$C$8:$C$153,1,0)))),"Add account Number to Summary","")</f>
        <v/>
      </c>
      <c r="M847" s="131" t="str">
        <f t="shared" si="13"/>
        <v/>
      </c>
      <c r="N847" s="287">
        <f>IF(C847="Sale",SUMIFS($D$4:D847,$B$4:B847,B847,$C$4:C847,"")+SUMIFS($D$4:D847,$B$4:B847,B847,$C$4:C847,"Purch")-SUMIFS($D$4:D847,$B$4:B847,B847,$C$4:C847,"Sale"),0)</f>
        <v>0</v>
      </c>
    </row>
    <row r="848" spans="1:14" x14ac:dyDescent="0.2">
      <c r="A848" s="152"/>
      <c r="B848" s="132"/>
      <c r="C848" s="132"/>
      <c r="D848" s="277"/>
      <c r="E848" s="132"/>
      <c r="F848" s="170"/>
      <c r="G848" s="150"/>
      <c r="H848" s="152"/>
      <c r="I848" s="204"/>
      <c r="J848" s="285"/>
      <c r="K848" s="251"/>
      <c r="L848" s="133" t="str">
        <f>IF(AND(I848&lt;&gt;"",ISERROR(IF(ISERROR(VLOOKUP(I848*1,Summary!$C$8:$C$153,1,0)),VLOOKUP(I848,Summary!$C$8:$C$153,1,0),VLOOKUP(I848*1,Summary!$C$8:$C$153,1,0)))),"Add account Number to Summary","")</f>
        <v/>
      </c>
      <c r="M848" s="131" t="str">
        <f t="shared" si="13"/>
        <v/>
      </c>
      <c r="N848" s="287">
        <f>IF(C848="Sale",SUMIFS($D$4:D848,$B$4:B848,B848,$C$4:C848,"")+SUMIFS($D$4:D848,$B$4:B848,B848,$C$4:C848,"Purch")-SUMIFS($D$4:D848,$B$4:B848,B848,$C$4:C848,"Sale"),0)</f>
        <v>0</v>
      </c>
    </row>
    <row r="849" spans="1:14" x14ac:dyDescent="0.2">
      <c r="A849" s="152"/>
      <c r="B849" s="132"/>
      <c r="C849" s="132"/>
      <c r="D849" s="277"/>
      <c r="E849" s="132"/>
      <c r="F849" s="170"/>
      <c r="G849" s="150"/>
      <c r="H849" s="152"/>
      <c r="I849" s="204"/>
      <c r="J849" s="285"/>
      <c r="K849" s="251"/>
      <c r="L849" s="133" t="str">
        <f>IF(AND(I849&lt;&gt;"",ISERROR(IF(ISERROR(VLOOKUP(I849*1,Summary!$C$8:$C$153,1,0)),VLOOKUP(I849,Summary!$C$8:$C$153,1,0),VLOOKUP(I849*1,Summary!$C$8:$C$153,1,0)))),"Add account Number to Summary","")</f>
        <v/>
      </c>
      <c r="M849" s="131" t="str">
        <f t="shared" si="13"/>
        <v/>
      </c>
      <c r="N849" s="287">
        <f>IF(C849="Sale",SUMIFS($D$4:D849,$B$4:B849,B849,$C$4:C849,"")+SUMIFS($D$4:D849,$B$4:B849,B849,$C$4:C849,"Purch")-SUMIFS($D$4:D849,$B$4:B849,B849,$C$4:C849,"Sale"),0)</f>
        <v>0</v>
      </c>
    </row>
    <row r="850" spans="1:14" x14ac:dyDescent="0.2">
      <c r="A850" s="152"/>
      <c r="B850" s="132"/>
      <c r="C850" s="132"/>
      <c r="D850" s="277"/>
      <c r="E850" s="132"/>
      <c r="F850" s="170"/>
      <c r="G850" s="150"/>
      <c r="H850" s="152"/>
      <c r="I850" s="204"/>
      <c r="J850" s="285"/>
      <c r="K850" s="251"/>
      <c r="L850" s="133" t="str">
        <f>IF(AND(I850&lt;&gt;"",ISERROR(IF(ISERROR(VLOOKUP(I850*1,Summary!$C$8:$C$153,1,0)),VLOOKUP(I850,Summary!$C$8:$C$153,1,0),VLOOKUP(I850*1,Summary!$C$8:$C$153,1,0)))),"Add account Number to Summary","")</f>
        <v/>
      </c>
      <c r="M850" s="131" t="str">
        <f t="shared" si="13"/>
        <v/>
      </c>
      <c r="N850" s="287">
        <f>IF(C850="Sale",SUMIFS($D$4:D850,$B$4:B850,B850,$C$4:C850,"")+SUMIFS($D$4:D850,$B$4:B850,B850,$C$4:C850,"Purch")-SUMIFS($D$4:D850,$B$4:B850,B850,$C$4:C850,"Sale"),0)</f>
        <v>0</v>
      </c>
    </row>
    <row r="851" spans="1:14" x14ac:dyDescent="0.2">
      <c r="A851" s="152"/>
      <c r="B851" s="132"/>
      <c r="C851" s="132"/>
      <c r="D851" s="277"/>
      <c r="E851" s="132"/>
      <c r="F851" s="170"/>
      <c r="G851" s="150"/>
      <c r="H851" s="152"/>
      <c r="I851" s="204"/>
      <c r="J851" s="285"/>
      <c r="K851" s="251"/>
      <c r="L851" s="133" t="str">
        <f>IF(AND(I851&lt;&gt;"",ISERROR(IF(ISERROR(VLOOKUP(I851*1,Summary!$C$8:$C$153,1,0)),VLOOKUP(I851,Summary!$C$8:$C$153,1,0),VLOOKUP(I851*1,Summary!$C$8:$C$153,1,0)))),"Add account Number to Summary","")</f>
        <v/>
      </c>
      <c r="M851" s="131" t="str">
        <f t="shared" si="13"/>
        <v/>
      </c>
      <c r="N851" s="287">
        <f>IF(C851="Sale",SUMIFS($D$4:D851,$B$4:B851,B851,$C$4:C851,"")+SUMIFS($D$4:D851,$B$4:B851,B851,$C$4:C851,"Purch")-SUMIFS($D$4:D851,$B$4:B851,B851,$C$4:C851,"Sale"),0)</f>
        <v>0</v>
      </c>
    </row>
    <row r="852" spans="1:14" x14ac:dyDescent="0.2">
      <c r="A852" s="152"/>
      <c r="B852" s="132"/>
      <c r="C852" s="132"/>
      <c r="D852" s="277"/>
      <c r="E852" s="132"/>
      <c r="F852" s="170"/>
      <c r="G852" s="150"/>
      <c r="H852" s="152"/>
      <c r="I852" s="204"/>
      <c r="J852" s="285"/>
      <c r="K852" s="251"/>
      <c r="L852" s="133" t="str">
        <f>IF(AND(I852&lt;&gt;"",ISERROR(IF(ISERROR(VLOOKUP(I852*1,Summary!$C$8:$C$153,1,0)),VLOOKUP(I852,Summary!$C$8:$C$153,1,0),VLOOKUP(I852*1,Summary!$C$8:$C$153,1,0)))),"Add account Number to Summary","")</f>
        <v/>
      </c>
      <c r="M852" s="131" t="str">
        <f t="shared" si="13"/>
        <v/>
      </c>
      <c r="N852" s="287">
        <f>IF(C852="Sale",SUMIFS($D$4:D852,$B$4:B852,B852,$C$4:C852,"")+SUMIFS($D$4:D852,$B$4:B852,B852,$C$4:C852,"Purch")-SUMIFS($D$4:D852,$B$4:B852,B852,$C$4:C852,"Sale"),0)</f>
        <v>0</v>
      </c>
    </row>
    <row r="853" spans="1:14" x14ac:dyDescent="0.2">
      <c r="A853" s="152"/>
      <c r="B853" s="132"/>
      <c r="C853" s="132"/>
      <c r="D853" s="277"/>
      <c r="E853" s="132"/>
      <c r="F853" s="170"/>
      <c r="G853" s="150"/>
      <c r="H853" s="152"/>
      <c r="I853" s="204"/>
      <c r="J853" s="285"/>
      <c r="K853" s="251"/>
      <c r="L853" s="133" t="str">
        <f>IF(AND(I853&lt;&gt;"",ISERROR(IF(ISERROR(VLOOKUP(I853*1,Summary!$C$8:$C$153,1,0)),VLOOKUP(I853,Summary!$C$8:$C$153,1,0),VLOOKUP(I853*1,Summary!$C$8:$C$153,1,0)))),"Add account Number to Summary","")</f>
        <v/>
      </c>
      <c r="M853" s="131" t="str">
        <f t="shared" si="13"/>
        <v/>
      </c>
      <c r="N853" s="287">
        <f>IF(C853="Sale",SUMIFS($D$4:D853,$B$4:B853,B853,$C$4:C853,"")+SUMIFS($D$4:D853,$B$4:B853,B853,$C$4:C853,"Purch")-SUMIFS($D$4:D853,$B$4:B853,B853,$C$4:C853,"Sale"),0)</f>
        <v>0</v>
      </c>
    </row>
    <row r="854" spans="1:14" x14ac:dyDescent="0.2">
      <c r="A854" s="152"/>
      <c r="B854" s="132"/>
      <c r="C854" s="132"/>
      <c r="D854" s="277"/>
      <c r="E854" s="132"/>
      <c r="F854" s="170"/>
      <c r="G854" s="150"/>
      <c r="H854" s="152"/>
      <c r="I854" s="204"/>
      <c r="J854" s="285"/>
      <c r="K854" s="251"/>
      <c r="L854" s="133" t="str">
        <f>IF(AND(I854&lt;&gt;"",ISERROR(IF(ISERROR(VLOOKUP(I854*1,Summary!$C$8:$C$153,1,0)),VLOOKUP(I854,Summary!$C$8:$C$153,1,0),VLOOKUP(I854*1,Summary!$C$8:$C$153,1,0)))),"Add account Number to Summary","")</f>
        <v/>
      </c>
      <c r="M854" s="131" t="str">
        <f t="shared" si="13"/>
        <v/>
      </c>
      <c r="N854" s="287">
        <f>IF(C854="Sale",SUMIFS($D$4:D854,$B$4:B854,B854,$C$4:C854,"")+SUMIFS($D$4:D854,$B$4:B854,B854,$C$4:C854,"Purch")-SUMIFS($D$4:D854,$B$4:B854,B854,$C$4:C854,"Sale"),0)</f>
        <v>0</v>
      </c>
    </row>
    <row r="855" spans="1:14" x14ac:dyDescent="0.2">
      <c r="A855" s="152"/>
      <c r="B855" s="132"/>
      <c r="C855" s="132"/>
      <c r="D855" s="277"/>
      <c r="E855" s="132"/>
      <c r="F855" s="170"/>
      <c r="G855" s="150"/>
      <c r="H855" s="152"/>
      <c r="I855" s="204"/>
      <c r="J855" s="285"/>
      <c r="K855" s="251"/>
      <c r="L855" s="133" t="str">
        <f>IF(AND(I855&lt;&gt;"",ISERROR(IF(ISERROR(VLOOKUP(I855*1,Summary!$C$8:$C$153,1,0)),VLOOKUP(I855,Summary!$C$8:$C$153,1,0),VLOOKUP(I855*1,Summary!$C$8:$C$153,1,0)))),"Add account Number to Summary","")</f>
        <v/>
      </c>
      <c r="M855" s="131" t="str">
        <f t="shared" si="13"/>
        <v/>
      </c>
      <c r="N855" s="287">
        <f>IF(C855="Sale",SUMIFS($D$4:D855,$B$4:B855,B855,$C$4:C855,"")+SUMIFS($D$4:D855,$B$4:B855,B855,$C$4:C855,"Purch")-SUMIFS($D$4:D855,$B$4:B855,B855,$C$4:C855,"Sale"),0)</f>
        <v>0</v>
      </c>
    </row>
    <row r="856" spans="1:14" x14ac:dyDescent="0.2">
      <c r="A856" s="152"/>
      <c r="B856" s="132"/>
      <c r="C856" s="132"/>
      <c r="D856" s="277"/>
      <c r="E856" s="132"/>
      <c r="F856" s="170"/>
      <c r="G856" s="150"/>
      <c r="H856" s="152"/>
      <c r="I856" s="204"/>
      <c r="J856" s="285"/>
      <c r="K856" s="251"/>
      <c r="L856" s="133" t="str">
        <f>IF(AND(I856&lt;&gt;"",ISERROR(IF(ISERROR(VLOOKUP(I856*1,Summary!$C$8:$C$153,1,0)),VLOOKUP(I856,Summary!$C$8:$C$153,1,0),VLOOKUP(I856*1,Summary!$C$8:$C$153,1,0)))),"Add account Number to Summary","")</f>
        <v/>
      </c>
      <c r="M856" s="131" t="str">
        <f t="shared" si="13"/>
        <v/>
      </c>
      <c r="N856" s="287">
        <f>IF(C856="Sale",SUMIFS($D$4:D856,$B$4:B856,B856,$C$4:C856,"")+SUMIFS($D$4:D856,$B$4:B856,B856,$C$4:C856,"Purch")-SUMIFS($D$4:D856,$B$4:B856,B856,$C$4:C856,"Sale"),0)</f>
        <v>0</v>
      </c>
    </row>
    <row r="857" spans="1:14" x14ac:dyDescent="0.2">
      <c r="A857" s="152"/>
      <c r="B857" s="132"/>
      <c r="C857" s="132"/>
      <c r="D857" s="277"/>
      <c r="E857" s="132"/>
      <c r="F857" s="170"/>
      <c r="G857" s="150"/>
      <c r="H857" s="152"/>
      <c r="I857" s="204"/>
      <c r="J857" s="285"/>
      <c r="K857" s="251"/>
      <c r="L857" s="133" t="str">
        <f>IF(AND(I857&lt;&gt;"",ISERROR(IF(ISERROR(VLOOKUP(I857*1,Summary!$C$8:$C$153,1,0)),VLOOKUP(I857,Summary!$C$8:$C$153,1,0),VLOOKUP(I857*1,Summary!$C$8:$C$153,1,0)))),"Add account Number to Summary","")</f>
        <v/>
      </c>
      <c r="M857" s="131" t="str">
        <f t="shared" si="13"/>
        <v/>
      </c>
      <c r="N857" s="287">
        <f>IF(C857="Sale",SUMIFS($D$4:D857,$B$4:B857,B857,$C$4:C857,"")+SUMIFS($D$4:D857,$B$4:B857,B857,$C$4:C857,"Purch")-SUMIFS($D$4:D857,$B$4:B857,B857,$C$4:C857,"Sale"),0)</f>
        <v>0</v>
      </c>
    </row>
    <row r="858" spans="1:14" x14ac:dyDescent="0.2">
      <c r="A858" s="152"/>
      <c r="B858" s="132"/>
      <c r="C858" s="132"/>
      <c r="D858" s="277"/>
      <c r="E858" s="132"/>
      <c r="F858" s="170"/>
      <c r="G858" s="150"/>
      <c r="H858" s="152"/>
      <c r="I858" s="204"/>
      <c r="J858" s="285"/>
      <c r="K858" s="251"/>
      <c r="L858" s="133" t="str">
        <f>IF(AND(I858&lt;&gt;"",ISERROR(IF(ISERROR(VLOOKUP(I858*1,Summary!$C$8:$C$153,1,0)),VLOOKUP(I858,Summary!$C$8:$C$153,1,0),VLOOKUP(I858*1,Summary!$C$8:$C$153,1,0)))),"Add account Number to Summary","")</f>
        <v/>
      </c>
      <c r="M858" s="131" t="str">
        <f t="shared" si="13"/>
        <v/>
      </c>
      <c r="N858" s="287">
        <f>IF(C858="Sale",SUMIFS($D$4:D858,$B$4:B858,B858,$C$4:C858,"")+SUMIFS($D$4:D858,$B$4:B858,B858,$C$4:C858,"Purch")-SUMIFS($D$4:D858,$B$4:B858,B858,$C$4:C858,"Sale"),0)</f>
        <v>0</v>
      </c>
    </row>
    <row r="859" spans="1:14" x14ac:dyDescent="0.2">
      <c r="A859" s="152"/>
      <c r="B859" s="132"/>
      <c r="C859" s="132"/>
      <c r="D859" s="277"/>
      <c r="E859" s="132"/>
      <c r="F859" s="170"/>
      <c r="G859" s="150"/>
      <c r="H859" s="152"/>
      <c r="I859" s="204"/>
      <c r="J859" s="285"/>
      <c r="K859" s="251"/>
      <c r="L859" s="133" t="str">
        <f>IF(AND(I859&lt;&gt;"",ISERROR(IF(ISERROR(VLOOKUP(I859*1,Summary!$C$8:$C$153,1,0)),VLOOKUP(I859,Summary!$C$8:$C$153,1,0),VLOOKUP(I859*1,Summary!$C$8:$C$153,1,0)))),"Add account Number to Summary","")</f>
        <v/>
      </c>
      <c r="M859" s="131" t="str">
        <f t="shared" si="13"/>
        <v/>
      </c>
      <c r="N859" s="287">
        <f>IF(C859="Sale",SUMIFS($D$4:D859,$B$4:B859,B859,$C$4:C859,"")+SUMIFS($D$4:D859,$B$4:B859,B859,$C$4:C859,"Purch")-SUMIFS($D$4:D859,$B$4:B859,B859,$C$4:C859,"Sale"),0)</f>
        <v>0</v>
      </c>
    </row>
    <row r="860" spans="1:14" x14ac:dyDescent="0.2">
      <c r="A860" s="152"/>
      <c r="B860" s="132"/>
      <c r="C860" s="132"/>
      <c r="D860" s="277"/>
      <c r="E860" s="132"/>
      <c r="F860" s="170"/>
      <c r="G860" s="150"/>
      <c r="H860" s="152"/>
      <c r="I860" s="204"/>
      <c r="J860" s="285"/>
      <c r="K860" s="251"/>
      <c r="L860" s="133" t="str">
        <f>IF(AND(I860&lt;&gt;"",ISERROR(IF(ISERROR(VLOOKUP(I860*1,Summary!$C$8:$C$153,1,0)),VLOOKUP(I860,Summary!$C$8:$C$153,1,0),VLOOKUP(I860*1,Summary!$C$8:$C$153,1,0)))),"Add account Number to Summary","")</f>
        <v/>
      </c>
      <c r="M860" s="131" t="str">
        <f t="shared" si="13"/>
        <v/>
      </c>
      <c r="N860" s="287">
        <f>IF(C860="Sale",SUMIFS($D$4:D860,$B$4:B860,B860,$C$4:C860,"")+SUMIFS($D$4:D860,$B$4:B860,B860,$C$4:C860,"Purch")-SUMIFS($D$4:D860,$B$4:B860,B860,$C$4:C860,"Sale"),0)</f>
        <v>0</v>
      </c>
    </row>
    <row r="861" spans="1:14" x14ac:dyDescent="0.2">
      <c r="A861" s="152"/>
      <c r="B861" s="132"/>
      <c r="C861" s="132"/>
      <c r="D861" s="277"/>
      <c r="E861" s="132"/>
      <c r="F861" s="170"/>
      <c r="G861" s="150"/>
      <c r="H861" s="152"/>
      <c r="I861" s="204"/>
      <c r="J861" s="285"/>
      <c r="K861" s="251"/>
      <c r="L861" s="133" t="str">
        <f>IF(AND(I861&lt;&gt;"",ISERROR(IF(ISERROR(VLOOKUP(I861*1,Summary!$C$8:$C$153,1,0)),VLOOKUP(I861,Summary!$C$8:$C$153,1,0),VLOOKUP(I861*1,Summary!$C$8:$C$153,1,0)))),"Add account Number to Summary","")</f>
        <v/>
      </c>
      <c r="M861" s="131" t="str">
        <f t="shared" si="13"/>
        <v/>
      </c>
      <c r="N861" s="287">
        <f>IF(C861="Sale",SUMIFS($D$4:D861,$B$4:B861,B861,$C$4:C861,"")+SUMIFS($D$4:D861,$B$4:B861,B861,$C$4:C861,"Purch")-SUMIFS($D$4:D861,$B$4:B861,B861,$C$4:C861,"Sale"),0)</f>
        <v>0</v>
      </c>
    </row>
    <row r="862" spans="1:14" x14ac:dyDescent="0.2">
      <c r="A862" s="152"/>
      <c r="B862" s="132"/>
      <c r="C862" s="132"/>
      <c r="D862" s="277"/>
      <c r="E862" s="132"/>
      <c r="F862" s="170"/>
      <c r="G862" s="150"/>
      <c r="H862" s="152"/>
      <c r="I862" s="204"/>
      <c r="J862" s="285"/>
      <c r="K862" s="251"/>
      <c r="L862" s="133" t="str">
        <f>IF(AND(I862&lt;&gt;"",ISERROR(IF(ISERROR(VLOOKUP(I862*1,Summary!$C$8:$C$153,1,0)),VLOOKUP(I862,Summary!$C$8:$C$153,1,0),VLOOKUP(I862*1,Summary!$C$8:$C$153,1,0)))),"Add account Number to Summary","")</f>
        <v/>
      </c>
      <c r="M862" s="131" t="str">
        <f t="shared" si="13"/>
        <v/>
      </c>
      <c r="N862" s="287">
        <f>IF(C862="Sale",SUMIFS($D$4:D862,$B$4:B862,B862,$C$4:C862,"")+SUMIFS($D$4:D862,$B$4:B862,B862,$C$4:C862,"Purch")-SUMIFS($D$4:D862,$B$4:B862,B862,$C$4:C862,"Sale"),0)</f>
        <v>0</v>
      </c>
    </row>
    <row r="863" spans="1:14" x14ac:dyDescent="0.2">
      <c r="A863" s="152"/>
      <c r="B863" s="132"/>
      <c r="C863" s="132"/>
      <c r="D863" s="277"/>
      <c r="E863" s="132"/>
      <c r="F863" s="170"/>
      <c r="G863" s="150"/>
      <c r="H863" s="152"/>
      <c r="I863" s="204"/>
      <c r="J863" s="285"/>
      <c r="K863" s="251"/>
      <c r="L863" s="133" t="str">
        <f>IF(AND(I863&lt;&gt;"",ISERROR(IF(ISERROR(VLOOKUP(I863*1,Summary!$C$8:$C$153,1,0)),VLOOKUP(I863,Summary!$C$8:$C$153,1,0),VLOOKUP(I863*1,Summary!$C$8:$C$153,1,0)))),"Add account Number to Summary","")</f>
        <v/>
      </c>
      <c r="M863" s="131" t="str">
        <f t="shared" si="13"/>
        <v/>
      </c>
      <c r="N863" s="287">
        <f>IF(C863="Sale",SUMIFS($D$4:D863,$B$4:B863,B863,$C$4:C863,"")+SUMIFS($D$4:D863,$B$4:B863,B863,$C$4:C863,"Purch")-SUMIFS($D$4:D863,$B$4:B863,B863,$C$4:C863,"Sale"),0)</f>
        <v>0</v>
      </c>
    </row>
    <row r="864" spans="1:14" x14ac:dyDescent="0.2">
      <c r="A864" s="152"/>
      <c r="B864" s="132"/>
      <c r="C864" s="132"/>
      <c r="D864" s="277"/>
      <c r="E864" s="132"/>
      <c r="F864" s="170"/>
      <c r="G864" s="150"/>
      <c r="H864" s="152"/>
      <c r="I864" s="204"/>
      <c r="J864" s="285"/>
      <c r="K864" s="251"/>
      <c r="L864" s="133" t="str">
        <f>IF(AND(I864&lt;&gt;"",ISERROR(IF(ISERROR(VLOOKUP(I864*1,Summary!$C$8:$C$153,1,0)),VLOOKUP(I864,Summary!$C$8:$C$153,1,0),VLOOKUP(I864*1,Summary!$C$8:$C$153,1,0)))),"Add account Number to Summary","")</f>
        <v/>
      </c>
      <c r="M864" s="131" t="str">
        <f t="shared" si="13"/>
        <v/>
      </c>
      <c r="N864" s="287">
        <f>IF(C864="Sale",SUMIFS($D$4:D864,$B$4:B864,B864,$C$4:C864,"")+SUMIFS($D$4:D864,$B$4:B864,B864,$C$4:C864,"Purch")-SUMIFS($D$4:D864,$B$4:B864,B864,$C$4:C864,"Sale"),0)</f>
        <v>0</v>
      </c>
    </row>
    <row r="865" spans="1:14" x14ac:dyDescent="0.2">
      <c r="A865" s="152"/>
      <c r="B865" s="132"/>
      <c r="C865" s="132"/>
      <c r="D865" s="277"/>
      <c r="E865" s="132"/>
      <c r="F865" s="170"/>
      <c r="G865" s="150"/>
      <c r="H865" s="152"/>
      <c r="I865" s="204"/>
      <c r="J865" s="285"/>
      <c r="K865" s="251"/>
      <c r="L865" s="133" t="str">
        <f>IF(AND(I865&lt;&gt;"",ISERROR(IF(ISERROR(VLOOKUP(I865*1,Summary!$C$8:$C$153,1,0)),VLOOKUP(I865,Summary!$C$8:$C$153,1,0),VLOOKUP(I865*1,Summary!$C$8:$C$153,1,0)))),"Add account Number to Summary","")</f>
        <v/>
      </c>
      <c r="M865" s="131" t="str">
        <f t="shared" si="13"/>
        <v/>
      </c>
      <c r="N865" s="287">
        <f>IF(C865="Sale",SUMIFS($D$4:D865,$B$4:B865,B865,$C$4:C865,"")+SUMIFS($D$4:D865,$B$4:B865,B865,$C$4:C865,"Purch")-SUMIFS($D$4:D865,$B$4:B865,B865,$C$4:C865,"Sale"),0)</f>
        <v>0</v>
      </c>
    </row>
    <row r="866" spans="1:14" x14ac:dyDescent="0.2">
      <c r="A866" s="152"/>
      <c r="B866" s="132"/>
      <c r="C866" s="132"/>
      <c r="D866" s="277"/>
      <c r="E866" s="132"/>
      <c r="F866" s="170"/>
      <c r="G866" s="150"/>
      <c r="H866" s="152"/>
      <c r="I866" s="204"/>
      <c r="J866" s="285"/>
      <c r="K866" s="251"/>
      <c r="L866" s="133" t="str">
        <f>IF(AND(I866&lt;&gt;"",ISERROR(IF(ISERROR(VLOOKUP(I866*1,Summary!$C$8:$C$153,1,0)),VLOOKUP(I866,Summary!$C$8:$C$153,1,0),VLOOKUP(I866*1,Summary!$C$8:$C$153,1,0)))),"Add account Number to Summary","")</f>
        <v/>
      </c>
      <c r="M866" s="131" t="str">
        <f t="shared" si="13"/>
        <v/>
      </c>
      <c r="N866" s="287">
        <f>IF(C866="Sale",SUMIFS($D$4:D866,$B$4:B866,B866,$C$4:C866,"")+SUMIFS($D$4:D866,$B$4:B866,B866,$C$4:C866,"Purch")-SUMIFS($D$4:D866,$B$4:B866,B866,$C$4:C866,"Sale"),0)</f>
        <v>0</v>
      </c>
    </row>
    <row r="867" spans="1:14" x14ac:dyDescent="0.2">
      <c r="A867" s="152"/>
      <c r="B867" s="132"/>
      <c r="C867" s="132"/>
      <c r="D867" s="277"/>
      <c r="E867" s="132"/>
      <c r="F867" s="170"/>
      <c r="G867" s="150"/>
      <c r="H867" s="152"/>
      <c r="I867" s="204"/>
      <c r="J867" s="285"/>
      <c r="K867" s="251"/>
      <c r="L867" s="133" t="str">
        <f>IF(AND(I867&lt;&gt;"",ISERROR(IF(ISERROR(VLOOKUP(I867*1,Summary!$C$8:$C$153,1,0)),VLOOKUP(I867,Summary!$C$8:$C$153,1,0),VLOOKUP(I867*1,Summary!$C$8:$C$153,1,0)))),"Add account Number to Summary","")</f>
        <v/>
      </c>
      <c r="M867" s="131" t="str">
        <f t="shared" si="13"/>
        <v/>
      </c>
      <c r="N867" s="287">
        <f>IF(C867="Sale",SUMIFS($D$4:D867,$B$4:B867,B867,$C$4:C867,"")+SUMIFS($D$4:D867,$B$4:B867,B867,$C$4:C867,"Purch")-SUMIFS($D$4:D867,$B$4:B867,B867,$C$4:C867,"Sale"),0)</f>
        <v>0</v>
      </c>
    </row>
    <row r="868" spans="1:14" x14ac:dyDescent="0.2">
      <c r="A868" s="152"/>
      <c r="B868" s="132"/>
      <c r="C868" s="132"/>
      <c r="D868" s="277"/>
      <c r="E868" s="132"/>
      <c r="F868" s="170"/>
      <c r="G868" s="150"/>
      <c r="H868" s="152"/>
      <c r="I868" s="204"/>
      <c r="J868" s="285"/>
      <c r="K868" s="251"/>
      <c r="L868" s="133" t="str">
        <f>IF(AND(I868&lt;&gt;"",ISERROR(IF(ISERROR(VLOOKUP(I868*1,Summary!$C$8:$C$153,1,0)),VLOOKUP(I868,Summary!$C$8:$C$153,1,0),VLOOKUP(I868*1,Summary!$C$8:$C$153,1,0)))),"Add account Number to Summary","")</f>
        <v/>
      </c>
      <c r="M868" s="131" t="str">
        <f t="shared" si="13"/>
        <v/>
      </c>
      <c r="N868" s="287">
        <f>IF(C868="Sale",SUMIFS($D$4:D868,$B$4:B868,B868,$C$4:C868,"")+SUMIFS($D$4:D868,$B$4:B868,B868,$C$4:C868,"Purch")-SUMIFS($D$4:D868,$B$4:B868,B868,$C$4:C868,"Sale"),0)</f>
        <v>0</v>
      </c>
    </row>
    <row r="869" spans="1:14" x14ac:dyDescent="0.2">
      <c r="A869" s="152"/>
      <c r="B869" s="132"/>
      <c r="C869" s="132"/>
      <c r="D869" s="277"/>
      <c r="E869" s="132"/>
      <c r="F869" s="170"/>
      <c r="G869" s="150"/>
      <c r="H869" s="152"/>
      <c r="I869" s="204"/>
      <c r="J869" s="285"/>
      <c r="K869" s="251"/>
      <c r="L869" s="133" t="str">
        <f>IF(AND(I869&lt;&gt;"",ISERROR(IF(ISERROR(VLOOKUP(I869*1,Summary!$C$8:$C$153,1,0)),VLOOKUP(I869,Summary!$C$8:$C$153,1,0),VLOOKUP(I869*1,Summary!$C$8:$C$153,1,0)))),"Add account Number to Summary","")</f>
        <v/>
      </c>
      <c r="M869" s="131" t="str">
        <f t="shared" si="13"/>
        <v/>
      </c>
      <c r="N869" s="287">
        <f>IF(C869="Sale",SUMIFS($D$4:D869,$B$4:B869,B869,$C$4:C869,"")+SUMIFS($D$4:D869,$B$4:B869,B869,$C$4:C869,"Purch")-SUMIFS($D$4:D869,$B$4:B869,B869,$C$4:C869,"Sale"),0)</f>
        <v>0</v>
      </c>
    </row>
    <row r="870" spans="1:14" x14ac:dyDescent="0.2">
      <c r="A870" s="152"/>
      <c r="B870" s="132"/>
      <c r="C870" s="132"/>
      <c r="D870" s="277"/>
      <c r="E870" s="132"/>
      <c r="F870" s="170"/>
      <c r="G870" s="150"/>
      <c r="H870" s="152"/>
      <c r="I870" s="204"/>
      <c r="J870" s="285"/>
      <c r="K870" s="251"/>
      <c r="L870" s="133" t="str">
        <f>IF(AND(I870&lt;&gt;"",ISERROR(IF(ISERROR(VLOOKUP(I870*1,Summary!$C$8:$C$153,1,0)),VLOOKUP(I870,Summary!$C$8:$C$153,1,0),VLOOKUP(I870*1,Summary!$C$8:$C$153,1,0)))),"Add account Number to Summary","")</f>
        <v/>
      </c>
      <c r="M870" s="131" t="str">
        <f t="shared" si="13"/>
        <v/>
      </c>
      <c r="N870" s="287">
        <f>IF(C870="Sale",SUMIFS($D$4:D870,$B$4:B870,B870,$C$4:C870,"")+SUMIFS($D$4:D870,$B$4:B870,B870,$C$4:C870,"Purch")-SUMIFS($D$4:D870,$B$4:B870,B870,$C$4:C870,"Sale"),0)</f>
        <v>0</v>
      </c>
    </row>
    <row r="871" spans="1:14" x14ac:dyDescent="0.2">
      <c r="A871" s="152"/>
      <c r="B871" s="132"/>
      <c r="C871" s="132"/>
      <c r="D871" s="277"/>
      <c r="E871" s="132"/>
      <c r="F871" s="170"/>
      <c r="G871" s="150"/>
      <c r="H871" s="152"/>
      <c r="I871" s="204"/>
      <c r="J871" s="285"/>
      <c r="K871" s="251"/>
      <c r="L871" s="133" t="str">
        <f>IF(AND(I871&lt;&gt;"",ISERROR(IF(ISERROR(VLOOKUP(I871*1,Summary!$C$8:$C$153,1,0)),VLOOKUP(I871,Summary!$C$8:$C$153,1,0),VLOOKUP(I871*1,Summary!$C$8:$C$153,1,0)))),"Add account Number to Summary","")</f>
        <v/>
      </c>
      <c r="M871" s="131" t="str">
        <f t="shared" si="13"/>
        <v/>
      </c>
      <c r="N871" s="287">
        <f>IF(C871="Sale",SUMIFS($D$4:D871,$B$4:B871,B871,$C$4:C871,"")+SUMIFS($D$4:D871,$B$4:B871,B871,$C$4:C871,"Purch")-SUMIFS($D$4:D871,$B$4:B871,B871,$C$4:C871,"Sale"),0)</f>
        <v>0</v>
      </c>
    </row>
    <row r="872" spans="1:14" x14ac:dyDescent="0.2">
      <c r="A872" s="152"/>
      <c r="B872" s="132"/>
      <c r="C872" s="132"/>
      <c r="D872" s="277"/>
      <c r="E872" s="132"/>
      <c r="F872" s="170"/>
      <c r="G872" s="150"/>
      <c r="H872" s="152"/>
      <c r="I872" s="204"/>
      <c r="J872" s="285"/>
      <c r="K872" s="251"/>
      <c r="L872" s="133" t="str">
        <f>IF(AND(I872&lt;&gt;"",ISERROR(IF(ISERROR(VLOOKUP(I872*1,Summary!$C$8:$C$153,1,0)),VLOOKUP(I872,Summary!$C$8:$C$153,1,0),VLOOKUP(I872*1,Summary!$C$8:$C$153,1,0)))),"Add account Number to Summary","")</f>
        <v/>
      </c>
      <c r="M872" s="131" t="str">
        <f t="shared" si="13"/>
        <v/>
      </c>
      <c r="N872" s="287">
        <f>IF(C872="Sale",SUMIFS($D$4:D872,$B$4:B872,B872,$C$4:C872,"")+SUMIFS($D$4:D872,$B$4:B872,B872,$C$4:C872,"Purch")-SUMIFS($D$4:D872,$B$4:B872,B872,$C$4:C872,"Sale"),0)</f>
        <v>0</v>
      </c>
    </row>
    <row r="873" spans="1:14" x14ac:dyDescent="0.2">
      <c r="A873" s="152"/>
      <c r="B873" s="132"/>
      <c r="C873" s="132"/>
      <c r="D873" s="277"/>
      <c r="E873" s="132"/>
      <c r="F873" s="170"/>
      <c r="G873" s="150"/>
      <c r="H873" s="152"/>
      <c r="I873" s="204"/>
      <c r="J873" s="285"/>
      <c r="K873" s="251"/>
      <c r="L873" s="133" t="str">
        <f>IF(AND(I873&lt;&gt;"",ISERROR(IF(ISERROR(VLOOKUP(I873*1,Summary!$C$8:$C$153,1,0)),VLOOKUP(I873,Summary!$C$8:$C$153,1,0),VLOOKUP(I873*1,Summary!$C$8:$C$153,1,0)))),"Add account Number to Summary","")</f>
        <v/>
      </c>
      <c r="M873" s="131" t="str">
        <f t="shared" si="13"/>
        <v/>
      </c>
      <c r="N873" s="287">
        <f>IF(C873="Sale",SUMIFS($D$4:D873,$B$4:B873,B873,$C$4:C873,"")+SUMIFS($D$4:D873,$B$4:B873,B873,$C$4:C873,"Purch")-SUMIFS($D$4:D873,$B$4:B873,B873,$C$4:C873,"Sale"),0)</f>
        <v>0</v>
      </c>
    </row>
    <row r="874" spans="1:14" x14ac:dyDescent="0.2">
      <c r="A874" s="152"/>
      <c r="B874" s="132"/>
      <c r="C874" s="132"/>
      <c r="D874" s="277"/>
      <c r="E874" s="132"/>
      <c r="F874" s="170"/>
      <c r="G874" s="150"/>
      <c r="H874" s="152"/>
      <c r="I874" s="204"/>
      <c r="J874" s="285"/>
      <c r="K874" s="251"/>
      <c r="L874" s="133" t="str">
        <f>IF(AND(I874&lt;&gt;"",ISERROR(IF(ISERROR(VLOOKUP(I874*1,Summary!$C$8:$C$153,1,0)),VLOOKUP(I874,Summary!$C$8:$C$153,1,0),VLOOKUP(I874*1,Summary!$C$8:$C$153,1,0)))),"Add account Number to Summary","")</f>
        <v/>
      </c>
      <c r="M874" s="131" t="str">
        <f t="shared" si="13"/>
        <v/>
      </c>
      <c r="N874" s="287">
        <f>IF(C874="Sale",SUMIFS($D$4:D874,$B$4:B874,B874,$C$4:C874,"")+SUMIFS($D$4:D874,$B$4:B874,B874,$C$4:C874,"Purch")-SUMIFS($D$4:D874,$B$4:B874,B874,$C$4:C874,"Sale"),0)</f>
        <v>0</v>
      </c>
    </row>
    <row r="875" spans="1:14" x14ac:dyDescent="0.2">
      <c r="A875" s="152"/>
      <c r="B875" s="132"/>
      <c r="C875" s="132"/>
      <c r="D875" s="277"/>
      <c r="E875" s="132"/>
      <c r="F875" s="170"/>
      <c r="G875" s="150"/>
      <c r="H875" s="152"/>
      <c r="I875" s="204"/>
      <c r="J875" s="285"/>
      <c r="K875" s="251"/>
      <c r="L875" s="133" t="str">
        <f>IF(AND(I875&lt;&gt;"",ISERROR(IF(ISERROR(VLOOKUP(I875*1,Summary!$C$8:$C$153,1,0)),VLOOKUP(I875,Summary!$C$8:$C$153,1,0),VLOOKUP(I875*1,Summary!$C$8:$C$153,1,0)))),"Add account Number to Summary","")</f>
        <v/>
      </c>
      <c r="M875" s="131" t="str">
        <f t="shared" si="13"/>
        <v/>
      </c>
      <c r="N875" s="287">
        <f>IF(C875="Sale",SUMIFS($D$4:D875,$B$4:B875,B875,$C$4:C875,"")+SUMIFS($D$4:D875,$B$4:B875,B875,$C$4:C875,"Purch")-SUMIFS($D$4:D875,$B$4:B875,B875,$C$4:C875,"Sale"),0)</f>
        <v>0</v>
      </c>
    </row>
    <row r="876" spans="1:14" x14ac:dyDescent="0.2">
      <c r="A876" s="152"/>
      <c r="B876" s="132"/>
      <c r="C876" s="132"/>
      <c r="D876" s="277"/>
      <c r="E876" s="132"/>
      <c r="F876" s="170"/>
      <c r="G876" s="150"/>
      <c r="H876" s="152"/>
      <c r="I876" s="204"/>
      <c r="J876" s="285"/>
      <c r="K876" s="251"/>
      <c r="L876" s="133" t="str">
        <f>IF(AND(I876&lt;&gt;"",ISERROR(IF(ISERROR(VLOOKUP(I876*1,Summary!$C$8:$C$153,1,0)),VLOOKUP(I876,Summary!$C$8:$C$153,1,0),VLOOKUP(I876*1,Summary!$C$8:$C$153,1,0)))),"Add account Number to Summary","")</f>
        <v/>
      </c>
      <c r="M876" s="131" t="str">
        <f t="shared" ref="M876:M939" si="14">IF(K876="Yes",IF(YEAR(A876)&lt;&gt;YEAR(date),"Check Date",""),"")</f>
        <v/>
      </c>
      <c r="N876" s="287">
        <f>IF(C876="Sale",SUMIFS($D$4:D876,$B$4:B876,B876,$C$4:C876,"")+SUMIFS($D$4:D876,$B$4:B876,B876,$C$4:C876,"Purch")-SUMIFS($D$4:D876,$B$4:B876,B876,$C$4:C876,"Sale"),0)</f>
        <v>0</v>
      </c>
    </row>
    <row r="877" spans="1:14" x14ac:dyDescent="0.2">
      <c r="A877" s="152"/>
      <c r="B877" s="132"/>
      <c r="C877" s="132"/>
      <c r="D877" s="277"/>
      <c r="E877" s="132"/>
      <c r="F877" s="170"/>
      <c r="G877" s="150"/>
      <c r="H877" s="152"/>
      <c r="I877" s="204"/>
      <c r="J877" s="285"/>
      <c r="K877" s="251"/>
      <c r="L877" s="133" t="str">
        <f>IF(AND(I877&lt;&gt;"",ISERROR(IF(ISERROR(VLOOKUP(I877*1,Summary!$C$8:$C$153,1,0)),VLOOKUP(I877,Summary!$C$8:$C$153,1,0),VLOOKUP(I877*1,Summary!$C$8:$C$153,1,0)))),"Add account Number to Summary","")</f>
        <v/>
      </c>
      <c r="M877" s="131" t="str">
        <f t="shared" si="14"/>
        <v/>
      </c>
      <c r="N877" s="287">
        <f>IF(C877="Sale",SUMIFS($D$4:D877,$B$4:B877,B877,$C$4:C877,"")+SUMIFS($D$4:D877,$B$4:B877,B877,$C$4:C877,"Purch")-SUMIFS($D$4:D877,$B$4:B877,B877,$C$4:C877,"Sale"),0)</f>
        <v>0</v>
      </c>
    </row>
    <row r="878" spans="1:14" x14ac:dyDescent="0.2">
      <c r="A878" s="152"/>
      <c r="B878" s="132"/>
      <c r="C878" s="132"/>
      <c r="D878" s="277"/>
      <c r="E878" s="132"/>
      <c r="F878" s="170"/>
      <c r="G878" s="150"/>
      <c r="H878" s="152"/>
      <c r="I878" s="204"/>
      <c r="J878" s="285"/>
      <c r="K878" s="251"/>
      <c r="L878" s="133" t="str">
        <f>IF(AND(I878&lt;&gt;"",ISERROR(IF(ISERROR(VLOOKUP(I878*1,Summary!$C$8:$C$153,1,0)),VLOOKUP(I878,Summary!$C$8:$C$153,1,0),VLOOKUP(I878*1,Summary!$C$8:$C$153,1,0)))),"Add account Number to Summary","")</f>
        <v/>
      </c>
      <c r="M878" s="131" t="str">
        <f t="shared" si="14"/>
        <v/>
      </c>
      <c r="N878" s="287">
        <f>IF(C878="Sale",SUMIFS($D$4:D878,$B$4:B878,B878,$C$4:C878,"")+SUMIFS($D$4:D878,$B$4:B878,B878,$C$4:C878,"Purch")-SUMIFS($D$4:D878,$B$4:B878,B878,$C$4:C878,"Sale"),0)</f>
        <v>0</v>
      </c>
    </row>
    <row r="879" spans="1:14" x14ac:dyDescent="0.2">
      <c r="A879" s="152"/>
      <c r="B879" s="132"/>
      <c r="C879" s="132"/>
      <c r="D879" s="277"/>
      <c r="E879" s="132"/>
      <c r="F879" s="170"/>
      <c r="G879" s="150"/>
      <c r="H879" s="152"/>
      <c r="I879" s="204"/>
      <c r="J879" s="285"/>
      <c r="K879" s="251"/>
      <c r="L879" s="133" t="str">
        <f>IF(AND(I879&lt;&gt;"",ISERROR(IF(ISERROR(VLOOKUP(I879*1,Summary!$C$8:$C$153,1,0)),VLOOKUP(I879,Summary!$C$8:$C$153,1,0),VLOOKUP(I879*1,Summary!$C$8:$C$153,1,0)))),"Add account Number to Summary","")</f>
        <v/>
      </c>
      <c r="M879" s="131" t="str">
        <f t="shared" si="14"/>
        <v/>
      </c>
      <c r="N879" s="287">
        <f>IF(C879="Sale",SUMIFS($D$4:D879,$B$4:B879,B879,$C$4:C879,"")+SUMIFS($D$4:D879,$B$4:B879,B879,$C$4:C879,"Purch")-SUMIFS($D$4:D879,$B$4:B879,B879,$C$4:C879,"Sale"),0)</f>
        <v>0</v>
      </c>
    </row>
    <row r="880" spans="1:14" x14ac:dyDescent="0.2">
      <c r="A880" s="152"/>
      <c r="B880" s="132"/>
      <c r="C880" s="132"/>
      <c r="D880" s="277"/>
      <c r="E880" s="132"/>
      <c r="F880" s="170"/>
      <c r="G880" s="150"/>
      <c r="H880" s="152"/>
      <c r="I880" s="204"/>
      <c r="J880" s="285"/>
      <c r="K880" s="251"/>
      <c r="L880" s="133" t="str">
        <f>IF(AND(I880&lt;&gt;"",ISERROR(IF(ISERROR(VLOOKUP(I880*1,Summary!$C$8:$C$153,1,0)),VLOOKUP(I880,Summary!$C$8:$C$153,1,0),VLOOKUP(I880*1,Summary!$C$8:$C$153,1,0)))),"Add account Number to Summary","")</f>
        <v/>
      </c>
      <c r="M880" s="131" t="str">
        <f t="shared" si="14"/>
        <v/>
      </c>
      <c r="N880" s="287">
        <f>IF(C880="Sale",SUMIFS($D$4:D880,$B$4:B880,B880,$C$4:C880,"")+SUMIFS($D$4:D880,$B$4:B880,B880,$C$4:C880,"Purch")-SUMIFS($D$4:D880,$B$4:B880,B880,$C$4:C880,"Sale"),0)</f>
        <v>0</v>
      </c>
    </row>
    <row r="881" spans="1:14" x14ac:dyDescent="0.2">
      <c r="A881" s="152"/>
      <c r="B881" s="132"/>
      <c r="C881" s="132"/>
      <c r="D881" s="277"/>
      <c r="E881" s="132"/>
      <c r="F881" s="170"/>
      <c r="G881" s="150"/>
      <c r="H881" s="152"/>
      <c r="I881" s="204"/>
      <c r="J881" s="285"/>
      <c r="K881" s="251"/>
      <c r="L881" s="133" t="str">
        <f>IF(AND(I881&lt;&gt;"",ISERROR(IF(ISERROR(VLOOKUP(I881*1,Summary!$C$8:$C$153,1,0)),VLOOKUP(I881,Summary!$C$8:$C$153,1,0),VLOOKUP(I881*1,Summary!$C$8:$C$153,1,0)))),"Add account Number to Summary","")</f>
        <v/>
      </c>
      <c r="M881" s="131" t="str">
        <f t="shared" si="14"/>
        <v/>
      </c>
      <c r="N881" s="287">
        <f>IF(C881="Sale",SUMIFS($D$4:D881,$B$4:B881,B881,$C$4:C881,"")+SUMIFS($D$4:D881,$B$4:B881,B881,$C$4:C881,"Purch")-SUMIFS($D$4:D881,$B$4:B881,B881,$C$4:C881,"Sale"),0)</f>
        <v>0</v>
      </c>
    </row>
    <row r="882" spans="1:14" x14ac:dyDescent="0.2">
      <c r="A882" s="152"/>
      <c r="B882" s="132"/>
      <c r="C882" s="132"/>
      <c r="D882" s="277"/>
      <c r="E882" s="132"/>
      <c r="F882" s="170"/>
      <c r="G882" s="150"/>
      <c r="H882" s="152"/>
      <c r="I882" s="204"/>
      <c r="J882" s="285"/>
      <c r="K882" s="251"/>
      <c r="L882" s="133" t="str">
        <f>IF(AND(I882&lt;&gt;"",ISERROR(IF(ISERROR(VLOOKUP(I882*1,Summary!$C$8:$C$153,1,0)),VLOOKUP(I882,Summary!$C$8:$C$153,1,0),VLOOKUP(I882*1,Summary!$C$8:$C$153,1,0)))),"Add account Number to Summary","")</f>
        <v/>
      </c>
      <c r="M882" s="131" t="str">
        <f t="shared" si="14"/>
        <v/>
      </c>
      <c r="N882" s="287">
        <f>IF(C882="Sale",SUMIFS($D$4:D882,$B$4:B882,B882,$C$4:C882,"")+SUMIFS($D$4:D882,$B$4:B882,B882,$C$4:C882,"Purch")-SUMIFS($D$4:D882,$B$4:B882,B882,$C$4:C882,"Sale"),0)</f>
        <v>0</v>
      </c>
    </row>
    <row r="883" spans="1:14" x14ac:dyDescent="0.2">
      <c r="A883" s="152"/>
      <c r="B883" s="132"/>
      <c r="C883" s="132"/>
      <c r="D883" s="277"/>
      <c r="E883" s="132"/>
      <c r="F883" s="170"/>
      <c r="G883" s="150"/>
      <c r="H883" s="152"/>
      <c r="I883" s="204"/>
      <c r="J883" s="285"/>
      <c r="K883" s="251"/>
      <c r="L883" s="133" t="str">
        <f>IF(AND(I883&lt;&gt;"",ISERROR(IF(ISERROR(VLOOKUP(I883*1,Summary!$C$8:$C$153,1,0)),VLOOKUP(I883,Summary!$C$8:$C$153,1,0),VLOOKUP(I883*1,Summary!$C$8:$C$153,1,0)))),"Add account Number to Summary","")</f>
        <v/>
      </c>
      <c r="M883" s="131" t="str">
        <f t="shared" si="14"/>
        <v/>
      </c>
      <c r="N883" s="287">
        <f>IF(C883="Sale",SUMIFS($D$4:D883,$B$4:B883,B883,$C$4:C883,"")+SUMIFS($D$4:D883,$B$4:B883,B883,$C$4:C883,"Purch")-SUMIFS($D$4:D883,$B$4:B883,B883,$C$4:C883,"Sale"),0)</f>
        <v>0</v>
      </c>
    </row>
    <row r="884" spans="1:14" x14ac:dyDescent="0.2">
      <c r="A884" s="152"/>
      <c r="B884" s="132"/>
      <c r="C884" s="132"/>
      <c r="D884" s="277"/>
      <c r="E884" s="132"/>
      <c r="F884" s="170"/>
      <c r="G884" s="150"/>
      <c r="H884" s="152"/>
      <c r="I884" s="204"/>
      <c r="J884" s="285"/>
      <c r="K884" s="251"/>
      <c r="L884" s="133" t="str">
        <f>IF(AND(I884&lt;&gt;"",ISERROR(IF(ISERROR(VLOOKUP(I884*1,Summary!$C$8:$C$153,1,0)),VLOOKUP(I884,Summary!$C$8:$C$153,1,0),VLOOKUP(I884*1,Summary!$C$8:$C$153,1,0)))),"Add account Number to Summary","")</f>
        <v/>
      </c>
      <c r="M884" s="131" t="str">
        <f t="shared" si="14"/>
        <v/>
      </c>
      <c r="N884" s="287">
        <f>IF(C884="Sale",SUMIFS($D$4:D884,$B$4:B884,B884,$C$4:C884,"")+SUMIFS($D$4:D884,$B$4:B884,B884,$C$4:C884,"Purch")-SUMIFS($D$4:D884,$B$4:B884,B884,$C$4:C884,"Sale"),0)</f>
        <v>0</v>
      </c>
    </row>
    <row r="885" spans="1:14" x14ac:dyDescent="0.2">
      <c r="A885" s="152"/>
      <c r="B885" s="132"/>
      <c r="C885" s="132"/>
      <c r="D885" s="277"/>
      <c r="E885" s="132"/>
      <c r="F885" s="170"/>
      <c r="G885" s="150"/>
      <c r="H885" s="152"/>
      <c r="I885" s="204"/>
      <c r="J885" s="285"/>
      <c r="K885" s="251"/>
      <c r="L885" s="133" t="str">
        <f>IF(AND(I885&lt;&gt;"",ISERROR(IF(ISERROR(VLOOKUP(I885*1,Summary!$C$8:$C$153,1,0)),VLOOKUP(I885,Summary!$C$8:$C$153,1,0),VLOOKUP(I885*1,Summary!$C$8:$C$153,1,0)))),"Add account Number to Summary","")</f>
        <v/>
      </c>
      <c r="M885" s="131" t="str">
        <f t="shared" si="14"/>
        <v/>
      </c>
      <c r="N885" s="287">
        <f>IF(C885="Sale",SUMIFS($D$4:D885,$B$4:B885,B885,$C$4:C885,"")+SUMIFS($D$4:D885,$B$4:B885,B885,$C$4:C885,"Purch")-SUMIFS($D$4:D885,$B$4:B885,B885,$C$4:C885,"Sale"),0)</f>
        <v>0</v>
      </c>
    </row>
    <row r="886" spans="1:14" x14ac:dyDescent="0.2">
      <c r="A886" s="152"/>
      <c r="B886" s="132"/>
      <c r="C886" s="132"/>
      <c r="D886" s="277"/>
      <c r="E886" s="132"/>
      <c r="F886" s="170"/>
      <c r="G886" s="150"/>
      <c r="H886" s="152"/>
      <c r="I886" s="204"/>
      <c r="J886" s="285"/>
      <c r="K886" s="251"/>
      <c r="L886" s="133" t="str">
        <f>IF(AND(I886&lt;&gt;"",ISERROR(IF(ISERROR(VLOOKUP(I886*1,Summary!$C$8:$C$153,1,0)),VLOOKUP(I886,Summary!$C$8:$C$153,1,0),VLOOKUP(I886*1,Summary!$C$8:$C$153,1,0)))),"Add account Number to Summary","")</f>
        <v/>
      </c>
      <c r="M886" s="131" t="str">
        <f t="shared" si="14"/>
        <v/>
      </c>
      <c r="N886" s="287">
        <f>IF(C886="Sale",SUMIFS($D$4:D886,$B$4:B886,B886,$C$4:C886,"")+SUMIFS($D$4:D886,$B$4:B886,B886,$C$4:C886,"Purch")-SUMIFS($D$4:D886,$B$4:B886,B886,$C$4:C886,"Sale"),0)</f>
        <v>0</v>
      </c>
    </row>
    <row r="887" spans="1:14" x14ac:dyDescent="0.2">
      <c r="A887" s="152"/>
      <c r="B887" s="132"/>
      <c r="C887" s="132"/>
      <c r="D887" s="277"/>
      <c r="E887" s="132"/>
      <c r="F887" s="170"/>
      <c r="G887" s="150"/>
      <c r="H887" s="152"/>
      <c r="I887" s="204"/>
      <c r="J887" s="285"/>
      <c r="K887" s="251"/>
      <c r="L887" s="133" t="str">
        <f>IF(AND(I887&lt;&gt;"",ISERROR(IF(ISERROR(VLOOKUP(I887*1,Summary!$C$8:$C$153,1,0)),VLOOKUP(I887,Summary!$C$8:$C$153,1,0),VLOOKUP(I887*1,Summary!$C$8:$C$153,1,0)))),"Add account Number to Summary","")</f>
        <v/>
      </c>
      <c r="M887" s="131" t="str">
        <f t="shared" si="14"/>
        <v/>
      </c>
      <c r="N887" s="287">
        <f>IF(C887="Sale",SUMIFS($D$4:D887,$B$4:B887,B887,$C$4:C887,"")+SUMIFS($D$4:D887,$B$4:B887,B887,$C$4:C887,"Purch")-SUMIFS($D$4:D887,$B$4:B887,B887,$C$4:C887,"Sale"),0)</f>
        <v>0</v>
      </c>
    </row>
    <row r="888" spans="1:14" x14ac:dyDescent="0.2">
      <c r="A888" s="152"/>
      <c r="B888" s="132"/>
      <c r="C888" s="132"/>
      <c r="D888" s="277"/>
      <c r="E888" s="132"/>
      <c r="F888" s="170"/>
      <c r="G888" s="150"/>
      <c r="H888" s="152"/>
      <c r="I888" s="204"/>
      <c r="J888" s="285"/>
      <c r="K888" s="251"/>
      <c r="L888" s="133" t="str">
        <f>IF(AND(I888&lt;&gt;"",ISERROR(IF(ISERROR(VLOOKUP(I888*1,Summary!$C$8:$C$153,1,0)),VLOOKUP(I888,Summary!$C$8:$C$153,1,0),VLOOKUP(I888*1,Summary!$C$8:$C$153,1,0)))),"Add account Number to Summary","")</f>
        <v/>
      </c>
      <c r="M888" s="131" t="str">
        <f t="shared" si="14"/>
        <v/>
      </c>
      <c r="N888" s="287">
        <f>IF(C888="Sale",SUMIFS($D$4:D888,$B$4:B888,B888,$C$4:C888,"")+SUMIFS($D$4:D888,$B$4:B888,B888,$C$4:C888,"Purch")-SUMIFS($D$4:D888,$B$4:B888,B888,$C$4:C888,"Sale"),0)</f>
        <v>0</v>
      </c>
    </row>
    <row r="889" spans="1:14" x14ac:dyDescent="0.2">
      <c r="A889" s="152"/>
      <c r="B889" s="132"/>
      <c r="C889" s="132"/>
      <c r="D889" s="277"/>
      <c r="E889" s="132"/>
      <c r="F889" s="170"/>
      <c r="G889" s="150"/>
      <c r="H889" s="152"/>
      <c r="I889" s="204"/>
      <c r="J889" s="285"/>
      <c r="K889" s="251"/>
      <c r="L889" s="133" t="str">
        <f>IF(AND(I889&lt;&gt;"",ISERROR(IF(ISERROR(VLOOKUP(I889*1,Summary!$C$8:$C$153,1,0)),VLOOKUP(I889,Summary!$C$8:$C$153,1,0),VLOOKUP(I889*1,Summary!$C$8:$C$153,1,0)))),"Add account Number to Summary","")</f>
        <v/>
      </c>
      <c r="M889" s="131" t="str">
        <f t="shared" si="14"/>
        <v/>
      </c>
      <c r="N889" s="287">
        <f>IF(C889="Sale",SUMIFS($D$4:D889,$B$4:B889,B889,$C$4:C889,"")+SUMIFS($D$4:D889,$B$4:B889,B889,$C$4:C889,"Purch")-SUMIFS($D$4:D889,$B$4:B889,B889,$C$4:C889,"Sale"),0)</f>
        <v>0</v>
      </c>
    </row>
    <row r="890" spans="1:14" x14ac:dyDescent="0.2">
      <c r="A890" s="152"/>
      <c r="B890" s="132"/>
      <c r="C890" s="132"/>
      <c r="D890" s="277"/>
      <c r="E890" s="132"/>
      <c r="F890" s="170"/>
      <c r="G890" s="150"/>
      <c r="H890" s="152"/>
      <c r="I890" s="204"/>
      <c r="J890" s="285"/>
      <c r="K890" s="251"/>
      <c r="L890" s="133" t="str">
        <f>IF(AND(I890&lt;&gt;"",ISERROR(IF(ISERROR(VLOOKUP(I890*1,Summary!$C$8:$C$153,1,0)),VLOOKUP(I890,Summary!$C$8:$C$153,1,0),VLOOKUP(I890*1,Summary!$C$8:$C$153,1,0)))),"Add account Number to Summary","")</f>
        <v/>
      </c>
      <c r="M890" s="131" t="str">
        <f t="shared" si="14"/>
        <v/>
      </c>
      <c r="N890" s="287">
        <f>IF(C890="Sale",SUMIFS($D$4:D890,$B$4:B890,B890,$C$4:C890,"")+SUMIFS($D$4:D890,$B$4:B890,B890,$C$4:C890,"Purch")-SUMIFS($D$4:D890,$B$4:B890,B890,$C$4:C890,"Sale"),0)</f>
        <v>0</v>
      </c>
    </row>
    <row r="891" spans="1:14" x14ac:dyDescent="0.2">
      <c r="A891" s="152"/>
      <c r="B891" s="132"/>
      <c r="C891" s="132"/>
      <c r="D891" s="277"/>
      <c r="E891" s="132"/>
      <c r="F891" s="170"/>
      <c r="G891" s="150"/>
      <c r="H891" s="152"/>
      <c r="I891" s="204"/>
      <c r="J891" s="285"/>
      <c r="K891" s="251"/>
      <c r="L891" s="133" t="str">
        <f>IF(AND(I891&lt;&gt;"",ISERROR(IF(ISERROR(VLOOKUP(I891*1,Summary!$C$8:$C$153,1,0)),VLOOKUP(I891,Summary!$C$8:$C$153,1,0),VLOOKUP(I891*1,Summary!$C$8:$C$153,1,0)))),"Add account Number to Summary","")</f>
        <v/>
      </c>
      <c r="M891" s="131" t="str">
        <f t="shared" si="14"/>
        <v/>
      </c>
      <c r="N891" s="287">
        <f>IF(C891="Sale",SUMIFS($D$4:D891,$B$4:B891,B891,$C$4:C891,"")+SUMIFS($D$4:D891,$B$4:B891,B891,$C$4:C891,"Purch")-SUMIFS($D$4:D891,$B$4:B891,B891,$C$4:C891,"Sale"),0)</f>
        <v>0</v>
      </c>
    </row>
    <row r="892" spans="1:14" x14ac:dyDescent="0.2">
      <c r="A892" s="152"/>
      <c r="B892" s="132"/>
      <c r="C892" s="132"/>
      <c r="D892" s="277"/>
      <c r="E892" s="132"/>
      <c r="F892" s="170"/>
      <c r="G892" s="150"/>
      <c r="H892" s="152"/>
      <c r="I892" s="204"/>
      <c r="J892" s="285"/>
      <c r="K892" s="251"/>
      <c r="L892" s="133" t="str">
        <f>IF(AND(I892&lt;&gt;"",ISERROR(IF(ISERROR(VLOOKUP(I892*1,Summary!$C$8:$C$153,1,0)),VLOOKUP(I892,Summary!$C$8:$C$153,1,0),VLOOKUP(I892*1,Summary!$C$8:$C$153,1,0)))),"Add account Number to Summary","")</f>
        <v/>
      </c>
      <c r="M892" s="131" t="str">
        <f t="shared" si="14"/>
        <v/>
      </c>
      <c r="N892" s="287">
        <f>IF(C892="Sale",SUMIFS($D$4:D892,$B$4:B892,B892,$C$4:C892,"")+SUMIFS($D$4:D892,$B$4:B892,B892,$C$4:C892,"Purch")-SUMIFS($D$4:D892,$B$4:B892,B892,$C$4:C892,"Sale"),0)</f>
        <v>0</v>
      </c>
    </row>
    <row r="893" spans="1:14" x14ac:dyDescent="0.2">
      <c r="A893" s="152"/>
      <c r="B893" s="132"/>
      <c r="C893" s="132"/>
      <c r="D893" s="277"/>
      <c r="E893" s="132"/>
      <c r="F893" s="170"/>
      <c r="G893" s="150"/>
      <c r="H893" s="152"/>
      <c r="I893" s="204"/>
      <c r="J893" s="285"/>
      <c r="K893" s="251"/>
      <c r="L893" s="133" t="str">
        <f>IF(AND(I893&lt;&gt;"",ISERROR(IF(ISERROR(VLOOKUP(I893*1,Summary!$C$8:$C$153,1,0)),VLOOKUP(I893,Summary!$C$8:$C$153,1,0),VLOOKUP(I893*1,Summary!$C$8:$C$153,1,0)))),"Add account Number to Summary","")</f>
        <v/>
      </c>
      <c r="M893" s="131" t="str">
        <f t="shared" si="14"/>
        <v/>
      </c>
      <c r="N893" s="287">
        <f>IF(C893="Sale",SUMIFS($D$4:D893,$B$4:B893,B893,$C$4:C893,"")+SUMIFS($D$4:D893,$B$4:B893,B893,$C$4:C893,"Purch")-SUMIFS($D$4:D893,$B$4:B893,B893,$C$4:C893,"Sale"),0)</f>
        <v>0</v>
      </c>
    </row>
    <row r="894" spans="1:14" x14ac:dyDescent="0.2">
      <c r="A894" s="152"/>
      <c r="B894" s="132"/>
      <c r="C894" s="132"/>
      <c r="D894" s="277"/>
      <c r="E894" s="132"/>
      <c r="F894" s="170"/>
      <c r="G894" s="150"/>
      <c r="H894" s="152"/>
      <c r="I894" s="204"/>
      <c r="J894" s="285"/>
      <c r="K894" s="251"/>
      <c r="L894" s="133" t="str">
        <f>IF(AND(I894&lt;&gt;"",ISERROR(IF(ISERROR(VLOOKUP(I894*1,Summary!$C$8:$C$153,1,0)),VLOOKUP(I894,Summary!$C$8:$C$153,1,0),VLOOKUP(I894*1,Summary!$C$8:$C$153,1,0)))),"Add account Number to Summary","")</f>
        <v/>
      </c>
      <c r="M894" s="131" t="str">
        <f t="shared" si="14"/>
        <v/>
      </c>
      <c r="N894" s="287">
        <f>IF(C894="Sale",SUMIFS($D$4:D894,$B$4:B894,B894,$C$4:C894,"")+SUMIFS($D$4:D894,$B$4:B894,B894,$C$4:C894,"Purch")-SUMIFS($D$4:D894,$B$4:B894,B894,$C$4:C894,"Sale"),0)</f>
        <v>0</v>
      </c>
    </row>
    <row r="895" spans="1:14" x14ac:dyDescent="0.2">
      <c r="A895" s="152"/>
      <c r="B895" s="132"/>
      <c r="C895" s="132"/>
      <c r="D895" s="277"/>
      <c r="E895" s="132"/>
      <c r="F895" s="170"/>
      <c r="G895" s="150"/>
      <c r="H895" s="152"/>
      <c r="I895" s="204"/>
      <c r="J895" s="285"/>
      <c r="K895" s="251"/>
      <c r="L895" s="133" t="str">
        <f>IF(AND(I895&lt;&gt;"",ISERROR(IF(ISERROR(VLOOKUP(I895*1,Summary!$C$8:$C$153,1,0)),VLOOKUP(I895,Summary!$C$8:$C$153,1,0),VLOOKUP(I895*1,Summary!$C$8:$C$153,1,0)))),"Add account Number to Summary","")</f>
        <v/>
      </c>
      <c r="M895" s="131" t="str">
        <f t="shared" si="14"/>
        <v/>
      </c>
      <c r="N895" s="287">
        <f>IF(C895="Sale",SUMIFS($D$4:D895,$B$4:B895,B895,$C$4:C895,"")+SUMIFS($D$4:D895,$B$4:B895,B895,$C$4:C895,"Purch")-SUMIFS($D$4:D895,$B$4:B895,B895,$C$4:C895,"Sale"),0)</f>
        <v>0</v>
      </c>
    </row>
    <row r="896" spans="1:14" x14ac:dyDescent="0.2">
      <c r="A896" s="152"/>
      <c r="B896" s="132"/>
      <c r="C896" s="132"/>
      <c r="D896" s="277"/>
      <c r="E896" s="132"/>
      <c r="F896" s="170"/>
      <c r="G896" s="150"/>
      <c r="H896" s="152"/>
      <c r="I896" s="204"/>
      <c r="J896" s="285"/>
      <c r="K896" s="251"/>
      <c r="L896" s="133" t="str">
        <f>IF(AND(I896&lt;&gt;"",ISERROR(IF(ISERROR(VLOOKUP(I896*1,Summary!$C$8:$C$153,1,0)),VLOOKUP(I896,Summary!$C$8:$C$153,1,0),VLOOKUP(I896*1,Summary!$C$8:$C$153,1,0)))),"Add account Number to Summary","")</f>
        <v/>
      </c>
      <c r="M896" s="131" t="str">
        <f t="shared" si="14"/>
        <v/>
      </c>
      <c r="N896" s="287">
        <f>IF(C896="Sale",SUMIFS($D$4:D896,$B$4:B896,B896,$C$4:C896,"")+SUMIFS($D$4:D896,$B$4:B896,B896,$C$4:C896,"Purch")-SUMIFS($D$4:D896,$B$4:B896,B896,$C$4:C896,"Sale"),0)</f>
        <v>0</v>
      </c>
    </row>
    <row r="897" spans="1:14" x14ac:dyDescent="0.2">
      <c r="A897" s="152"/>
      <c r="B897" s="132"/>
      <c r="C897" s="132"/>
      <c r="D897" s="277"/>
      <c r="E897" s="132"/>
      <c r="F897" s="170"/>
      <c r="G897" s="150"/>
      <c r="H897" s="152"/>
      <c r="I897" s="204"/>
      <c r="J897" s="285"/>
      <c r="K897" s="251"/>
      <c r="L897" s="133" t="str">
        <f>IF(AND(I897&lt;&gt;"",ISERROR(IF(ISERROR(VLOOKUP(I897*1,Summary!$C$8:$C$153,1,0)),VLOOKUP(I897,Summary!$C$8:$C$153,1,0),VLOOKUP(I897*1,Summary!$C$8:$C$153,1,0)))),"Add account Number to Summary","")</f>
        <v/>
      </c>
      <c r="M897" s="131" t="str">
        <f t="shared" si="14"/>
        <v/>
      </c>
      <c r="N897" s="287">
        <f>IF(C897="Sale",SUMIFS($D$4:D897,$B$4:B897,B897,$C$4:C897,"")+SUMIFS($D$4:D897,$B$4:B897,B897,$C$4:C897,"Purch")-SUMIFS($D$4:D897,$B$4:B897,B897,$C$4:C897,"Sale"),0)</f>
        <v>0</v>
      </c>
    </row>
    <row r="898" spans="1:14" x14ac:dyDescent="0.2">
      <c r="A898" s="152"/>
      <c r="B898" s="132"/>
      <c r="C898" s="132"/>
      <c r="D898" s="277"/>
      <c r="E898" s="132"/>
      <c r="F898" s="170"/>
      <c r="G898" s="150"/>
      <c r="H898" s="152"/>
      <c r="I898" s="204"/>
      <c r="J898" s="285"/>
      <c r="K898" s="251"/>
      <c r="L898" s="133" t="str">
        <f>IF(AND(I898&lt;&gt;"",ISERROR(IF(ISERROR(VLOOKUP(I898*1,Summary!$C$8:$C$153,1,0)),VLOOKUP(I898,Summary!$C$8:$C$153,1,0),VLOOKUP(I898*1,Summary!$C$8:$C$153,1,0)))),"Add account Number to Summary","")</f>
        <v/>
      </c>
      <c r="M898" s="131" t="str">
        <f t="shared" si="14"/>
        <v/>
      </c>
      <c r="N898" s="287">
        <f>IF(C898="Sale",SUMIFS($D$4:D898,$B$4:B898,B898,$C$4:C898,"")+SUMIFS($D$4:D898,$B$4:B898,B898,$C$4:C898,"Purch")-SUMIFS($D$4:D898,$B$4:B898,B898,$C$4:C898,"Sale"),0)</f>
        <v>0</v>
      </c>
    </row>
    <row r="899" spans="1:14" x14ac:dyDescent="0.2">
      <c r="A899" s="152"/>
      <c r="B899" s="132"/>
      <c r="C899" s="132"/>
      <c r="D899" s="277"/>
      <c r="E899" s="132"/>
      <c r="F899" s="170"/>
      <c r="G899" s="150"/>
      <c r="H899" s="152"/>
      <c r="I899" s="204"/>
      <c r="J899" s="285"/>
      <c r="K899" s="251"/>
      <c r="L899" s="133" t="str">
        <f>IF(AND(I899&lt;&gt;"",ISERROR(IF(ISERROR(VLOOKUP(I899*1,Summary!$C$8:$C$153,1,0)),VLOOKUP(I899,Summary!$C$8:$C$153,1,0),VLOOKUP(I899*1,Summary!$C$8:$C$153,1,0)))),"Add account Number to Summary","")</f>
        <v/>
      </c>
      <c r="M899" s="131" t="str">
        <f t="shared" si="14"/>
        <v/>
      </c>
      <c r="N899" s="287">
        <f>IF(C899="Sale",SUMIFS($D$4:D899,$B$4:B899,B899,$C$4:C899,"")+SUMIFS($D$4:D899,$B$4:B899,B899,$C$4:C899,"Purch")-SUMIFS($D$4:D899,$B$4:B899,B899,$C$4:C899,"Sale"),0)</f>
        <v>0</v>
      </c>
    </row>
    <row r="900" spans="1:14" x14ac:dyDescent="0.2">
      <c r="A900" s="152"/>
      <c r="B900" s="132"/>
      <c r="C900" s="132"/>
      <c r="D900" s="277"/>
      <c r="E900" s="132"/>
      <c r="F900" s="170"/>
      <c r="G900" s="150"/>
      <c r="H900" s="152"/>
      <c r="I900" s="204"/>
      <c r="J900" s="285"/>
      <c r="K900" s="251"/>
      <c r="L900" s="133" t="str">
        <f>IF(AND(I900&lt;&gt;"",ISERROR(IF(ISERROR(VLOOKUP(I900*1,Summary!$C$8:$C$153,1,0)),VLOOKUP(I900,Summary!$C$8:$C$153,1,0),VLOOKUP(I900*1,Summary!$C$8:$C$153,1,0)))),"Add account Number to Summary","")</f>
        <v/>
      </c>
      <c r="M900" s="131" t="str">
        <f t="shared" si="14"/>
        <v/>
      </c>
      <c r="N900" s="287">
        <f>IF(C900="Sale",SUMIFS($D$4:D900,$B$4:B900,B900,$C$4:C900,"")+SUMIFS($D$4:D900,$B$4:B900,B900,$C$4:C900,"Purch")-SUMIFS($D$4:D900,$B$4:B900,B900,$C$4:C900,"Sale"),0)</f>
        <v>0</v>
      </c>
    </row>
    <row r="901" spans="1:14" x14ac:dyDescent="0.2">
      <c r="A901" s="152"/>
      <c r="B901" s="132"/>
      <c r="C901" s="132"/>
      <c r="D901" s="277"/>
      <c r="E901" s="132"/>
      <c r="F901" s="170"/>
      <c r="G901" s="150"/>
      <c r="H901" s="152"/>
      <c r="I901" s="204"/>
      <c r="J901" s="285"/>
      <c r="K901" s="251"/>
      <c r="L901" s="133" t="str">
        <f>IF(AND(I901&lt;&gt;"",ISERROR(IF(ISERROR(VLOOKUP(I901*1,Summary!$C$8:$C$153,1,0)),VLOOKUP(I901,Summary!$C$8:$C$153,1,0),VLOOKUP(I901*1,Summary!$C$8:$C$153,1,0)))),"Add account Number to Summary","")</f>
        <v/>
      </c>
      <c r="M901" s="131" t="str">
        <f t="shared" si="14"/>
        <v/>
      </c>
      <c r="N901" s="287">
        <f>IF(C901="Sale",SUMIFS($D$4:D901,$B$4:B901,B901,$C$4:C901,"")+SUMIFS($D$4:D901,$B$4:B901,B901,$C$4:C901,"Purch")-SUMIFS($D$4:D901,$B$4:B901,B901,$C$4:C901,"Sale"),0)</f>
        <v>0</v>
      </c>
    </row>
    <row r="902" spans="1:14" x14ac:dyDescent="0.2">
      <c r="A902" s="152"/>
      <c r="B902" s="132"/>
      <c r="C902" s="132"/>
      <c r="D902" s="277"/>
      <c r="E902" s="132"/>
      <c r="F902" s="170"/>
      <c r="G902" s="150"/>
      <c r="H902" s="152"/>
      <c r="I902" s="204"/>
      <c r="J902" s="285"/>
      <c r="K902" s="251"/>
      <c r="L902" s="133" t="str">
        <f>IF(AND(I902&lt;&gt;"",ISERROR(IF(ISERROR(VLOOKUP(I902*1,Summary!$C$8:$C$153,1,0)),VLOOKUP(I902,Summary!$C$8:$C$153,1,0),VLOOKUP(I902*1,Summary!$C$8:$C$153,1,0)))),"Add account Number to Summary","")</f>
        <v/>
      </c>
      <c r="M902" s="131" t="str">
        <f t="shared" si="14"/>
        <v/>
      </c>
      <c r="N902" s="287">
        <f>IF(C902="Sale",SUMIFS($D$4:D902,$B$4:B902,B902,$C$4:C902,"")+SUMIFS($D$4:D902,$B$4:B902,B902,$C$4:C902,"Purch")-SUMIFS($D$4:D902,$B$4:B902,B902,$C$4:C902,"Sale"),0)</f>
        <v>0</v>
      </c>
    </row>
    <row r="903" spans="1:14" x14ac:dyDescent="0.2">
      <c r="A903" s="152"/>
      <c r="B903" s="132"/>
      <c r="C903" s="132"/>
      <c r="D903" s="277"/>
      <c r="E903" s="132"/>
      <c r="F903" s="170"/>
      <c r="G903" s="150"/>
      <c r="H903" s="152"/>
      <c r="I903" s="204"/>
      <c r="J903" s="285"/>
      <c r="K903" s="251"/>
      <c r="L903" s="133" t="str">
        <f>IF(AND(I903&lt;&gt;"",ISERROR(IF(ISERROR(VLOOKUP(I903*1,Summary!$C$8:$C$153,1,0)),VLOOKUP(I903,Summary!$C$8:$C$153,1,0),VLOOKUP(I903*1,Summary!$C$8:$C$153,1,0)))),"Add account Number to Summary","")</f>
        <v/>
      </c>
      <c r="M903" s="131" t="str">
        <f t="shared" si="14"/>
        <v/>
      </c>
      <c r="N903" s="287">
        <f>IF(C903="Sale",SUMIFS($D$4:D903,$B$4:B903,B903,$C$4:C903,"")+SUMIFS($D$4:D903,$B$4:B903,B903,$C$4:C903,"Purch")-SUMIFS($D$4:D903,$B$4:B903,B903,$C$4:C903,"Sale"),0)</f>
        <v>0</v>
      </c>
    </row>
    <row r="904" spans="1:14" x14ac:dyDescent="0.2">
      <c r="A904" s="152"/>
      <c r="B904" s="132"/>
      <c r="C904" s="132"/>
      <c r="D904" s="277"/>
      <c r="E904" s="132"/>
      <c r="F904" s="170"/>
      <c r="G904" s="150"/>
      <c r="H904" s="152"/>
      <c r="I904" s="204"/>
      <c r="J904" s="285"/>
      <c r="K904" s="251"/>
      <c r="L904" s="133" t="str">
        <f>IF(AND(I904&lt;&gt;"",ISERROR(IF(ISERROR(VLOOKUP(I904*1,Summary!$C$8:$C$153,1,0)),VLOOKUP(I904,Summary!$C$8:$C$153,1,0),VLOOKUP(I904*1,Summary!$C$8:$C$153,1,0)))),"Add account Number to Summary","")</f>
        <v/>
      </c>
      <c r="M904" s="131" t="str">
        <f t="shared" si="14"/>
        <v/>
      </c>
      <c r="N904" s="287">
        <f>IF(C904="Sale",SUMIFS($D$4:D904,$B$4:B904,B904,$C$4:C904,"")+SUMIFS($D$4:D904,$B$4:B904,B904,$C$4:C904,"Purch")-SUMIFS($D$4:D904,$B$4:B904,B904,$C$4:C904,"Sale"),0)</f>
        <v>0</v>
      </c>
    </row>
    <row r="905" spans="1:14" x14ac:dyDescent="0.2">
      <c r="A905" s="152"/>
      <c r="B905" s="132"/>
      <c r="C905" s="132"/>
      <c r="D905" s="277"/>
      <c r="E905" s="132"/>
      <c r="F905" s="170"/>
      <c r="G905" s="150"/>
      <c r="H905" s="152"/>
      <c r="I905" s="204"/>
      <c r="J905" s="285"/>
      <c r="K905" s="251"/>
      <c r="L905" s="133" t="str">
        <f>IF(AND(I905&lt;&gt;"",ISERROR(IF(ISERROR(VLOOKUP(I905*1,Summary!$C$8:$C$153,1,0)),VLOOKUP(I905,Summary!$C$8:$C$153,1,0),VLOOKUP(I905*1,Summary!$C$8:$C$153,1,0)))),"Add account Number to Summary","")</f>
        <v/>
      </c>
      <c r="M905" s="131" t="str">
        <f t="shared" si="14"/>
        <v/>
      </c>
      <c r="N905" s="287">
        <f>IF(C905="Sale",SUMIFS($D$4:D905,$B$4:B905,B905,$C$4:C905,"")+SUMIFS($D$4:D905,$B$4:B905,B905,$C$4:C905,"Purch")-SUMIFS($D$4:D905,$B$4:B905,B905,$C$4:C905,"Sale"),0)</f>
        <v>0</v>
      </c>
    </row>
    <row r="906" spans="1:14" x14ac:dyDescent="0.2">
      <c r="A906" s="152"/>
      <c r="B906" s="132"/>
      <c r="C906" s="132"/>
      <c r="D906" s="277"/>
      <c r="E906" s="132"/>
      <c r="F906" s="170"/>
      <c r="G906" s="150"/>
      <c r="H906" s="152"/>
      <c r="I906" s="204"/>
      <c r="J906" s="285"/>
      <c r="K906" s="251"/>
      <c r="L906" s="133" t="str">
        <f>IF(AND(I906&lt;&gt;"",ISERROR(IF(ISERROR(VLOOKUP(I906*1,Summary!$C$8:$C$153,1,0)),VLOOKUP(I906,Summary!$C$8:$C$153,1,0),VLOOKUP(I906*1,Summary!$C$8:$C$153,1,0)))),"Add account Number to Summary","")</f>
        <v/>
      </c>
      <c r="M906" s="131" t="str">
        <f t="shared" si="14"/>
        <v/>
      </c>
      <c r="N906" s="287">
        <f>IF(C906="Sale",SUMIFS($D$4:D906,$B$4:B906,B906,$C$4:C906,"")+SUMIFS($D$4:D906,$B$4:B906,B906,$C$4:C906,"Purch")-SUMIFS($D$4:D906,$B$4:B906,B906,$C$4:C906,"Sale"),0)</f>
        <v>0</v>
      </c>
    </row>
    <row r="907" spans="1:14" x14ac:dyDescent="0.2">
      <c r="A907" s="152"/>
      <c r="B907" s="132"/>
      <c r="C907" s="132"/>
      <c r="D907" s="277"/>
      <c r="E907" s="132"/>
      <c r="F907" s="170"/>
      <c r="G907" s="150"/>
      <c r="H907" s="152"/>
      <c r="I907" s="204"/>
      <c r="J907" s="285"/>
      <c r="K907" s="251"/>
      <c r="L907" s="133" t="str">
        <f>IF(AND(I907&lt;&gt;"",ISERROR(IF(ISERROR(VLOOKUP(I907*1,Summary!$C$8:$C$153,1,0)),VLOOKUP(I907,Summary!$C$8:$C$153,1,0),VLOOKUP(I907*1,Summary!$C$8:$C$153,1,0)))),"Add account Number to Summary","")</f>
        <v/>
      </c>
      <c r="M907" s="131" t="str">
        <f t="shared" si="14"/>
        <v/>
      </c>
      <c r="N907" s="287">
        <f>IF(C907="Sale",SUMIFS($D$4:D907,$B$4:B907,B907,$C$4:C907,"")+SUMIFS($D$4:D907,$B$4:B907,B907,$C$4:C907,"Purch")-SUMIFS($D$4:D907,$B$4:B907,B907,$C$4:C907,"Sale"),0)</f>
        <v>0</v>
      </c>
    </row>
    <row r="908" spans="1:14" x14ac:dyDescent="0.2">
      <c r="A908" s="152"/>
      <c r="B908" s="132"/>
      <c r="C908" s="132"/>
      <c r="D908" s="277"/>
      <c r="E908" s="132"/>
      <c r="F908" s="170"/>
      <c r="G908" s="150"/>
      <c r="H908" s="152"/>
      <c r="I908" s="204"/>
      <c r="J908" s="285"/>
      <c r="K908" s="251"/>
      <c r="L908" s="133" t="str">
        <f>IF(AND(I908&lt;&gt;"",ISERROR(IF(ISERROR(VLOOKUP(I908*1,Summary!$C$8:$C$153,1,0)),VLOOKUP(I908,Summary!$C$8:$C$153,1,0),VLOOKUP(I908*1,Summary!$C$8:$C$153,1,0)))),"Add account Number to Summary","")</f>
        <v/>
      </c>
      <c r="M908" s="131" t="str">
        <f t="shared" si="14"/>
        <v/>
      </c>
      <c r="N908" s="287">
        <f>IF(C908="Sale",SUMIFS($D$4:D908,$B$4:B908,B908,$C$4:C908,"")+SUMIFS($D$4:D908,$B$4:B908,B908,$C$4:C908,"Purch")-SUMIFS($D$4:D908,$B$4:B908,B908,$C$4:C908,"Sale"),0)</f>
        <v>0</v>
      </c>
    </row>
    <row r="909" spans="1:14" x14ac:dyDescent="0.2">
      <c r="A909" s="152"/>
      <c r="B909" s="132"/>
      <c r="C909" s="132"/>
      <c r="D909" s="277"/>
      <c r="E909" s="132"/>
      <c r="F909" s="170"/>
      <c r="G909" s="150"/>
      <c r="H909" s="152"/>
      <c r="I909" s="204"/>
      <c r="J909" s="285"/>
      <c r="K909" s="251"/>
      <c r="L909" s="133" t="str">
        <f>IF(AND(I909&lt;&gt;"",ISERROR(IF(ISERROR(VLOOKUP(I909*1,Summary!$C$8:$C$153,1,0)),VLOOKUP(I909,Summary!$C$8:$C$153,1,0),VLOOKUP(I909*1,Summary!$C$8:$C$153,1,0)))),"Add account Number to Summary","")</f>
        <v/>
      </c>
      <c r="M909" s="131" t="str">
        <f t="shared" si="14"/>
        <v/>
      </c>
      <c r="N909" s="287">
        <f>IF(C909="Sale",SUMIFS($D$4:D909,$B$4:B909,B909,$C$4:C909,"")+SUMIFS($D$4:D909,$B$4:B909,B909,$C$4:C909,"Purch")-SUMIFS($D$4:D909,$B$4:B909,B909,$C$4:C909,"Sale"),0)</f>
        <v>0</v>
      </c>
    </row>
    <row r="910" spans="1:14" x14ac:dyDescent="0.2">
      <c r="A910" s="152"/>
      <c r="B910" s="132"/>
      <c r="C910" s="132"/>
      <c r="D910" s="277"/>
      <c r="E910" s="132"/>
      <c r="F910" s="170"/>
      <c r="G910" s="150"/>
      <c r="H910" s="152"/>
      <c r="I910" s="204"/>
      <c r="J910" s="285"/>
      <c r="K910" s="251"/>
      <c r="L910" s="133" t="str">
        <f>IF(AND(I910&lt;&gt;"",ISERROR(IF(ISERROR(VLOOKUP(I910*1,Summary!$C$8:$C$153,1,0)),VLOOKUP(I910,Summary!$C$8:$C$153,1,0),VLOOKUP(I910*1,Summary!$C$8:$C$153,1,0)))),"Add account Number to Summary","")</f>
        <v/>
      </c>
      <c r="M910" s="131" t="str">
        <f t="shared" si="14"/>
        <v/>
      </c>
      <c r="N910" s="287">
        <f>IF(C910="Sale",SUMIFS($D$4:D910,$B$4:B910,B910,$C$4:C910,"")+SUMIFS($D$4:D910,$B$4:B910,B910,$C$4:C910,"Purch")-SUMIFS($D$4:D910,$B$4:B910,B910,$C$4:C910,"Sale"),0)</f>
        <v>0</v>
      </c>
    </row>
    <row r="911" spans="1:14" x14ac:dyDescent="0.2">
      <c r="A911" s="152"/>
      <c r="B911" s="132"/>
      <c r="C911" s="132"/>
      <c r="D911" s="277"/>
      <c r="E911" s="132"/>
      <c r="F911" s="170"/>
      <c r="G911" s="150"/>
      <c r="H911" s="152"/>
      <c r="I911" s="204"/>
      <c r="J911" s="285"/>
      <c r="K911" s="251"/>
      <c r="L911" s="133" t="str">
        <f>IF(AND(I911&lt;&gt;"",ISERROR(IF(ISERROR(VLOOKUP(I911*1,Summary!$C$8:$C$153,1,0)),VLOOKUP(I911,Summary!$C$8:$C$153,1,0),VLOOKUP(I911*1,Summary!$C$8:$C$153,1,0)))),"Add account Number to Summary","")</f>
        <v/>
      </c>
      <c r="M911" s="131" t="str">
        <f t="shared" si="14"/>
        <v/>
      </c>
      <c r="N911" s="287">
        <f>IF(C911="Sale",SUMIFS($D$4:D911,$B$4:B911,B911,$C$4:C911,"")+SUMIFS($D$4:D911,$B$4:B911,B911,$C$4:C911,"Purch")-SUMIFS($D$4:D911,$B$4:B911,B911,$C$4:C911,"Sale"),0)</f>
        <v>0</v>
      </c>
    </row>
    <row r="912" spans="1:14" x14ac:dyDescent="0.2">
      <c r="A912" s="152"/>
      <c r="B912" s="132"/>
      <c r="C912" s="132"/>
      <c r="D912" s="277"/>
      <c r="E912" s="132"/>
      <c r="F912" s="170"/>
      <c r="G912" s="150"/>
      <c r="H912" s="152"/>
      <c r="I912" s="204"/>
      <c r="J912" s="285"/>
      <c r="K912" s="251"/>
      <c r="L912" s="133" t="str">
        <f>IF(AND(I912&lt;&gt;"",ISERROR(IF(ISERROR(VLOOKUP(I912*1,Summary!$C$8:$C$153,1,0)),VLOOKUP(I912,Summary!$C$8:$C$153,1,0),VLOOKUP(I912*1,Summary!$C$8:$C$153,1,0)))),"Add account Number to Summary","")</f>
        <v/>
      </c>
      <c r="M912" s="131" t="str">
        <f t="shared" si="14"/>
        <v/>
      </c>
      <c r="N912" s="287">
        <f>IF(C912="Sale",SUMIFS($D$4:D912,$B$4:B912,B912,$C$4:C912,"")+SUMIFS($D$4:D912,$B$4:B912,B912,$C$4:C912,"Purch")-SUMIFS($D$4:D912,$B$4:B912,B912,$C$4:C912,"Sale"),0)</f>
        <v>0</v>
      </c>
    </row>
    <row r="913" spans="1:14" x14ac:dyDescent="0.2">
      <c r="A913" s="152"/>
      <c r="B913" s="132"/>
      <c r="C913" s="132"/>
      <c r="D913" s="277"/>
      <c r="E913" s="132"/>
      <c r="F913" s="170"/>
      <c r="G913" s="150"/>
      <c r="H913" s="152"/>
      <c r="I913" s="204"/>
      <c r="J913" s="285"/>
      <c r="K913" s="251"/>
      <c r="L913" s="133" t="str">
        <f>IF(AND(I913&lt;&gt;"",ISERROR(IF(ISERROR(VLOOKUP(I913*1,Summary!$C$8:$C$153,1,0)),VLOOKUP(I913,Summary!$C$8:$C$153,1,0),VLOOKUP(I913*1,Summary!$C$8:$C$153,1,0)))),"Add account Number to Summary","")</f>
        <v/>
      </c>
      <c r="M913" s="131" t="str">
        <f t="shared" si="14"/>
        <v/>
      </c>
      <c r="N913" s="287">
        <f>IF(C913="Sale",SUMIFS($D$4:D913,$B$4:B913,B913,$C$4:C913,"")+SUMIFS($D$4:D913,$B$4:B913,B913,$C$4:C913,"Purch")-SUMIFS($D$4:D913,$B$4:B913,B913,$C$4:C913,"Sale"),0)</f>
        <v>0</v>
      </c>
    </row>
    <row r="914" spans="1:14" x14ac:dyDescent="0.2">
      <c r="A914" s="152"/>
      <c r="B914" s="132"/>
      <c r="C914" s="132"/>
      <c r="D914" s="277"/>
      <c r="E914" s="132"/>
      <c r="F914" s="170"/>
      <c r="G914" s="150"/>
      <c r="H914" s="152"/>
      <c r="I914" s="204"/>
      <c r="J914" s="285"/>
      <c r="K914" s="251"/>
      <c r="L914" s="133" t="str">
        <f>IF(AND(I914&lt;&gt;"",ISERROR(IF(ISERROR(VLOOKUP(I914*1,Summary!$C$8:$C$153,1,0)),VLOOKUP(I914,Summary!$C$8:$C$153,1,0),VLOOKUP(I914*1,Summary!$C$8:$C$153,1,0)))),"Add account Number to Summary","")</f>
        <v/>
      </c>
      <c r="M914" s="131" t="str">
        <f t="shared" si="14"/>
        <v/>
      </c>
      <c r="N914" s="287">
        <f>IF(C914="Sale",SUMIFS($D$4:D914,$B$4:B914,B914,$C$4:C914,"")+SUMIFS($D$4:D914,$B$4:B914,B914,$C$4:C914,"Purch")-SUMIFS($D$4:D914,$B$4:B914,B914,$C$4:C914,"Sale"),0)</f>
        <v>0</v>
      </c>
    </row>
    <row r="915" spans="1:14" x14ac:dyDescent="0.2">
      <c r="A915" s="152"/>
      <c r="B915" s="132"/>
      <c r="C915" s="132"/>
      <c r="D915" s="277"/>
      <c r="E915" s="132"/>
      <c r="F915" s="170"/>
      <c r="G915" s="150"/>
      <c r="H915" s="152"/>
      <c r="I915" s="204"/>
      <c r="J915" s="285"/>
      <c r="K915" s="251"/>
      <c r="L915" s="133" t="str">
        <f>IF(AND(I915&lt;&gt;"",ISERROR(IF(ISERROR(VLOOKUP(I915*1,Summary!$C$8:$C$153,1,0)),VLOOKUP(I915,Summary!$C$8:$C$153,1,0),VLOOKUP(I915*1,Summary!$C$8:$C$153,1,0)))),"Add account Number to Summary","")</f>
        <v/>
      </c>
      <c r="M915" s="131" t="str">
        <f t="shared" si="14"/>
        <v/>
      </c>
      <c r="N915" s="287">
        <f>IF(C915="Sale",SUMIFS($D$4:D915,$B$4:B915,B915,$C$4:C915,"")+SUMIFS($D$4:D915,$B$4:B915,B915,$C$4:C915,"Purch")-SUMIFS($D$4:D915,$B$4:B915,B915,$C$4:C915,"Sale"),0)</f>
        <v>0</v>
      </c>
    </row>
    <row r="916" spans="1:14" x14ac:dyDescent="0.2">
      <c r="A916" s="152"/>
      <c r="B916" s="132"/>
      <c r="C916" s="132"/>
      <c r="D916" s="277"/>
      <c r="E916" s="132"/>
      <c r="F916" s="170"/>
      <c r="G916" s="150"/>
      <c r="H916" s="152"/>
      <c r="I916" s="204"/>
      <c r="J916" s="285"/>
      <c r="K916" s="251"/>
      <c r="L916" s="133" t="str">
        <f>IF(AND(I916&lt;&gt;"",ISERROR(IF(ISERROR(VLOOKUP(I916*1,Summary!$C$8:$C$153,1,0)),VLOOKUP(I916,Summary!$C$8:$C$153,1,0),VLOOKUP(I916*1,Summary!$C$8:$C$153,1,0)))),"Add account Number to Summary","")</f>
        <v/>
      </c>
      <c r="M916" s="131" t="str">
        <f t="shared" si="14"/>
        <v/>
      </c>
      <c r="N916" s="287">
        <f>IF(C916="Sale",SUMIFS($D$4:D916,$B$4:B916,B916,$C$4:C916,"")+SUMIFS($D$4:D916,$B$4:B916,B916,$C$4:C916,"Purch")-SUMIFS($D$4:D916,$B$4:B916,B916,$C$4:C916,"Sale"),0)</f>
        <v>0</v>
      </c>
    </row>
    <row r="917" spans="1:14" x14ac:dyDescent="0.2">
      <c r="A917" s="152"/>
      <c r="B917" s="132"/>
      <c r="C917" s="132"/>
      <c r="D917" s="277"/>
      <c r="E917" s="132"/>
      <c r="F917" s="170"/>
      <c r="G917" s="150"/>
      <c r="H917" s="152"/>
      <c r="I917" s="204"/>
      <c r="J917" s="285"/>
      <c r="K917" s="251"/>
      <c r="L917" s="133" t="str">
        <f>IF(AND(I917&lt;&gt;"",ISERROR(IF(ISERROR(VLOOKUP(I917*1,Summary!$C$8:$C$153,1,0)),VLOOKUP(I917,Summary!$C$8:$C$153,1,0),VLOOKUP(I917*1,Summary!$C$8:$C$153,1,0)))),"Add account Number to Summary","")</f>
        <v/>
      </c>
      <c r="M917" s="131" t="str">
        <f t="shared" si="14"/>
        <v/>
      </c>
      <c r="N917" s="287">
        <f>IF(C917="Sale",SUMIFS($D$4:D917,$B$4:B917,B917,$C$4:C917,"")+SUMIFS($D$4:D917,$B$4:B917,B917,$C$4:C917,"Purch")-SUMIFS($D$4:D917,$B$4:B917,B917,$C$4:C917,"Sale"),0)</f>
        <v>0</v>
      </c>
    </row>
    <row r="918" spans="1:14" x14ac:dyDescent="0.2">
      <c r="A918" s="152"/>
      <c r="B918" s="132"/>
      <c r="C918" s="132"/>
      <c r="D918" s="277"/>
      <c r="E918" s="132"/>
      <c r="F918" s="170"/>
      <c r="G918" s="150"/>
      <c r="H918" s="152"/>
      <c r="I918" s="204"/>
      <c r="J918" s="285"/>
      <c r="K918" s="251"/>
      <c r="L918" s="133" t="str">
        <f>IF(AND(I918&lt;&gt;"",ISERROR(IF(ISERROR(VLOOKUP(I918*1,Summary!$C$8:$C$153,1,0)),VLOOKUP(I918,Summary!$C$8:$C$153,1,0),VLOOKUP(I918*1,Summary!$C$8:$C$153,1,0)))),"Add account Number to Summary","")</f>
        <v/>
      </c>
      <c r="M918" s="131" t="str">
        <f t="shared" si="14"/>
        <v/>
      </c>
      <c r="N918" s="287">
        <f>IF(C918="Sale",SUMIFS($D$4:D918,$B$4:B918,B918,$C$4:C918,"")+SUMIFS($D$4:D918,$B$4:B918,B918,$C$4:C918,"Purch")-SUMIFS($D$4:D918,$B$4:B918,B918,$C$4:C918,"Sale"),0)</f>
        <v>0</v>
      </c>
    </row>
    <row r="919" spans="1:14" x14ac:dyDescent="0.2">
      <c r="A919" s="152"/>
      <c r="B919" s="132"/>
      <c r="C919" s="132"/>
      <c r="D919" s="277"/>
      <c r="E919" s="132"/>
      <c r="F919" s="170"/>
      <c r="G919" s="150"/>
      <c r="H919" s="152"/>
      <c r="I919" s="204"/>
      <c r="J919" s="285"/>
      <c r="K919" s="251"/>
      <c r="L919" s="133" t="str">
        <f>IF(AND(I919&lt;&gt;"",ISERROR(IF(ISERROR(VLOOKUP(I919*1,Summary!$C$8:$C$153,1,0)),VLOOKUP(I919,Summary!$C$8:$C$153,1,0),VLOOKUP(I919*1,Summary!$C$8:$C$153,1,0)))),"Add account Number to Summary","")</f>
        <v/>
      </c>
      <c r="M919" s="131" t="str">
        <f t="shared" si="14"/>
        <v/>
      </c>
      <c r="N919" s="287">
        <f>IF(C919="Sale",SUMIFS($D$4:D919,$B$4:B919,B919,$C$4:C919,"")+SUMIFS($D$4:D919,$B$4:B919,B919,$C$4:C919,"Purch")-SUMIFS($D$4:D919,$B$4:B919,B919,$C$4:C919,"Sale"),0)</f>
        <v>0</v>
      </c>
    </row>
    <row r="920" spans="1:14" x14ac:dyDescent="0.2">
      <c r="A920" s="152"/>
      <c r="B920" s="132"/>
      <c r="C920" s="132"/>
      <c r="D920" s="277"/>
      <c r="E920" s="132"/>
      <c r="F920" s="170"/>
      <c r="G920" s="150"/>
      <c r="H920" s="152"/>
      <c r="I920" s="204"/>
      <c r="J920" s="285"/>
      <c r="K920" s="251"/>
      <c r="L920" s="133" t="str">
        <f>IF(AND(I920&lt;&gt;"",ISERROR(IF(ISERROR(VLOOKUP(I920*1,Summary!$C$8:$C$153,1,0)),VLOOKUP(I920,Summary!$C$8:$C$153,1,0),VLOOKUP(I920*1,Summary!$C$8:$C$153,1,0)))),"Add account Number to Summary","")</f>
        <v/>
      </c>
      <c r="M920" s="131" t="str">
        <f t="shared" si="14"/>
        <v/>
      </c>
      <c r="N920" s="287">
        <f>IF(C920="Sale",SUMIFS($D$4:D920,$B$4:B920,B920,$C$4:C920,"")+SUMIFS($D$4:D920,$B$4:B920,B920,$C$4:C920,"Purch")-SUMIFS($D$4:D920,$B$4:B920,B920,$C$4:C920,"Sale"),0)</f>
        <v>0</v>
      </c>
    </row>
    <row r="921" spans="1:14" x14ac:dyDescent="0.2">
      <c r="A921" s="152"/>
      <c r="B921" s="132"/>
      <c r="C921" s="132"/>
      <c r="D921" s="277"/>
      <c r="E921" s="132"/>
      <c r="F921" s="170"/>
      <c r="G921" s="150"/>
      <c r="H921" s="152"/>
      <c r="I921" s="204"/>
      <c r="J921" s="285"/>
      <c r="K921" s="251"/>
      <c r="L921" s="133" t="str">
        <f>IF(AND(I921&lt;&gt;"",ISERROR(IF(ISERROR(VLOOKUP(I921*1,Summary!$C$8:$C$153,1,0)),VLOOKUP(I921,Summary!$C$8:$C$153,1,0),VLOOKUP(I921*1,Summary!$C$8:$C$153,1,0)))),"Add account Number to Summary","")</f>
        <v/>
      </c>
      <c r="M921" s="131" t="str">
        <f t="shared" si="14"/>
        <v/>
      </c>
      <c r="N921" s="287">
        <f>IF(C921="Sale",SUMIFS($D$4:D921,$B$4:B921,B921,$C$4:C921,"")+SUMIFS($D$4:D921,$B$4:B921,B921,$C$4:C921,"Purch")-SUMIFS($D$4:D921,$B$4:B921,B921,$C$4:C921,"Sale"),0)</f>
        <v>0</v>
      </c>
    </row>
    <row r="922" spans="1:14" x14ac:dyDescent="0.2">
      <c r="A922" s="152"/>
      <c r="B922" s="132"/>
      <c r="C922" s="132"/>
      <c r="D922" s="277"/>
      <c r="E922" s="132"/>
      <c r="F922" s="170"/>
      <c r="G922" s="150"/>
      <c r="H922" s="152"/>
      <c r="I922" s="204"/>
      <c r="J922" s="285"/>
      <c r="K922" s="251"/>
      <c r="L922" s="133" t="str">
        <f>IF(AND(I922&lt;&gt;"",ISERROR(IF(ISERROR(VLOOKUP(I922*1,Summary!$C$8:$C$153,1,0)),VLOOKUP(I922,Summary!$C$8:$C$153,1,0),VLOOKUP(I922*1,Summary!$C$8:$C$153,1,0)))),"Add account Number to Summary","")</f>
        <v/>
      </c>
      <c r="M922" s="131" t="str">
        <f t="shared" si="14"/>
        <v/>
      </c>
      <c r="N922" s="287">
        <f>IF(C922="Sale",SUMIFS($D$4:D922,$B$4:B922,B922,$C$4:C922,"")+SUMIFS($D$4:D922,$B$4:B922,B922,$C$4:C922,"Purch")-SUMIFS($D$4:D922,$B$4:B922,B922,$C$4:C922,"Sale"),0)</f>
        <v>0</v>
      </c>
    </row>
    <row r="923" spans="1:14" x14ac:dyDescent="0.2">
      <c r="A923" s="152"/>
      <c r="B923" s="132"/>
      <c r="C923" s="132"/>
      <c r="D923" s="277"/>
      <c r="E923" s="132"/>
      <c r="F923" s="170"/>
      <c r="G923" s="150"/>
      <c r="H923" s="152"/>
      <c r="I923" s="204"/>
      <c r="J923" s="285"/>
      <c r="K923" s="251"/>
      <c r="L923" s="133" t="str">
        <f>IF(AND(I923&lt;&gt;"",ISERROR(IF(ISERROR(VLOOKUP(I923*1,Summary!$C$8:$C$153,1,0)),VLOOKUP(I923,Summary!$C$8:$C$153,1,0),VLOOKUP(I923*1,Summary!$C$8:$C$153,1,0)))),"Add account Number to Summary","")</f>
        <v/>
      </c>
      <c r="M923" s="131" t="str">
        <f t="shared" si="14"/>
        <v/>
      </c>
      <c r="N923" s="287">
        <f>IF(C923="Sale",SUMIFS($D$4:D923,$B$4:B923,B923,$C$4:C923,"")+SUMIFS($D$4:D923,$B$4:B923,B923,$C$4:C923,"Purch")-SUMIFS($D$4:D923,$B$4:B923,B923,$C$4:C923,"Sale"),0)</f>
        <v>0</v>
      </c>
    </row>
    <row r="924" spans="1:14" x14ac:dyDescent="0.2">
      <c r="A924" s="152"/>
      <c r="B924" s="132"/>
      <c r="C924" s="132"/>
      <c r="D924" s="277"/>
      <c r="E924" s="132"/>
      <c r="F924" s="170"/>
      <c r="G924" s="150"/>
      <c r="H924" s="152"/>
      <c r="I924" s="204"/>
      <c r="J924" s="285"/>
      <c r="K924" s="251"/>
      <c r="L924" s="133" t="str">
        <f>IF(AND(I924&lt;&gt;"",ISERROR(IF(ISERROR(VLOOKUP(I924*1,Summary!$C$8:$C$153,1,0)),VLOOKUP(I924,Summary!$C$8:$C$153,1,0),VLOOKUP(I924*1,Summary!$C$8:$C$153,1,0)))),"Add account Number to Summary","")</f>
        <v/>
      </c>
      <c r="M924" s="131" t="str">
        <f t="shared" si="14"/>
        <v/>
      </c>
      <c r="N924" s="287">
        <f>IF(C924="Sale",SUMIFS($D$4:D924,$B$4:B924,B924,$C$4:C924,"")+SUMIFS($D$4:D924,$B$4:B924,B924,$C$4:C924,"Purch")-SUMIFS($D$4:D924,$B$4:B924,B924,$C$4:C924,"Sale"),0)</f>
        <v>0</v>
      </c>
    </row>
    <row r="925" spans="1:14" x14ac:dyDescent="0.2">
      <c r="A925" s="152"/>
      <c r="B925" s="132"/>
      <c r="C925" s="132"/>
      <c r="D925" s="277"/>
      <c r="E925" s="132"/>
      <c r="F925" s="170"/>
      <c r="G925" s="150"/>
      <c r="H925" s="152"/>
      <c r="I925" s="204"/>
      <c r="J925" s="285"/>
      <c r="K925" s="251"/>
      <c r="L925" s="133" t="str">
        <f>IF(AND(I925&lt;&gt;"",ISERROR(IF(ISERROR(VLOOKUP(I925*1,Summary!$C$8:$C$153,1,0)),VLOOKUP(I925,Summary!$C$8:$C$153,1,0),VLOOKUP(I925*1,Summary!$C$8:$C$153,1,0)))),"Add account Number to Summary","")</f>
        <v/>
      </c>
      <c r="M925" s="131" t="str">
        <f t="shared" si="14"/>
        <v/>
      </c>
      <c r="N925" s="287">
        <f>IF(C925="Sale",SUMIFS($D$4:D925,$B$4:B925,B925,$C$4:C925,"")+SUMIFS($D$4:D925,$B$4:B925,B925,$C$4:C925,"Purch")-SUMIFS($D$4:D925,$B$4:B925,B925,$C$4:C925,"Sale"),0)</f>
        <v>0</v>
      </c>
    </row>
    <row r="926" spans="1:14" x14ac:dyDescent="0.2">
      <c r="A926" s="152"/>
      <c r="B926" s="132"/>
      <c r="C926" s="132"/>
      <c r="D926" s="277"/>
      <c r="E926" s="132"/>
      <c r="F926" s="170"/>
      <c r="G926" s="150"/>
      <c r="H926" s="152"/>
      <c r="I926" s="204"/>
      <c r="J926" s="285"/>
      <c r="K926" s="251"/>
      <c r="L926" s="133" t="str">
        <f>IF(AND(I926&lt;&gt;"",ISERROR(IF(ISERROR(VLOOKUP(I926*1,Summary!$C$8:$C$153,1,0)),VLOOKUP(I926,Summary!$C$8:$C$153,1,0),VLOOKUP(I926*1,Summary!$C$8:$C$153,1,0)))),"Add account Number to Summary","")</f>
        <v/>
      </c>
      <c r="M926" s="131" t="str">
        <f t="shared" si="14"/>
        <v/>
      </c>
      <c r="N926" s="287">
        <f>IF(C926="Sale",SUMIFS($D$4:D926,$B$4:B926,B926,$C$4:C926,"")+SUMIFS($D$4:D926,$B$4:B926,B926,$C$4:C926,"Purch")-SUMIFS($D$4:D926,$B$4:B926,B926,$C$4:C926,"Sale"),0)</f>
        <v>0</v>
      </c>
    </row>
    <row r="927" spans="1:14" x14ac:dyDescent="0.2">
      <c r="A927" s="152"/>
      <c r="B927" s="132"/>
      <c r="C927" s="132"/>
      <c r="D927" s="277"/>
      <c r="E927" s="132"/>
      <c r="F927" s="170"/>
      <c r="G927" s="150"/>
      <c r="H927" s="152"/>
      <c r="I927" s="204"/>
      <c r="J927" s="285"/>
      <c r="K927" s="251"/>
      <c r="L927" s="133" t="str">
        <f>IF(AND(I927&lt;&gt;"",ISERROR(IF(ISERROR(VLOOKUP(I927*1,Summary!$C$8:$C$153,1,0)),VLOOKUP(I927,Summary!$C$8:$C$153,1,0),VLOOKUP(I927*1,Summary!$C$8:$C$153,1,0)))),"Add account Number to Summary","")</f>
        <v/>
      </c>
      <c r="M927" s="131" t="str">
        <f t="shared" si="14"/>
        <v/>
      </c>
      <c r="N927" s="287">
        <f>IF(C927="Sale",SUMIFS($D$4:D927,$B$4:B927,B927,$C$4:C927,"")+SUMIFS($D$4:D927,$B$4:B927,B927,$C$4:C927,"Purch")-SUMIFS($D$4:D927,$B$4:B927,B927,$C$4:C927,"Sale"),0)</f>
        <v>0</v>
      </c>
    </row>
    <row r="928" spans="1:14" x14ac:dyDescent="0.2">
      <c r="A928" s="152"/>
      <c r="B928" s="132"/>
      <c r="C928" s="132"/>
      <c r="D928" s="277"/>
      <c r="E928" s="132"/>
      <c r="F928" s="170"/>
      <c r="G928" s="150"/>
      <c r="H928" s="152"/>
      <c r="I928" s="204"/>
      <c r="J928" s="285"/>
      <c r="K928" s="251"/>
      <c r="L928" s="133" t="str">
        <f>IF(AND(I928&lt;&gt;"",ISERROR(IF(ISERROR(VLOOKUP(I928*1,Summary!$C$8:$C$153,1,0)),VLOOKUP(I928,Summary!$C$8:$C$153,1,0),VLOOKUP(I928*1,Summary!$C$8:$C$153,1,0)))),"Add account Number to Summary","")</f>
        <v/>
      </c>
      <c r="M928" s="131" t="str">
        <f t="shared" si="14"/>
        <v/>
      </c>
      <c r="N928" s="287">
        <f>IF(C928="Sale",SUMIFS($D$4:D928,$B$4:B928,B928,$C$4:C928,"")+SUMIFS($D$4:D928,$B$4:B928,B928,$C$4:C928,"Purch")-SUMIFS($D$4:D928,$B$4:B928,B928,$C$4:C928,"Sale"),0)</f>
        <v>0</v>
      </c>
    </row>
    <row r="929" spans="1:14" x14ac:dyDescent="0.2">
      <c r="A929" s="152"/>
      <c r="B929" s="132"/>
      <c r="C929" s="132"/>
      <c r="D929" s="277"/>
      <c r="E929" s="132"/>
      <c r="F929" s="170"/>
      <c r="G929" s="150"/>
      <c r="H929" s="152"/>
      <c r="I929" s="204"/>
      <c r="J929" s="285"/>
      <c r="K929" s="251"/>
      <c r="L929" s="133" t="str">
        <f>IF(AND(I929&lt;&gt;"",ISERROR(IF(ISERROR(VLOOKUP(I929*1,Summary!$C$8:$C$153,1,0)),VLOOKUP(I929,Summary!$C$8:$C$153,1,0),VLOOKUP(I929*1,Summary!$C$8:$C$153,1,0)))),"Add account Number to Summary","")</f>
        <v/>
      </c>
      <c r="M929" s="131" t="str">
        <f t="shared" si="14"/>
        <v/>
      </c>
      <c r="N929" s="287">
        <f>IF(C929="Sale",SUMIFS($D$4:D929,$B$4:B929,B929,$C$4:C929,"")+SUMIFS($D$4:D929,$B$4:B929,B929,$C$4:C929,"Purch")-SUMIFS($D$4:D929,$B$4:B929,B929,$C$4:C929,"Sale"),0)</f>
        <v>0</v>
      </c>
    </row>
    <row r="930" spans="1:14" x14ac:dyDescent="0.2">
      <c r="A930" s="152"/>
      <c r="B930" s="132"/>
      <c r="C930" s="132"/>
      <c r="D930" s="277"/>
      <c r="E930" s="132"/>
      <c r="F930" s="170"/>
      <c r="G930" s="150"/>
      <c r="H930" s="152"/>
      <c r="I930" s="204"/>
      <c r="J930" s="285"/>
      <c r="K930" s="251"/>
      <c r="L930" s="133" t="str">
        <f>IF(AND(I930&lt;&gt;"",ISERROR(IF(ISERROR(VLOOKUP(I930*1,Summary!$C$8:$C$153,1,0)),VLOOKUP(I930,Summary!$C$8:$C$153,1,0),VLOOKUP(I930*1,Summary!$C$8:$C$153,1,0)))),"Add account Number to Summary","")</f>
        <v/>
      </c>
      <c r="M930" s="131" t="str">
        <f t="shared" si="14"/>
        <v/>
      </c>
      <c r="N930" s="287">
        <f>IF(C930="Sale",SUMIFS($D$4:D930,$B$4:B930,B930,$C$4:C930,"")+SUMIFS($D$4:D930,$B$4:B930,B930,$C$4:C930,"Purch")-SUMIFS($D$4:D930,$B$4:B930,B930,$C$4:C930,"Sale"),0)</f>
        <v>0</v>
      </c>
    </row>
    <row r="931" spans="1:14" x14ac:dyDescent="0.2">
      <c r="A931" s="152"/>
      <c r="B931" s="132"/>
      <c r="C931" s="132"/>
      <c r="D931" s="277"/>
      <c r="E931" s="132"/>
      <c r="F931" s="170"/>
      <c r="G931" s="150"/>
      <c r="H931" s="152"/>
      <c r="I931" s="204"/>
      <c r="J931" s="285"/>
      <c r="K931" s="251"/>
      <c r="L931" s="133" t="str">
        <f>IF(AND(I931&lt;&gt;"",ISERROR(IF(ISERROR(VLOOKUP(I931*1,Summary!$C$8:$C$153,1,0)),VLOOKUP(I931,Summary!$C$8:$C$153,1,0),VLOOKUP(I931*1,Summary!$C$8:$C$153,1,0)))),"Add account Number to Summary","")</f>
        <v/>
      </c>
      <c r="M931" s="131" t="str">
        <f t="shared" si="14"/>
        <v/>
      </c>
      <c r="N931" s="287">
        <f>IF(C931="Sale",SUMIFS($D$4:D931,$B$4:B931,B931,$C$4:C931,"")+SUMIFS($D$4:D931,$B$4:B931,B931,$C$4:C931,"Purch")-SUMIFS($D$4:D931,$B$4:B931,B931,$C$4:C931,"Sale"),0)</f>
        <v>0</v>
      </c>
    </row>
    <row r="932" spans="1:14" x14ac:dyDescent="0.2">
      <c r="A932" s="152"/>
      <c r="B932" s="132"/>
      <c r="C932" s="132"/>
      <c r="D932" s="277"/>
      <c r="E932" s="132"/>
      <c r="F932" s="170"/>
      <c r="G932" s="150"/>
      <c r="H932" s="152"/>
      <c r="I932" s="204"/>
      <c r="J932" s="285"/>
      <c r="K932" s="251"/>
      <c r="L932" s="133" t="str">
        <f>IF(AND(I932&lt;&gt;"",ISERROR(IF(ISERROR(VLOOKUP(I932*1,Summary!$C$8:$C$153,1,0)),VLOOKUP(I932,Summary!$C$8:$C$153,1,0),VLOOKUP(I932*1,Summary!$C$8:$C$153,1,0)))),"Add account Number to Summary","")</f>
        <v/>
      </c>
      <c r="M932" s="131" t="str">
        <f t="shared" si="14"/>
        <v/>
      </c>
      <c r="N932" s="287">
        <f>IF(C932="Sale",SUMIFS($D$4:D932,$B$4:B932,B932,$C$4:C932,"")+SUMIFS($D$4:D932,$B$4:B932,B932,$C$4:C932,"Purch")-SUMIFS($D$4:D932,$B$4:B932,B932,$C$4:C932,"Sale"),0)</f>
        <v>0</v>
      </c>
    </row>
    <row r="933" spans="1:14" x14ac:dyDescent="0.2">
      <c r="A933" s="152"/>
      <c r="B933" s="132"/>
      <c r="C933" s="132"/>
      <c r="D933" s="277"/>
      <c r="E933" s="132"/>
      <c r="F933" s="170"/>
      <c r="G933" s="150"/>
      <c r="H933" s="152"/>
      <c r="I933" s="204"/>
      <c r="J933" s="285"/>
      <c r="K933" s="251"/>
      <c r="L933" s="133" t="str">
        <f>IF(AND(I933&lt;&gt;"",ISERROR(IF(ISERROR(VLOOKUP(I933*1,Summary!$C$8:$C$153,1,0)),VLOOKUP(I933,Summary!$C$8:$C$153,1,0),VLOOKUP(I933*1,Summary!$C$8:$C$153,1,0)))),"Add account Number to Summary","")</f>
        <v/>
      </c>
      <c r="M933" s="131" t="str">
        <f t="shared" si="14"/>
        <v/>
      </c>
      <c r="N933" s="287">
        <f>IF(C933="Sale",SUMIFS($D$4:D933,$B$4:B933,B933,$C$4:C933,"")+SUMIFS($D$4:D933,$B$4:B933,B933,$C$4:C933,"Purch")-SUMIFS($D$4:D933,$B$4:B933,B933,$C$4:C933,"Sale"),0)</f>
        <v>0</v>
      </c>
    </row>
    <row r="934" spans="1:14" x14ac:dyDescent="0.2">
      <c r="A934" s="152"/>
      <c r="B934" s="132"/>
      <c r="C934" s="132"/>
      <c r="D934" s="277"/>
      <c r="E934" s="132"/>
      <c r="F934" s="170"/>
      <c r="G934" s="150"/>
      <c r="H934" s="152"/>
      <c r="I934" s="204"/>
      <c r="J934" s="285"/>
      <c r="K934" s="251"/>
      <c r="L934" s="133" t="str">
        <f>IF(AND(I934&lt;&gt;"",ISERROR(IF(ISERROR(VLOOKUP(I934*1,Summary!$C$8:$C$153,1,0)),VLOOKUP(I934,Summary!$C$8:$C$153,1,0),VLOOKUP(I934*1,Summary!$C$8:$C$153,1,0)))),"Add account Number to Summary","")</f>
        <v/>
      </c>
      <c r="M934" s="131" t="str">
        <f t="shared" si="14"/>
        <v/>
      </c>
      <c r="N934" s="287">
        <f>IF(C934="Sale",SUMIFS($D$4:D934,$B$4:B934,B934,$C$4:C934,"")+SUMIFS($D$4:D934,$B$4:B934,B934,$C$4:C934,"Purch")-SUMIFS($D$4:D934,$B$4:B934,B934,$C$4:C934,"Sale"),0)</f>
        <v>0</v>
      </c>
    </row>
    <row r="935" spans="1:14" x14ac:dyDescent="0.2">
      <c r="A935" s="152"/>
      <c r="B935" s="132"/>
      <c r="C935" s="132"/>
      <c r="D935" s="277"/>
      <c r="E935" s="132"/>
      <c r="F935" s="170"/>
      <c r="G935" s="150"/>
      <c r="H935" s="152"/>
      <c r="I935" s="204"/>
      <c r="J935" s="285"/>
      <c r="K935" s="251"/>
      <c r="L935" s="133" t="str">
        <f>IF(AND(I935&lt;&gt;"",ISERROR(IF(ISERROR(VLOOKUP(I935*1,Summary!$C$8:$C$153,1,0)),VLOOKUP(I935,Summary!$C$8:$C$153,1,0),VLOOKUP(I935*1,Summary!$C$8:$C$153,1,0)))),"Add account Number to Summary","")</f>
        <v/>
      </c>
      <c r="M935" s="131" t="str">
        <f t="shared" si="14"/>
        <v/>
      </c>
      <c r="N935" s="287">
        <f>IF(C935="Sale",SUMIFS($D$4:D935,$B$4:B935,B935,$C$4:C935,"")+SUMIFS($D$4:D935,$B$4:B935,B935,$C$4:C935,"Purch")-SUMIFS($D$4:D935,$B$4:B935,B935,$C$4:C935,"Sale"),0)</f>
        <v>0</v>
      </c>
    </row>
    <row r="936" spans="1:14" x14ac:dyDescent="0.2">
      <c r="A936" s="152"/>
      <c r="B936" s="132"/>
      <c r="C936" s="132"/>
      <c r="D936" s="277"/>
      <c r="E936" s="132"/>
      <c r="F936" s="170"/>
      <c r="G936" s="150"/>
      <c r="H936" s="152"/>
      <c r="I936" s="204"/>
      <c r="J936" s="285"/>
      <c r="K936" s="251"/>
      <c r="L936" s="133" t="str">
        <f>IF(AND(I936&lt;&gt;"",ISERROR(IF(ISERROR(VLOOKUP(I936*1,Summary!$C$8:$C$153,1,0)),VLOOKUP(I936,Summary!$C$8:$C$153,1,0),VLOOKUP(I936*1,Summary!$C$8:$C$153,1,0)))),"Add account Number to Summary","")</f>
        <v/>
      </c>
      <c r="M936" s="131" t="str">
        <f t="shared" si="14"/>
        <v/>
      </c>
      <c r="N936" s="287">
        <f>IF(C936="Sale",SUMIFS($D$4:D936,$B$4:B936,B936,$C$4:C936,"")+SUMIFS($D$4:D936,$B$4:B936,B936,$C$4:C936,"Purch")-SUMIFS($D$4:D936,$B$4:B936,B936,$C$4:C936,"Sale"),0)</f>
        <v>0</v>
      </c>
    </row>
    <row r="937" spans="1:14" x14ac:dyDescent="0.2">
      <c r="A937" s="152"/>
      <c r="B937" s="132"/>
      <c r="C937" s="132"/>
      <c r="D937" s="277"/>
      <c r="E937" s="132"/>
      <c r="F937" s="170"/>
      <c r="G937" s="150"/>
      <c r="H937" s="152"/>
      <c r="I937" s="204"/>
      <c r="J937" s="285"/>
      <c r="K937" s="251"/>
      <c r="L937" s="133" t="str">
        <f>IF(AND(I937&lt;&gt;"",ISERROR(IF(ISERROR(VLOOKUP(I937*1,Summary!$C$8:$C$153,1,0)),VLOOKUP(I937,Summary!$C$8:$C$153,1,0),VLOOKUP(I937*1,Summary!$C$8:$C$153,1,0)))),"Add account Number to Summary","")</f>
        <v/>
      </c>
      <c r="M937" s="131" t="str">
        <f t="shared" si="14"/>
        <v/>
      </c>
      <c r="N937" s="287">
        <f>IF(C937="Sale",SUMIFS($D$4:D937,$B$4:B937,B937,$C$4:C937,"")+SUMIFS($D$4:D937,$B$4:B937,B937,$C$4:C937,"Purch")-SUMIFS($D$4:D937,$B$4:B937,B937,$C$4:C937,"Sale"),0)</f>
        <v>0</v>
      </c>
    </row>
    <row r="938" spans="1:14" x14ac:dyDescent="0.2">
      <c r="A938" s="152"/>
      <c r="B938" s="132"/>
      <c r="C938" s="132"/>
      <c r="D938" s="277"/>
      <c r="E938" s="132"/>
      <c r="F938" s="170"/>
      <c r="G938" s="150"/>
      <c r="H938" s="152"/>
      <c r="I938" s="204"/>
      <c r="J938" s="285"/>
      <c r="K938" s="251"/>
      <c r="L938" s="133" t="str">
        <f>IF(AND(I938&lt;&gt;"",ISERROR(IF(ISERROR(VLOOKUP(I938*1,Summary!$C$8:$C$153,1,0)),VLOOKUP(I938,Summary!$C$8:$C$153,1,0),VLOOKUP(I938*1,Summary!$C$8:$C$153,1,0)))),"Add account Number to Summary","")</f>
        <v/>
      </c>
      <c r="M938" s="131" t="str">
        <f t="shared" si="14"/>
        <v/>
      </c>
      <c r="N938" s="287">
        <f>IF(C938="Sale",SUMIFS($D$4:D938,$B$4:B938,B938,$C$4:C938,"")+SUMIFS($D$4:D938,$B$4:B938,B938,$C$4:C938,"Purch")-SUMIFS($D$4:D938,$B$4:B938,B938,$C$4:C938,"Sale"),0)</f>
        <v>0</v>
      </c>
    </row>
    <row r="939" spans="1:14" x14ac:dyDescent="0.2">
      <c r="A939" s="152"/>
      <c r="B939" s="132"/>
      <c r="C939" s="132"/>
      <c r="D939" s="277"/>
      <c r="E939" s="132"/>
      <c r="F939" s="170"/>
      <c r="G939" s="150"/>
      <c r="H939" s="152"/>
      <c r="I939" s="204"/>
      <c r="J939" s="285"/>
      <c r="K939" s="251"/>
      <c r="L939" s="133" t="str">
        <f>IF(AND(I939&lt;&gt;"",ISERROR(IF(ISERROR(VLOOKUP(I939*1,Summary!$C$8:$C$153,1,0)),VLOOKUP(I939,Summary!$C$8:$C$153,1,0),VLOOKUP(I939*1,Summary!$C$8:$C$153,1,0)))),"Add account Number to Summary","")</f>
        <v/>
      </c>
      <c r="M939" s="131" t="str">
        <f t="shared" si="14"/>
        <v/>
      </c>
      <c r="N939" s="287">
        <f>IF(C939="Sale",SUMIFS($D$4:D939,$B$4:B939,B939,$C$4:C939,"")+SUMIFS($D$4:D939,$B$4:B939,B939,$C$4:C939,"Purch")-SUMIFS($D$4:D939,$B$4:B939,B939,$C$4:C939,"Sale"),0)</f>
        <v>0</v>
      </c>
    </row>
    <row r="940" spans="1:14" x14ac:dyDescent="0.2">
      <c r="A940" s="152"/>
      <c r="B940" s="132"/>
      <c r="C940" s="132"/>
      <c r="D940" s="277"/>
      <c r="E940" s="132"/>
      <c r="F940" s="170"/>
      <c r="G940" s="150"/>
      <c r="H940" s="152"/>
      <c r="I940" s="204"/>
      <c r="J940" s="285"/>
      <c r="K940" s="251"/>
      <c r="L940" s="133" t="str">
        <f>IF(AND(I940&lt;&gt;"",ISERROR(IF(ISERROR(VLOOKUP(I940*1,Summary!$C$8:$C$153,1,0)),VLOOKUP(I940,Summary!$C$8:$C$153,1,0),VLOOKUP(I940*1,Summary!$C$8:$C$153,1,0)))),"Add account Number to Summary","")</f>
        <v/>
      </c>
      <c r="M940" s="131" t="str">
        <f t="shared" ref="M940:M1003" si="15">IF(K940="Yes",IF(YEAR(A940)&lt;&gt;YEAR(date),"Check Date",""),"")</f>
        <v/>
      </c>
      <c r="N940" s="287">
        <f>IF(C940="Sale",SUMIFS($D$4:D940,$B$4:B940,B940,$C$4:C940,"")+SUMIFS($D$4:D940,$B$4:B940,B940,$C$4:C940,"Purch")-SUMIFS($D$4:D940,$B$4:B940,B940,$C$4:C940,"Sale"),0)</f>
        <v>0</v>
      </c>
    </row>
    <row r="941" spans="1:14" x14ac:dyDescent="0.2">
      <c r="A941" s="152"/>
      <c r="B941" s="132"/>
      <c r="C941" s="132"/>
      <c r="D941" s="277"/>
      <c r="E941" s="132"/>
      <c r="F941" s="170"/>
      <c r="G941" s="150"/>
      <c r="H941" s="152"/>
      <c r="I941" s="204"/>
      <c r="J941" s="285"/>
      <c r="K941" s="251"/>
      <c r="L941" s="133" t="str">
        <f>IF(AND(I941&lt;&gt;"",ISERROR(IF(ISERROR(VLOOKUP(I941*1,Summary!$C$8:$C$153,1,0)),VLOOKUP(I941,Summary!$C$8:$C$153,1,0),VLOOKUP(I941*1,Summary!$C$8:$C$153,1,0)))),"Add account Number to Summary","")</f>
        <v/>
      </c>
      <c r="M941" s="131" t="str">
        <f t="shared" si="15"/>
        <v/>
      </c>
      <c r="N941" s="287">
        <f>IF(C941="Sale",SUMIFS($D$4:D941,$B$4:B941,B941,$C$4:C941,"")+SUMIFS($D$4:D941,$B$4:B941,B941,$C$4:C941,"Purch")-SUMIFS($D$4:D941,$B$4:B941,B941,$C$4:C941,"Sale"),0)</f>
        <v>0</v>
      </c>
    </row>
    <row r="942" spans="1:14" x14ac:dyDescent="0.2">
      <c r="A942" s="152"/>
      <c r="B942" s="132"/>
      <c r="C942" s="132"/>
      <c r="D942" s="277"/>
      <c r="E942" s="132"/>
      <c r="F942" s="170"/>
      <c r="G942" s="150"/>
      <c r="H942" s="152"/>
      <c r="I942" s="204"/>
      <c r="J942" s="285"/>
      <c r="K942" s="251"/>
      <c r="L942" s="133" t="str">
        <f>IF(AND(I942&lt;&gt;"",ISERROR(IF(ISERROR(VLOOKUP(I942*1,Summary!$C$8:$C$153,1,0)),VLOOKUP(I942,Summary!$C$8:$C$153,1,0),VLOOKUP(I942*1,Summary!$C$8:$C$153,1,0)))),"Add account Number to Summary","")</f>
        <v/>
      </c>
      <c r="M942" s="131" t="str">
        <f t="shared" si="15"/>
        <v/>
      </c>
      <c r="N942" s="287">
        <f>IF(C942="Sale",SUMIFS($D$4:D942,$B$4:B942,B942,$C$4:C942,"")+SUMIFS($D$4:D942,$B$4:B942,B942,$C$4:C942,"Purch")-SUMIFS($D$4:D942,$B$4:B942,B942,$C$4:C942,"Sale"),0)</f>
        <v>0</v>
      </c>
    </row>
    <row r="943" spans="1:14" x14ac:dyDescent="0.2">
      <c r="A943" s="152"/>
      <c r="B943" s="132"/>
      <c r="C943" s="132"/>
      <c r="D943" s="277"/>
      <c r="E943" s="132"/>
      <c r="F943" s="170"/>
      <c r="G943" s="150"/>
      <c r="H943" s="152"/>
      <c r="I943" s="204"/>
      <c r="J943" s="285"/>
      <c r="K943" s="251"/>
      <c r="L943" s="133" t="str">
        <f>IF(AND(I943&lt;&gt;"",ISERROR(IF(ISERROR(VLOOKUP(I943*1,Summary!$C$8:$C$153,1,0)),VLOOKUP(I943,Summary!$C$8:$C$153,1,0),VLOOKUP(I943*1,Summary!$C$8:$C$153,1,0)))),"Add account Number to Summary","")</f>
        <v/>
      </c>
      <c r="M943" s="131" t="str">
        <f t="shared" si="15"/>
        <v/>
      </c>
      <c r="N943" s="287">
        <f>IF(C943="Sale",SUMIFS($D$4:D943,$B$4:B943,B943,$C$4:C943,"")+SUMIFS($D$4:D943,$B$4:B943,B943,$C$4:C943,"Purch")-SUMIFS($D$4:D943,$B$4:B943,B943,$C$4:C943,"Sale"),0)</f>
        <v>0</v>
      </c>
    </row>
    <row r="944" spans="1:14" x14ac:dyDescent="0.2">
      <c r="A944" s="152"/>
      <c r="B944" s="132"/>
      <c r="C944" s="132"/>
      <c r="D944" s="277"/>
      <c r="E944" s="132"/>
      <c r="F944" s="170"/>
      <c r="G944" s="150"/>
      <c r="H944" s="152"/>
      <c r="I944" s="204"/>
      <c r="J944" s="285"/>
      <c r="K944" s="251"/>
      <c r="L944" s="133" t="str">
        <f>IF(AND(I944&lt;&gt;"",ISERROR(IF(ISERROR(VLOOKUP(I944*1,Summary!$C$8:$C$153,1,0)),VLOOKUP(I944,Summary!$C$8:$C$153,1,0),VLOOKUP(I944*1,Summary!$C$8:$C$153,1,0)))),"Add account Number to Summary","")</f>
        <v/>
      </c>
      <c r="M944" s="131" t="str">
        <f t="shared" si="15"/>
        <v/>
      </c>
      <c r="N944" s="287">
        <f>IF(C944="Sale",SUMIFS($D$4:D944,$B$4:B944,B944,$C$4:C944,"")+SUMIFS($D$4:D944,$B$4:B944,B944,$C$4:C944,"Purch")-SUMIFS($D$4:D944,$B$4:B944,B944,$C$4:C944,"Sale"),0)</f>
        <v>0</v>
      </c>
    </row>
    <row r="945" spans="1:14" x14ac:dyDescent="0.2">
      <c r="A945" s="152"/>
      <c r="B945" s="132"/>
      <c r="C945" s="132"/>
      <c r="D945" s="277"/>
      <c r="E945" s="132"/>
      <c r="F945" s="170"/>
      <c r="G945" s="150"/>
      <c r="H945" s="152"/>
      <c r="I945" s="204"/>
      <c r="J945" s="285"/>
      <c r="K945" s="251"/>
      <c r="L945" s="133" t="str">
        <f>IF(AND(I945&lt;&gt;"",ISERROR(IF(ISERROR(VLOOKUP(I945*1,Summary!$C$8:$C$153,1,0)),VLOOKUP(I945,Summary!$C$8:$C$153,1,0),VLOOKUP(I945*1,Summary!$C$8:$C$153,1,0)))),"Add account Number to Summary","")</f>
        <v/>
      </c>
      <c r="M945" s="131" t="str">
        <f t="shared" si="15"/>
        <v/>
      </c>
      <c r="N945" s="287">
        <f>IF(C945="Sale",SUMIFS($D$4:D945,$B$4:B945,B945,$C$4:C945,"")+SUMIFS($D$4:D945,$B$4:B945,B945,$C$4:C945,"Purch")-SUMIFS($D$4:D945,$B$4:B945,B945,$C$4:C945,"Sale"),0)</f>
        <v>0</v>
      </c>
    </row>
    <row r="946" spans="1:14" x14ac:dyDescent="0.2">
      <c r="A946" s="152"/>
      <c r="B946" s="132"/>
      <c r="C946" s="132"/>
      <c r="D946" s="277"/>
      <c r="E946" s="132"/>
      <c r="F946" s="170"/>
      <c r="G946" s="150"/>
      <c r="H946" s="152"/>
      <c r="I946" s="204"/>
      <c r="J946" s="285"/>
      <c r="K946" s="251"/>
      <c r="L946" s="133" t="str">
        <f>IF(AND(I946&lt;&gt;"",ISERROR(IF(ISERROR(VLOOKUP(I946*1,Summary!$C$8:$C$153,1,0)),VLOOKUP(I946,Summary!$C$8:$C$153,1,0),VLOOKUP(I946*1,Summary!$C$8:$C$153,1,0)))),"Add account Number to Summary","")</f>
        <v/>
      </c>
      <c r="M946" s="131" t="str">
        <f t="shared" si="15"/>
        <v/>
      </c>
      <c r="N946" s="287">
        <f>IF(C946="Sale",SUMIFS($D$4:D946,$B$4:B946,B946,$C$4:C946,"")+SUMIFS($D$4:D946,$B$4:B946,B946,$C$4:C946,"Purch")-SUMIFS($D$4:D946,$B$4:B946,B946,$C$4:C946,"Sale"),0)</f>
        <v>0</v>
      </c>
    </row>
    <row r="947" spans="1:14" x14ac:dyDescent="0.2">
      <c r="A947" s="152"/>
      <c r="B947" s="132"/>
      <c r="C947" s="132"/>
      <c r="D947" s="277"/>
      <c r="E947" s="132"/>
      <c r="F947" s="170"/>
      <c r="G947" s="150"/>
      <c r="H947" s="152"/>
      <c r="I947" s="204"/>
      <c r="J947" s="285"/>
      <c r="K947" s="251"/>
      <c r="L947" s="133" t="str">
        <f>IF(AND(I947&lt;&gt;"",ISERROR(IF(ISERROR(VLOOKUP(I947*1,Summary!$C$8:$C$153,1,0)),VLOOKUP(I947,Summary!$C$8:$C$153,1,0),VLOOKUP(I947*1,Summary!$C$8:$C$153,1,0)))),"Add account Number to Summary","")</f>
        <v/>
      </c>
      <c r="M947" s="131" t="str">
        <f t="shared" si="15"/>
        <v/>
      </c>
      <c r="N947" s="287">
        <f>IF(C947="Sale",SUMIFS($D$4:D947,$B$4:B947,B947,$C$4:C947,"")+SUMIFS($D$4:D947,$B$4:B947,B947,$C$4:C947,"Purch")-SUMIFS($D$4:D947,$B$4:B947,B947,$C$4:C947,"Sale"),0)</f>
        <v>0</v>
      </c>
    </row>
    <row r="948" spans="1:14" x14ac:dyDescent="0.2">
      <c r="A948" s="152"/>
      <c r="B948" s="132"/>
      <c r="C948" s="132"/>
      <c r="D948" s="277"/>
      <c r="E948" s="132"/>
      <c r="F948" s="170"/>
      <c r="G948" s="150"/>
      <c r="H948" s="152"/>
      <c r="I948" s="204"/>
      <c r="J948" s="285"/>
      <c r="K948" s="251"/>
      <c r="L948" s="133" t="str">
        <f>IF(AND(I948&lt;&gt;"",ISERROR(IF(ISERROR(VLOOKUP(I948*1,Summary!$C$8:$C$153,1,0)),VLOOKUP(I948,Summary!$C$8:$C$153,1,0),VLOOKUP(I948*1,Summary!$C$8:$C$153,1,0)))),"Add account Number to Summary","")</f>
        <v/>
      </c>
      <c r="M948" s="131" t="str">
        <f t="shared" si="15"/>
        <v/>
      </c>
      <c r="N948" s="287">
        <f>IF(C948="Sale",SUMIFS($D$4:D948,$B$4:B948,B948,$C$4:C948,"")+SUMIFS($D$4:D948,$B$4:B948,B948,$C$4:C948,"Purch")-SUMIFS($D$4:D948,$B$4:B948,B948,$C$4:C948,"Sale"),0)</f>
        <v>0</v>
      </c>
    </row>
    <row r="949" spans="1:14" x14ac:dyDescent="0.2">
      <c r="A949" s="152"/>
      <c r="B949" s="132"/>
      <c r="C949" s="132"/>
      <c r="D949" s="277"/>
      <c r="E949" s="132"/>
      <c r="F949" s="170"/>
      <c r="G949" s="150"/>
      <c r="H949" s="152"/>
      <c r="I949" s="204"/>
      <c r="J949" s="285"/>
      <c r="K949" s="251"/>
      <c r="L949" s="133" t="str">
        <f>IF(AND(I949&lt;&gt;"",ISERROR(IF(ISERROR(VLOOKUP(I949*1,Summary!$C$8:$C$153,1,0)),VLOOKUP(I949,Summary!$C$8:$C$153,1,0),VLOOKUP(I949*1,Summary!$C$8:$C$153,1,0)))),"Add account Number to Summary","")</f>
        <v/>
      </c>
      <c r="M949" s="131" t="str">
        <f t="shared" si="15"/>
        <v/>
      </c>
      <c r="N949" s="287">
        <f>IF(C949="Sale",SUMIFS($D$4:D949,$B$4:B949,B949,$C$4:C949,"")+SUMIFS($D$4:D949,$B$4:B949,B949,$C$4:C949,"Purch")-SUMIFS($D$4:D949,$B$4:B949,B949,$C$4:C949,"Sale"),0)</f>
        <v>0</v>
      </c>
    </row>
    <row r="950" spans="1:14" x14ac:dyDescent="0.2">
      <c r="A950" s="152"/>
      <c r="B950" s="132"/>
      <c r="C950" s="132"/>
      <c r="D950" s="277"/>
      <c r="E950" s="132"/>
      <c r="F950" s="170"/>
      <c r="G950" s="150"/>
      <c r="H950" s="152"/>
      <c r="I950" s="204"/>
      <c r="J950" s="285"/>
      <c r="K950" s="251"/>
      <c r="L950" s="133" t="str">
        <f>IF(AND(I950&lt;&gt;"",ISERROR(IF(ISERROR(VLOOKUP(I950*1,Summary!$C$8:$C$153,1,0)),VLOOKUP(I950,Summary!$C$8:$C$153,1,0),VLOOKUP(I950*1,Summary!$C$8:$C$153,1,0)))),"Add account Number to Summary","")</f>
        <v/>
      </c>
      <c r="M950" s="131" t="str">
        <f t="shared" si="15"/>
        <v/>
      </c>
      <c r="N950" s="287">
        <f>IF(C950="Sale",SUMIFS($D$4:D950,$B$4:B950,B950,$C$4:C950,"")+SUMIFS($D$4:D950,$B$4:B950,B950,$C$4:C950,"Purch")-SUMIFS($D$4:D950,$B$4:B950,B950,$C$4:C950,"Sale"),0)</f>
        <v>0</v>
      </c>
    </row>
    <row r="951" spans="1:14" x14ac:dyDescent="0.2">
      <c r="A951" s="152"/>
      <c r="B951" s="132"/>
      <c r="C951" s="132"/>
      <c r="D951" s="277"/>
      <c r="E951" s="132"/>
      <c r="F951" s="170"/>
      <c r="G951" s="150"/>
      <c r="H951" s="152"/>
      <c r="I951" s="204"/>
      <c r="J951" s="285"/>
      <c r="K951" s="251"/>
      <c r="L951" s="133" t="str">
        <f>IF(AND(I951&lt;&gt;"",ISERROR(IF(ISERROR(VLOOKUP(I951*1,Summary!$C$8:$C$153,1,0)),VLOOKUP(I951,Summary!$C$8:$C$153,1,0),VLOOKUP(I951*1,Summary!$C$8:$C$153,1,0)))),"Add account Number to Summary","")</f>
        <v/>
      </c>
      <c r="M951" s="131" t="str">
        <f t="shared" si="15"/>
        <v/>
      </c>
      <c r="N951" s="287">
        <f>IF(C951="Sale",SUMIFS($D$4:D951,$B$4:B951,B951,$C$4:C951,"")+SUMIFS($D$4:D951,$B$4:B951,B951,$C$4:C951,"Purch")-SUMIFS($D$4:D951,$B$4:B951,B951,$C$4:C951,"Sale"),0)</f>
        <v>0</v>
      </c>
    </row>
    <row r="952" spans="1:14" x14ac:dyDescent="0.2">
      <c r="A952" s="152"/>
      <c r="B952" s="132"/>
      <c r="C952" s="132"/>
      <c r="D952" s="277"/>
      <c r="E952" s="132"/>
      <c r="F952" s="170"/>
      <c r="G952" s="150"/>
      <c r="H952" s="152"/>
      <c r="I952" s="204"/>
      <c r="J952" s="285"/>
      <c r="K952" s="251"/>
      <c r="L952" s="133" t="str">
        <f>IF(AND(I952&lt;&gt;"",ISERROR(IF(ISERROR(VLOOKUP(I952*1,Summary!$C$8:$C$153,1,0)),VLOOKUP(I952,Summary!$C$8:$C$153,1,0),VLOOKUP(I952*1,Summary!$C$8:$C$153,1,0)))),"Add account Number to Summary","")</f>
        <v/>
      </c>
      <c r="M952" s="131" t="str">
        <f t="shared" si="15"/>
        <v/>
      </c>
      <c r="N952" s="287">
        <f>IF(C952="Sale",SUMIFS($D$4:D952,$B$4:B952,B952,$C$4:C952,"")+SUMIFS($D$4:D952,$B$4:B952,B952,$C$4:C952,"Purch")-SUMIFS($D$4:D952,$B$4:B952,B952,$C$4:C952,"Sale"),0)</f>
        <v>0</v>
      </c>
    </row>
    <row r="953" spans="1:14" x14ac:dyDescent="0.2">
      <c r="A953" s="152"/>
      <c r="B953" s="132"/>
      <c r="C953" s="132"/>
      <c r="D953" s="277"/>
      <c r="E953" s="132"/>
      <c r="F953" s="170"/>
      <c r="G953" s="150"/>
      <c r="H953" s="152"/>
      <c r="I953" s="204"/>
      <c r="J953" s="285"/>
      <c r="K953" s="251"/>
      <c r="L953" s="133" t="str">
        <f>IF(AND(I953&lt;&gt;"",ISERROR(IF(ISERROR(VLOOKUP(I953*1,Summary!$C$8:$C$153,1,0)),VLOOKUP(I953,Summary!$C$8:$C$153,1,0),VLOOKUP(I953*1,Summary!$C$8:$C$153,1,0)))),"Add account Number to Summary","")</f>
        <v/>
      </c>
      <c r="M953" s="131" t="str">
        <f t="shared" si="15"/>
        <v/>
      </c>
      <c r="N953" s="287">
        <f>IF(C953="Sale",SUMIFS($D$4:D953,$B$4:B953,B953,$C$4:C953,"")+SUMIFS($D$4:D953,$B$4:B953,B953,$C$4:C953,"Purch")-SUMIFS($D$4:D953,$B$4:B953,B953,$C$4:C953,"Sale"),0)</f>
        <v>0</v>
      </c>
    </row>
    <row r="954" spans="1:14" x14ac:dyDescent="0.2">
      <c r="A954" s="152"/>
      <c r="B954" s="132"/>
      <c r="C954" s="132"/>
      <c r="D954" s="277"/>
      <c r="E954" s="132"/>
      <c r="F954" s="170"/>
      <c r="G954" s="150"/>
      <c r="H954" s="152"/>
      <c r="I954" s="204"/>
      <c r="J954" s="285"/>
      <c r="K954" s="251"/>
      <c r="L954" s="133" t="str">
        <f>IF(AND(I954&lt;&gt;"",ISERROR(IF(ISERROR(VLOOKUP(I954*1,Summary!$C$8:$C$153,1,0)),VLOOKUP(I954,Summary!$C$8:$C$153,1,0),VLOOKUP(I954*1,Summary!$C$8:$C$153,1,0)))),"Add account Number to Summary","")</f>
        <v/>
      </c>
      <c r="M954" s="131" t="str">
        <f t="shared" si="15"/>
        <v/>
      </c>
      <c r="N954" s="287">
        <f>IF(C954="Sale",SUMIFS($D$4:D954,$B$4:B954,B954,$C$4:C954,"")+SUMIFS($D$4:D954,$B$4:B954,B954,$C$4:C954,"Purch")-SUMIFS($D$4:D954,$B$4:B954,B954,$C$4:C954,"Sale"),0)</f>
        <v>0</v>
      </c>
    </row>
    <row r="955" spans="1:14" x14ac:dyDescent="0.2">
      <c r="A955" s="152"/>
      <c r="B955" s="132"/>
      <c r="C955" s="132"/>
      <c r="D955" s="277"/>
      <c r="E955" s="132"/>
      <c r="F955" s="170"/>
      <c r="G955" s="150"/>
      <c r="H955" s="152"/>
      <c r="I955" s="204"/>
      <c r="J955" s="285"/>
      <c r="K955" s="251"/>
      <c r="L955" s="133" t="str">
        <f>IF(AND(I955&lt;&gt;"",ISERROR(IF(ISERROR(VLOOKUP(I955*1,Summary!$C$8:$C$153,1,0)),VLOOKUP(I955,Summary!$C$8:$C$153,1,0),VLOOKUP(I955*1,Summary!$C$8:$C$153,1,0)))),"Add account Number to Summary","")</f>
        <v/>
      </c>
      <c r="M955" s="131" t="str">
        <f t="shared" si="15"/>
        <v/>
      </c>
      <c r="N955" s="287">
        <f>IF(C955="Sale",SUMIFS($D$4:D955,$B$4:B955,B955,$C$4:C955,"")+SUMIFS($D$4:D955,$B$4:B955,B955,$C$4:C955,"Purch")-SUMIFS($D$4:D955,$B$4:B955,B955,$C$4:C955,"Sale"),0)</f>
        <v>0</v>
      </c>
    </row>
    <row r="956" spans="1:14" x14ac:dyDescent="0.2">
      <c r="A956" s="152"/>
      <c r="B956" s="132"/>
      <c r="C956" s="132"/>
      <c r="D956" s="277"/>
      <c r="E956" s="132"/>
      <c r="F956" s="170"/>
      <c r="G956" s="150"/>
      <c r="H956" s="152"/>
      <c r="I956" s="204"/>
      <c r="J956" s="285"/>
      <c r="K956" s="251"/>
      <c r="L956" s="133" t="str">
        <f>IF(AND(I956&lt;&gt;"",ISERROR(IF(ISERROR(VLOOKUP(I956*1,Summary!$C$8:$C$153,1,0)),VLOOKUP(I956,Summary!$C$8:$C$153,1,0),VLOOKUP(I956*1,Summary!$C$8:$C$153,1,0)))),"Add account Number to Summary","")</f>
        <v/>
      </c>
      <c r="M956" s="131" t="str">
        <f t="shared" si="15"/>
        <v/>
      </c>
      <c r="N956" s="287">
        <f>IF(C956="Sale",SUMIFS($D$4:D956,$B$4:B956,B956,$C$4:C956,"")+SUMIFS($D$4:D956,$B$4:B956,B956,$C$4:C956,"Purch")-SUMIFS($D$4:D956,$B$4:B956,B956,$C$4:C956,"Sale"),0)</f>
        <v>0</v>
      </c>
    </row>
    <row r="957" spans="1:14" x14ac:dyDescent="0.2">
      <c r="A957" s="152"/>
      <c r="B957" s="132"/>
      <c r="C957" s="132"/>
      <c r="D957" s="277"/>
      <c r="E957" s="132"/>
      <c r="F957" s="170"/>
      <c r="G957" s="150"/>
      <c r="H957" s="152"/>
      <c r="I957" s="204"/>
      <c r="J957" s="285"/>
      <c r="K957" s="251"/>
      <c r="L957" s="133" t="str">
        <f>IF(AND(I957&lt;&gt;"",ISERROR(IF(ISERROR(VLOOKUP(I957*1,Summary!$C$8:$C$153,1,0)),VLOOKUP(I957,Summary!$C$8:$C$153,1,0),VLOOKUP(I957*1,Summary!$C$8:$C$153,1,0)))),"Add account Number to Summary","")</f>
        <v/>
      </c>
      <c r="M957" s="131" t="str">
        <f t="shared" si="15"/>
        <v/>
      </c>
      <c r="N957" s="287">
        <f>IF(C957="Sale",SUMIFS($D$4:D957,$B$4:B957,B957,$C$4:C957,"")+SUMIFS($D$4:D957,$B$4:B957,B957,$C$4:C957,"Purch")-SUMIFS($D$4:D957,$B$4:B957,B957,$C$4:C957,"Sale"),0)</f>
        <v>0</v>
      </c>
    </row>
    <row r="958" spans="1:14" x14ac:dyDescent="0.2">
      <c r="A958" s="152"/>
      <c r="B958" s="132"/>
      <c r="C958" s="132"/>
      <c r="D958" s="277"/>
      <c r="E958" s="132"/>
      <c r="F958" s="170"/>
      <c r="G958" s="150"/>
      <c r="H958" s="152"/>
      <c r="I958" s="204"/>
      <c r="J958" s="285"/>
      <c r="K958" s="251"/>
      <c r="L958" s="133" t="str">
        <f>IF(AND(I958&lt;&gt;"",ISERROR(IF(ISERROR(VLOOKUP(I958*1,Summary!$C$8:$C$153,1,0)),VLOOKUP(I958,Summary!$C$8:$C$153,1,0),VLOOKUP(I958*1,Summary!$C$8:$C$153,1,0)))),"Add account Number to Summary","")</f>
        <v/>
      </c>
      <c r="M958" s="131" t="str">
        <f t="shared" si="15"/>
        <v/>
      </c>
      <c r="N958" s="287">
        <f>IF(C958="Sale",SUMIFS($D$4:D958,$B$4:B958,B958,$C$4:C958,"")+SUMIFS($D$4:D958,$B$4:B958,B958,$C$4:C958,"Purch")-SUMIFS($D$4:D958,$B$4:B958,B958,$C$4:C958,"Sale"),0)</f>
        <v>0</v>
      </c>
    </row>
    <row r="959" spans="1:14" x14ac:dyDescent="0.2">
      <c r="A959" s="152"/>
      <c r="B959" s="132"/>
      <c r="C959" s="132"/>
      <c r="D959" s="277"/>
      <c r="E959" s="132"/>
      <c r="F959" s="170"/>
      <c r="G959" s="150"/>
      <c r="H959" s="152"/>
      <c r="I959" s="204"/>
      <c r="J959" s="285"/>
      <c r="K959" s="251"/>
      <c r="L959" s="133" t="str">
        <f>IF(AND(I959&lt;&gt;"",ISERROR(IF(ISERROR(VLOOKUP(I959*1,Summary!$C$8:$C$153,1,0)),VLOOKUP(I959,Summary!$C$8:$C$153,1,0),VLOOKUP(I959*1,Summary!$C$8:$C$153,1,0)))),"Add account Number to Summary","")</f>
        <v/>
      </c>
      <c r="M959" s="131" t="str">
        <f t="shared" si="15"/>
        <v/>
      </c>
      <c r="N959" s="287">
        <f>IF(C959="Sale",SUMIFS($D$4:D959,$B$4:B959,B959,$C$4:C959,"")+SUMIFS($D$4:D959,$B$4:B959,B959,$C$4:C959,"Purch")-SUMIFS($D$4:D959,$B$4:B959,B959,$C$4:C959,"Sale"),0)</f>
        <v>0</v>
      </c>
    </row>
    <row r="960" spans="1:14" x14ac:dyDescent="0.2">
      <c r="A960" s="152"/>
      <c r="B960" s="132"/>
      <c r="C960" s="132"/>
      <c r="D960" s="277"/>
      <c r="E960" s="132"/>
      <c r="F960" s="170"/>
      <c r="G960" s="150"/>
      <c r="H960" s="152"/>
      <c r="I960" s="204"/>
      <c r="J960" s="285"/>
      <c r="K960" s="251"/>
      <c r="L960" s="133" t="str">
        <f>IF(AND(I960&lt;&gt;"",ISERROR(IF(ISERROR(VLOOKUP(I960*1,Summary!$C$8:$C$153,1,0)),VLOOKUP(I960,Summary!$C$8:$C$153,1,0),VLOOKUP(I960*1,Summary!$C$8:$C$153,1,0)))),"Add account Number to Summary","")</f>
        <v/>
      </c>
      <c r="M960" s="131" t="str">
        <f t="shared" si="15"/>
        <v/>
      </c>
      <c r="N960" s="287">
        <f>IF(C960="Sale",SUMIFS($D$4:D960,$B$4:B960,B960,$C$4:C960,"")+SUMIFS($D$4:D960,$B$4:B960,B960,$C$4:C960,"Purch")-SUMIFS($D$4:D960,$B$4:B960,B960,$C$4:C960,"Sale"),0)</f>
        <v>0</v>
      </c>
    </row>
    <row r="961" spans="1:14" x14ac:dyDescent="0.2">
      <c r="A961" s="152"/>
      <c r="B961" s="132"/>
      <c r="C961" s="132"/>
      <c r="D961" s="277"/>
      <c r="E961" s="132"/>
      <c r="F961" s="170"/>
      <c r="G961" s="150"/>
      <c r="H961" s="152"/>
      <c r="I961" s="204"/>
      <c r="J961" s="285"/>
      <c r="K961" s="251"/>
      <c r="L961" s="133" t="str">
        <f>IF(AND(I961&lt;&gt;"",ISERROR(IF(ISERROR(VLOOKUP(I961*1,Summary!$C$8:$C$153,1,0)),VLOOKUP(I961,Summary!$C$8:$C$153,1,0),VLOOKUP(I961*1,Summary!$C$8:$C$153,1,0)))),"Add account Number to Summary","")</f>
        <v/>
      </c>
      <c r="M961" s="131" t="str">
        <f t="shared" si="15"/>
        <v/>
      </c>
      <c r="N961" s="287">
        <f>IF(C961="Sale",SUMIFS($D$4:D961,$B$4:B961,B961,$C$4:C961,"")+SUMIFS($D$4:D961,$B$4:B961,B961,$C$4:C961,"Purch")-SUMIFS($D$4:D961,$B$4:B961,B961,$C$4:C961,"Sale"),0)</f>
        <v>0</v>
      </c>
    </row>
    <row r="962" spans="1:14" x14ac:dyDescent="0.2">
      <c r="A962" s="152"/>
      <c r="B962" s="132"/>
      <c r="C962" s="132"/>
      <c r="D962" s="277"/>
      <c r="E962" s="132"/>
      <c r="F962" s="170"/>
      <c r="G962" s="150"/>
      <c r="H962" s="152"/>
      <c r="I962" s="204"/>
      <c r="J962" s="285"/>
      <c r="K962" s="251"/>
      <c r="L962" s="133" t="str">
        <f>IF(AND(I962&lt;&gt;"",ISERROR(IF(ISERROR(VLOOKUP(I962*1,Summary!$C$8:$C$153,1,0)),VLOOKUP(I962,Summary!$C$8:$C$153,1,0),VLOOKUP(I962*1,Summary!$C$8:$C$153,1,0)))),"Add account Number to Summary","")</f>
        <v/>
      </c>
      <c r="M962" s="131" t="str">
        <f t="shared" si="15"/>
        <v/>
      </c>
      <c r="N962" s="287">
        <f>IF(C962="Sale",SUMIFS($D$4:D962,$B$4:B962,B962,$C$4:C962,"")+SUMIFS($D$4:D962,$B$4:B962,B962,$C$4:C962,"Purch")-SUMIFS($D$4:D962,$B$4:B962,B962,$C$4:C962,"Sale"),0)</f>
        <v>0</v>
      </c>
    </row>
    <row r="963" spans="1:14" x14ac:dyDescent="0.2">
      <c r="A963" s="152"/>
      <c r="B963" s="132"/>
      <c r="C963" s="132"/>
      <c r="D963" s="277"/>
      <c r="E963" s="132"/>
      <c r="F963" s="170"/>
      <c r="G963" s="150"/>
      <c r="H963" s="152"/>
      <c r="I963" s="204"/>
      <c r="J963" s="285"/>
      <c r="K963" s="251"/>
      <c r="L963" s="133" t="str">
        <f>IF(AND(I963&lt;&gt;"",ISERROR(IF(ISERROR(VLOOKUP(I963*1,Summary!$C$8:$C$153,1,0)),VLOOKUP(I963,Summary!$C$8:$C$153,1,0),VLOOKUP(I963*1,Summary!$C$8:$C$153,1,0)))),"Add account Number to Summary","")</f>
        <v/>
      </c>
      <c r="M963" s="131" t="str">
        <f t="shared" si="15"/>
        <v/>
      </c>
      <c r="N963" s="287">
        <f>IF(C963="Sale",SUMIFS($D$4:D963,$B$4:B963,B963,$C$4:C963,"")+SUMIFS($D$4:D963,$B$4:B963,B963,$C$4:C963,"Purch")-SUMIFS($D$4:D963,$B$4:B963,B963,$C$4:C963,"Sale"),0)</f>
        <v>0</v>
      </c>
    </row>
    <row r="964" spans="1:14" x14ac:dyDescent="0.2">
      <c r="A964" s="152"/>
      <c r="B964" s="132"/>
      <c r="C964" s="132"/>
      <c r="D964" s="277"/>
      <c r="E964" s="132"/>
      <c r="F964" s="170"/>
      <c r="G964" s="150"/>
      <c r="H964" s="152"/>
      <c r="I964" s="204"/>
      <c r="J964" s="285"/>
      <c r="K964" s="251"/>
      <c r="L964" s="133" t="str">
        <f>IF(AND(I964&lt;&gt;"",ISERROR(IF(ISERROR(VLOOKUP(I964*1,Summary!$C$8:$C$153,1,0)),VLOOKUP(I964,Summary!$C$8:$C$153,1,0),VLOOKUP(I964*1,Summary!$C$8:$C$153,1,0)))),"Add account Number to Summary","")</f>
        <v/>
      </c>
      <c r="M964" s="131" t="str">
        <f t="shared" si="15"/>
        <v/>
      </c>
      <c r="N964" s="287">
        <f>IF(C964="Sale",SUMIFS($D$4:D964,$B$4:B964,B964,$C$4:C964,"")+SUMIFS($D$4:D964,$B$4:B964,B964,$C$4:C964,"Purch")-SUMIFS($D$4:D964,$B$4:B964,B964,$C$4:C964,"Sale"),0)</f>
        <v>0</v>
      </c>
    </row>
    <row r="965" spans="1:14" x14ac:dyDescent="0.2">
      <c r="A965" s="152"/>
      <c r="B965" s="132"/>
      <c r="C965" s="132"/>
      <c r="D965" s="277"/>
      <c r="E965" s="132"/>
      <c r="F965" s="170"/>
      <c r="G965" s="150"/>
      <c r="H965" s="152"/>
      <c r="I965" s="204"/>
      <c r="J965" s="285"/>
      <c r="K965" s="251"/>
      <c r="L965" s="133" t="str">
        <f>IF(AND(I965&lt;&gt;"",ISERROR(IF(ISERROR(VLOOKUP(I965*1,Summary!$C$8:$C$153,1,0)),VLOOKUP(I965,Summary!$C$8:$C$153,1,0),VLOOKUP(I965*1,Summary!$C$8:$C$153,1,0)))),"Add account Number to Summary","")</f>
        <v/>
      </c>
      <c r="M965" s="131" t="str">
        <f t="shared" si="15"/>
        <v/>
      </c>
      <c r="N965" s="287">
        <f>IF(C965="Sale",SUMIFS($D$4:D965,$B$4:B965,B965,$C$4:C965,"")+SUMIFS($D$4:D965,$B$4:B965,B965,$C$4:C965,"Purch")-SUMIFS($D$4:D965,$B$4:B965,B965,$C$4:C965,"Sale"),0)</f>
        <v>0</v>
      </c>
    </row>
    <row r="966" spans="1:14" x14ac:dyDescent="0.2">
      <c r="A966" s="152"/>
      <c r="B966" s="132"/>
      <c r="C966" s="132"/>
      <c r="D966" s="277"/>
      <c r="E966" s="132"/>
      <c r="F966" s="170"/>
      <c r="G966" s="150"/>
      <c r="H966" s="152"/>
      <c r="I966" s="204"/>
      <c r="J966" s="285"/>
      <c r="K966" s="251"/>
      <c r="L966" s="133" t="str">
        <f>IF(AND(I966&lt;&gt;"",ISERROR(IF(ISERROR(VLOOKUP(I966*1,Summary!$C$8:$C$153,1,0)),VLOOKUP(I966,Summary!$C$8:$C$153,1,0),VLOOKUP(I966*1,Summary!$C$8:$C$153,1,0)))),"Add account Number to Summary","")</f>
        <v/>
      </c>
      <c r="M966" s="131" t="str">
        <f t="shared" si="15"/>
        <v/>
      </c>
      <c r="N966" s="287">
        <f>IF(C966="Sale",SUMIFS($D$4:D966,$B$4:B966,B966,$C$4:C966,"")+SUMIFS($D$4:D966,$B$4:B966,B966,$C$4:C966,"Purch")-SUMIFS($D$4:D966,$B$4:B966,B966,$C$4:C966,"Sale"),0)</f>
        <v>0</v>
      </c>
    </row>
    <row r="967" spans="1:14" x14ac:dyDescent="0.2">
      <c r="A967" s="152"/>
      <c r="B967" s="132"/>
      <c r="C967" s="132"/>
      <c r="D967" s="277"/>
      <c r="E967" s="132"/>
      <c r="F967" s="170"/>
      <c r="G967" s="150"/>
      <c r="H967" s="152"/>
      <c r="I967" s="204"/>
      <c r="J967" s="285"/>
      <c r="K967" s="251"/>
      <c r="L967" s="133" t="str">
        <f>IF(AND(I967&lt;&gt;"",ISERROR(IF(ISERROR(VLOOKUP(I967*1,Summary!$C$8:$C$153,1,0)),VLOOKUP(I967,Summary!$C$8:$C$153,1,0),VLOOKUP(I967*1,Summary!$C$8:$C$153,1,0)))),"Add account Number to Summary","")</f>
        <v/>
      </c>
      <c r="M967" s="131" t="str">
        <f t="shared" si="15"/>
        <v/>
      </c>
      <c r="N967" s="287">
        <f>IF(C967="Sale",SUMIFS($D$4:D967,$B$4:B967,B967,$C$4:C967,"")+SUMIFS($D$4:D967,$B$4:B967,B967,$C$4:C967,"Purch")-SUMIFS($D$4:D967,$B$4:B967,B967,$C$4:C967,"Sale"),0)</f>
        <v>0</v>
      </c>
    </row>
    <row r="968" spans="1:14" x14ac:dyDescent="0.2">
      <c r="A968" s="152"/>
      <c r="B968" s="132"/>
      <c r="C968" s="132"/>
      <c r="D968" s="277"/>
      <c r="E968" s="132"/>
      <c r="F968" s="170"/>
      <c r="G968" s="150"/>
      <c r="H968" s="152"/>
      <c r="I968" s="204"/>
      <c r="J968" s="285"/>
      <c r="K968" s="251"/>
      <c r="L968" s="133" t="str">
        <f>IF(AND(I968&lt;&gt;"",ISERROR(IF(ISERROR(VLOOKUP(I968*1,Summary!$C$8:$C$153,1,0)),VLOOKUP(I968,Summary!$C$8:$C$153,1,0),VLOOKUP(I968*1,Summary!$C$8:$C$153,1,0)))),"Add account Number to Summary","")</f>
        <v/>
      </c>
      <c r="M968" s="131" t="str">
        <f t="shared" si="15"/>
        <v/>
      </c>
      <c r="N968" s="287">
        <f>IF(C968="Sale",SUMIFS($D$4:D968,$B$4:B968,B968,$C$4:C968,"")+SUMIFS($D$4:D968,$B$4:B968,B968,$C$4:C968,"Purch")-SUMIFS($D$4:D968,$B$4:B968,B968,$C$4:C968,"Sale"),0)</f>
        <v>0</v>
      </c>
    </row>
    <row r="969" spans="1:14" x14ac:dyDescent="0.2">
      <c r="A969" s="152"/>
      <c r="B969" s="132"/>
      <c r="C969" s="132"/>
      <c r="D969" s="277"/>
      <c r="E969" s="132"/>
      <c r="F969" s="170"/>
      <c r="G969" s="150"/>
      <c r="H969" s="152"/>
      <c r="I969" s="204"/>
      <c r="J969" s="285"/>
      <c r="K969" s="251"/>
      <c r="L969" s="133" t="str">
        <f>IF(AND(I969&lt;&gt;"",ISERROR(IF(ISERROR(VLOOKUP(I969*1,Summary!$C$8:$C$153,1,0)),VLOOKUP(I969,Summary!$C$8:$C$153,1,0),VLOOKUP(I969*1,Summary!$C$8:$C$153,1,0)))),"Add account Number to Summary","")</f>
        <v/>
      </c>
      <c r="M969" s="131" t="str">
        <f t="shared" si="15"/>
        <v/>
      </c>
      <c r="N969" s="287">
        <f>IF(C969="Sale",SUMIFS($D$4:D969,$B$4:B969,B969,$C$4:C969,"")+SUMIFS($D$4:D969,$B$4:B969,B969,$C$4:C969,"Purch")-SUMIFS($D$4:D969,$B$4:B969,B969,$C$4:C969,"Sale"),0)</f>
        <v>0</v>
      </c>
    </row>
    <row r="970" spans="1:14" x14ac:dyDescent="0.2">
      <c r="A970" s="152"/>
      <c r="B970" s="132"/>
      <c r="C970" s="132"/>
      <c r="D970" s="277"/>
      <c r="E970" s="132"/>
      <c r="F970" s="170"/>
      <c r="G970" s="150"/>
      <c r="H970" s="152"/>
      <c r="I970" s="204"/>
      <c r="J970" s="285"/>
      <c r="K970" s="251"/>
      <c r="L970" s="133" t="str">
        <f>IF(AND(I970&lt;&gt;"",ISERROR(IF(ISERROR(VLOOKUP(I970*1,Summary!$C$8:$C$153,1,0)),VLOOKUP(I970,Summary!$C$8:$C$153,1,0),VLOOKUP(I970*1,Summary!$C$8:$C$153,1,0)))),"Add account Number to Summary","")</f>
        <v/>
      </c>
      <c r="M970" s="131" t="str">
        <f t="shared" si="15"/>
        <v/>
      </c>
      <c r="N970" s="287">
        <f>IF(C970="Sale",SUMIFS($D$4:D970,$B$4:B970,B970,$C$4:C970,"")+SUMIFS($D$4:D970,$B$4:B970,B970,$C$4:C970,"Purch")-SUMIFS($D$4:D970,$B$4:B970,B970,$C$4:C970,"Sale"),0)</f>
        <v>0</v>
      </c>
    </row>
    <row r="971" spans="1:14" x14ac:dyDescent="0.2">
      <c r="A971" s="152"/>
      <c r="B971" s="132"/>
      <c r="C971" s="132"/>
      <c r="D971" s="277"/>
      <c r="E971" s="132"/>
      <c r="F971" s="170"/>
      <c r="G971" s="150"/>
      <c r="H971" s="152"/>
      <c r="I971" s="204"/>
      <c r="J971" s="285"/>
      <c r="K971" s="251"/>
      <c r="L971" s="133" t="str">
        <f>IF(AND(I971&lt;&gt;"",ISERROR(IF(ISERROR(VLOOKUP(I971*1,Summary!$C$8:$C$153,1,0)),VLOOKUP(I971,Summary!$C$8:$C$153,1,0),VLOOKUP(I971*1,Summary!$C$8:$C$153,1,0)))),"Add account Number to Summary","")</f>
        <v/>
      </c>
      <c r="M971" s="131" t="str">
        <f t="shared" si="15"/>
        <v/>
      </c>
      <c r="N971" s="287">
        <f>IF(C971="Sale",SUMIFS($D$4:D971,$B$4:B971,B971,$C$4:C971,"")+SUMIFS($D$4:D971,$B$4:B971,B971,$C$4:C971,"Purch")-SUMIFS($D$4:D971,$B$4:B971,B971,$C$4:C971,"Sale"),0)</f>
        <v>0</v>
      </c>
    </row>
    <row r="972" spans="1:14" x14ac:dyDescent="0.2">
      <c r="A972" s="152"/>
      <c r="B972" s="132"/>
      <c r="C972" s="132"/>
      <c r="D972" s="277"/>
      <c r="E972" s="132"/>
      <c r="F972" s="170"/>
      <c r="G972" s="150"/>
      <c r="H972" s="152"/>
      <c r="I972" s="204"/>
      <c r="J972" s="285"/>
      <c r="K972" s="251"/>
      <c r="L972" s="133" t="str">
        <f>IF(AND(I972&lt;&gt;"",ISERROR(IF(ISERROR(VLOOKUP(I972*1,Summary!$C$8:$C$153,1,0)),VLOOKUP(I972,Summary!$C$8:$C$153,1,0),VLOOKUP(I972*1,Summary!$C$8:$C$153,1,0)))),"Add account Number to Summary","")</f>
        <v/>
      </c>
      <c r="M972" s="131" t="str">
        <f t="shared" si="15"/>
        <v/>
      </c>
      <c r="N972" s="287">
        <f>IF(C972="Sale",SUMIFS($D$4:D972,$B$4:B972,B972,$C$4:C972,"")+SUMIFS($D$4:D972,$B$4:B972,B972,$C$4:C972,"Purch")-SUMIFS($D$4:D972,$B$4:B972,B972,$C$4:C972,"Sale"),0)</f>
        <v>0</v>
      </c>
    </row>
    <row r="973" spans="1:14" x14ac:dyDescent="0.2">
      <c r="A973" s="152"/>
      <c r="B973" s="132"/>
      <c r="C973" s="132"/>
      <c r="D973" s="277"/>
      <c r="E973" s="132"/>
      <c r="F973" s="170"/>
      <c r="G973" s="150"/>
      <c r="H973" s="152"/>
      <c r="I973" s="204"/>
      <c r="J973" s="285"/>
      <c r="K973" s="251"/>
      <c r="L973" s="133" t="str">
        <f>IF(AND(I973&lt;&gt;"",ISERROR(IF(ISERROR(VLOOKUP(I973*1,Summary!$C$8:$C$153,1,0)),VLOOKUP(I973,Summary!$C$8:$C$153,1,0),VLOOKUP(I973*1,Summary!$C$8:$C$153,1,0)))),"Add account Number to Summary","")</f>
        <v/>
      </c>
      <c r="M973" s="131" t="str">
        <f t="shared" si="15"/>
        <v/>
      </c>
      <c r="N973" s="287">
        <f>IF(C973="Sale",SUMIFS($D$4:D973,$B$4:B973,B973,$C$4:C973,"")+SUMIFS($D$4:D973,$B$4:B973,B973,$C$4:C973,"Purch")-SUMIFS($D$4:D973,$B$4:B973,B973,$C$4:C973,"Sale"),0)</f>
        <v>0</v>
      </c>
    </row>
    <row r="974" spans="1:14" x14ac:dyDescent="0.2">
      <c r="A974" s="152"/>
      <c r="B974" s="132"/>
      <c r="C974" s="132"/>
      <c r="D974" s="277"/>
      <c r="E974" s="132"/>
      <c r="F974" s="170"/>
      <c r="G974" s="150"/>
      <c r="H974" s="152"/>
      <c r="I974" s="204"/>
      <c r="J974" s="285"/>
      <c r="K974" s="251"/>
      <c r="L974" s="133" t="str">
        <f>IF(AND(I974&lt;&gt;"",ISERROR(IF(ISERROR(VLOOKUP(I974*1,Summary!$C$8:$C$153,1,0)),VLOOKUP(I974,Summary!$C$8:$C$153,1,0),VLOOKUP(I974*1,Summary!$C$8:$C$153,1,0)))),"Add account Number to Summary","")</f>
        <v/>
      </c>
      <c r="M974" s="131" t="str">
        <f t="shared" si="15"/>
        <v/>
      </c>
      <c r="N974" s="287">
        <f>IF(C974="Sale",SUMIFS($D$4:D974,$B$4:B974,B974,$C$4:C974,"")+SUMIFS($D$4:D974,$B$4:B974,B974,$C$4:C974,"Purch")-SUMIFS($D$4:D974,$B$4:B974,B974,$C$4:C974,"Sale"),0)</f>
        <v>0</v>
      </c>
    </row>
    <row r="975" spans="1:14" x14ac:dyDescent="0.2">
      <c r="A975" s="152"/>
      <c r="B975" s="132"/>
      <c r="C975" s="132"/>
      <c r="D975" s="277"/>
      <c r="E975" s="132"/>
      <c r="F975" s="170"/>
      <c r="G975" s="150"/>
      <c r="H975" s="152"/>
      <c r="I975" s="204"/>
      <c r="J975" s="285"/>
      <c r="K975" s="251"/>
      <c r="L975" s="133" t="str">
        <f>IF(AND(I975&lt;&gt;"",ISERROR(IF(ISERROR(VLOOKUP(I975*1,Summary!$C$8:$C$153,1,0)),VLOOKUP(I975,Summary!$C$8:$C$153,1,0),VLOOKUP(I975*1,Summary!$C$8:$C$153,1,0)))),"Add account Number to Summary","")</f>
        <v/>
      </c>
      <c r="M975" s="131" t="str">
        <f t="shared" si="15"/>
        <v/>
      </c>
      <c r="N975" s="287">
        <f>IF(C975="Sale",SUMIFS($D$4:D975,$B$4:B975,B975,$C$4:C975,"")+SUMIFS($D$4:D975,$B$4:B975,B975,$C$4:C975,"Purch")-SUMIFS($D$4:D975,$B$4:B975,B975,$C$4:C975,"Sale"),0)</f>
        <v>0</v>
      </c>
    </row>
    <row r="976" spans="1:14" x14ac:dyDescent="0.2">
      <c r="A976" s="152"/>
      <c r="B976" s="132"/>
      <c r="C976" s="132"/>
      <c r="D976" s="277"/>
      <c r="E976" s="132"/>
      <c r="F976" s="170"/>
      <c r="G976" s="150"/>
      <c r="H976" s="152"/>
      <c r="I976" s="204"/>
      <c r="J976" s="285"/>
      <c r="K976" s="251"/>
      <c r="L976" s="133" t="str">
        <f>IF(AND(I976&lt;&gt;"",ISERROR(IF(ISERROR(VLOOKUP(I976*1,Summary!$C$8:$C$153,1,0)),VLOOKUP(I976,Summary!$C$8:$C$153,1,0),VLOOKUP(I976*1,Summary!$C$8:$C$153,1,0)))),"Add account Number to Summary","")</f>
        <v/>
      </c>
      <c r="M976" s="131" t="str">
        <f t="shared" si="15"/>
        <v/>
      </c>
      <c r="N976" s="287">
        <f>IF(C976="Sale",SUMIFS($D$4:D976,$B$4:B976,B976,$C$4:C976,"")+SUMIFS($D$4:D976,$B$4:B976,B976,$C$4:C976,"Purch")-SUMIFS($D$4:D976,$B$4:B976,B976,$C$4:C976,"Sale"),0)</f>
        <v>0</v>
      </c>
    </row>
    <row r="977" spans="1:14" x14ac:dyDescent="0.2">
      <c r="A977" s="152"/>
      <c r="B977" s="132"/>
      <c r="C977" s="132"/>
      <c r="D977" s="277"/>
      <c r="E977" s="132"/>
      <c r="F977" s="170"/>
      <c r="G977" s="150"/>
      <c r="H977" s="152"/>
      <c r="I977" s="204"/>
      <c r="J977" s="285"/>
      <c r="K977" s="251"/>
      <c r="L977" s="133" t="str">
        <f>IF(AND(I977&lt;&gt;"",ISERROR(IF(ISERROR(VLOOKUP(I977*1,Summary!$C$8:$C$153,1,0)),VLOOKUP(I977,Summary!$C$8:$C$153,1,0),VLOOKUP(I977*1,Summary!$C$8:$C$153,1,0)))),"Add account Number to Summary","")</f>
        <v/>
      </c>
      <c r="M977" s="131" t="str">
        <f t="shared" si="15"/>
        <v/>
      </c>
      <c r="N977" s="287">
        <f>IF(C977="Sale",SUMIFS($D$4:D977,$B$4:B977,B977,$C$4:C977,"")+SUMIFS($D$4:D977,$B$4:B977,B977,$C$4:C977,"Purch")-SUMIFS($D$4:D977,$B$4:B977,B977,$C$4:C977,"Sale"),0)</f>
        <v>0</v>
      </c>
    </row>
    <row r="978" spans="1:14" x14ac:dyDescent="0.2">
      <c r="A978" s="152"/>
      <c r="B978" s="132"/>
      <c r="C978" s="132"/>
      <c r="D978" s="277"/>
      <c r="E978" s="132"/>
      <c r="F978" s="170"/>
      <c r="G978" s="150"/>
      <c r="H978" s="152"/>
      <c r="I978" s="204"/>
      <c r="J978" s="285"/>
      <c r="K978" s="251"/>
      <c r="L978" s="133" t="str">
        <f>IF(AND(I978&lt;&gt;"",ISERROR(IF(ISERROR(VLOOKUP(I978*1,Summary!$C$8:$C$153,1,0)),VLOOKUP(I978,Summary!$C$8:$C$153,1,0),VLOOKUP(I978*1,Summary!$C$8:$C$153,1,0)))),"Add account Number to Summary","")</f>
        <v/>
      </c>
      <c r="M978" s="131" t="str">
        <f t="shared" si="15"/>
        <v/>
      </c>
      <c r="N978" s="287">
        <f>IF(C978="Sale",SUMIFS($D$4:D978,$B$4:B978,B978,$C$4:C978,"")+SUMIFS($D$4:D978,$B$4:B978,B978,$C$4:C978,"Purch")-SUMIFS($D$4:D978,$B$4:B978,B978,$C$4:C978,"Sale"),0)</f>
        <v>0</v>
      </c>
    </row>
    <row r="979" spans="1:14" x14ac:dyDescent="0.2">
      <c r="A979" s="152"/>
      <c r="B979" s="132"/>
      <c r="C979" s="132"/>
      <c r="D979" s="277"/>
      <c r="E979" s="132"/>
      <c r="F979" s="170"/>
      <c r="G979" s="150"/>
      <c r="H979" s="152"/>
      <c r="I979" s="204"/>
      <c r="J979" s="285"/>
      <c r="K979" s="251"/>
      <c r="L979" s="133" t="str">
        <f>IF(AND(I979&lt;&gt;"",ISERROR(IF(ISERROR(VLOOKUP(I979*1,Summary!$C$8:$C$153,1,0)),VLOOKUP(I979,Summary!$C$8:$C$153,1,0),VLOOKUP(I979*1,Summary!$C$8:$C$153,1,0)))),"Add account Number to Summary","")</f>
        <v/>
      </c>
      <c r="M979" s="131" t="str">
        <f t="shared" si="15"/>
        <v/>
      </c>
      <c r="N979" s="287">
        <f>IF(C979="Sale",SUMIFS($D$4:D979,$B$4:B979,B979,$C$4:C979,"")+SUMIFS($D$4:D979,$B$4:B979,B979,$C$4:C979,"Purch")-SUMIFS($D$4:D979,$B$4:B979,B979,$C$4:C979,"Sale"),0)</f>
        <v>0</v>
      </c>
    </row>
    <row r="980" spans="1:14" x14ac:dyDescent="0.2">
      <c r="A980" s="152"/>
      <c r="B980" s="132"/>
      <c r="C980" s="132"/>
      <c r="D980" s="277"/>
      <c r="E980" s="132"/>
      <c r="F980" s="170"/>
      <c r="G980" s="150"/>
      <c r="H980" s="152"/>
      <c r="I980" s="204"/>
      <c r="J980" s="285"/>
      <c r="K980" s="251"/>
      <c r="L980" s="133" t="str">
        <f>IF(AND(I980&lt;&gt;"",ISERROR(IF(ISERROR(VLOOKUP(I980*1,Summary!$C$8:$C$153,1,0)),VLOOKUP(I980,Summary!$C$8:$C$153,1,0),VLOOKUP(I980*1,Summary!$C$8:$C$153,1,0)))),"Add account Number to Summary","")</f>
        <v/>
      </c>
      <c r="M980" s="131" t="str">
        <f t="shared" si="15"/>
        <v/>
      </c>
      <c r="N980" s="287">
        <f>IF(C980="Sale",SUMIFS($D$4:D980,$B$4:B980,B980,$C$4:C980,"")+SUMIFS($D$4:D980,$B$4:B980,B980,$C$4:C980,"Purch")-SUMIFS($D$4:D980,$B$4:B980,B980,$C$4:C980,"Sale"),0)</f>
        <v>0</v>
      </c>
    </row>
    <row r="981" spans="1:14" x14ac:dyDescent="0.2">
      <c r="A981" s="152"/>
      <c r="B981" s="132"/>
      <c r="C981" s="132"/>
      <c r="D981" s="277"/>
      <c r="E981" s="132"/>
      <c r="F981" s="170"/>
      <c r="G981" s="150"/>
      <c r="H981" s="152"/>
      <c r="I981" s="204"/>
      <c r="J981" s="285"/>
      <c r="K981" s="251"/>
      <c r="L981" s="133" t="str">
        <f>IF(AND(I981&lt;&gt;"",ISERROR(IF(ISERROR(VLOOKUP(I981*1,Summary!$C$8:$C$153,1,0)),VLOOKUP(I981,Summary!$C$8:$C$153,1,0),VLOOKUP(I981*1,Summary!$C$8:$C$153,1,0)))),"Add account Number to Summary","")</f>
        <v/>
      </c>
      <c r="M981" s="131" t="str">
        <f t="shared" si="15"/>
        <v/>
      </c>
      <c r="N981" s="287">
        <f>IF(C981="Sale",SUMIFS($D$4:D981,$B$4:B981,B981,$C$4:C981,"")+SUMIFS($D$4:D981,$B$4:B981,B981,$C$4:C981,"Purch")-SUMIFS($D$4:D981,$B$4:B981,B981,$C$4:C981,"Sale"),0)</f>
        <v>0</v>
      </c>
    </row>
    <row r="982" spans="1:14" x14ac:dyDescent="0.2">
      <c r="A982" s="152"/>
      <c r="B982" s="132"/>
      <c r="C982" s="132"/>
      <c r="D982" s="277"/>
      <c r="E982" s="132"/>
      <c r="F982" s="170"/>
      <c r="G982" s="150"/>
      <c r="H982" s="152"/>
      <c r="I982" s="204"/>
      <c r="J982" s="285"/>
      <c r="K982" s="251"/>
      <c r="L982" s="133" t="str">
        <f>IF(AND(I982&lt;&gt;"",ISERROR(IF(ISERROR(VLOOKUP(I982*1,Summary!$C$8:$C$153,1,0)),VLOOKUP(I982,Summary!$C$8:$C$153,1,0),VLOOKUP(I982*1,Summary!$C$8:$C$153,1,0)))),"Add account Number to Summary","")</f>
        <v/>
      </c>
      <c r="M982" s="131" t="str">
        <f t="shared" si="15"/>
        <v/>
      </c>
      <c r="N982" s="287">
        <f>IF(C982="Sale",SUMIFS($D$4:D982,$B$4:B982,B982,$C$4:C982,"")+SUMIFS($D$4:D982,$B$4:B982,B982,$C$4:C982,"Purch")-SUMIFS($D$4:D982,$B$4:B982,B982,$C$4:C982,"Sale"),0)</f>
        <v>0</v>
      </c>
    </row>
    <row r="983" spans="1:14" x14ac:dyDescent="0.2">
      <c r="A983" s="152"/>
      <c r="B983" s="132"/>
      <c r="C983" s="132"/>
      <c r="D983" s="277"/>
      <c r="E983" s="132"/>
      <c r="F983" s="170"/>
      <c r="G983" s="150"/>
      <c r="H983" s="152"/>
      <c r="I983" s="204"/>
      <c r="J983" s="285"/>
      <c r="K983" s="251"/>
      <c r="L983" s="133" t="str">
        <f>IF(AND(I983&lt;&gt;"",ISERROR(IF(ISERROR(VLOOKUP(I983*1,Summary!$C$8:$C$153,1,0)),VLOOKUP(I983,Summary!$C$8:$C$153,1,0),VLOOKUP(I983*1,Summary!$C$8:$C$153,1,0)))),"Add account Number to Summary","")</f>
        <v/>
      </c>
      <c r="M983" s="131" t="str">
        <f t="shared" si="15"/>
        <v/>
      </c>
      <c r="N983" s="287">
        <f>IF(C983="Sale",SUMIFS($D$4:D983,$B$4:B983,B983,$C$4:C983,"")+SUMIFS($D$4:D983,$B$4:B983,B983,$C$4:C983,"Purch")-SUMIFS($D$4:D983,$B$4:B983,B983,$C$4:C983,"Sale"),0)</f>
        <v>0</v>
      </c>
    </row>
    <row r="984" spans="1:14" x14ac:dyDescent="0.2">
      <c r="A984" s="152"/>
      <c r="B984" s="132"/>
      <c r="C984" s="132"/>
      <c r="D984" s="277"/>
      <c r="E984" s="132"/>
      <c r="F984" s="170"/>
      <c r="G984" s="150"/>
      <c r="H984" s="152"/>
      <c r="I984" s="204"/>
      <c r="J984" s="285"/>
      <c r="K984" s="251"/>
      <c r="L984" s="133" t="str">
        <f>IF(AND(I984&lt;&gt;"",ISERROR(IF(ISERROR(VLOOKUP(I984*1,Summary!$C$8:$C$153,1,0)),VLOOKUP(I984,Summary!$C$8:$C$153,1,0),VLOOKUP(I984*1,Summary!$C$8:$C$153,1,0)))),"Add account Number to Summary","")</f>
        <v/>
      </c>
      <c r="M984" s="131" t="str">
        <f t="shared" si="15"/>
        <v/>
      </c>
      <c r="N984" s="287">
        <f>IF(C984="Sale",SUMIFS($D$4:D984,$B$4:B984,B984,$C$4:C984,"")+SUMIFS($D$4:D984,$B$4:B984,B984,$C$4:C984,"Purch")-SUMIFS($D$4:D984,$B$4:B984,B984,$C$4:C984,"Sale"),0)</f>
        <v>0</v>
      </c>
    </row>
    <row r="985" spans="1:14" x14ac:dyDescent="0.2">
      <c r="A985" s="152"/>
      <c r="B985" s="132"/>
      <c r="C985" s="132"/>
      <c r="D985" s="277"/>
      <c r="E985" s="132"/>
      <c r="F985" s="170"/>
      <c r="G985" s="150"/>
      <c r="H985" s="152"/>
      <c r="I985" s="204"/>
      <c r="J985" s="285"/>
      <c r="K985" s="251"/>
      <c r="L985" s="133" t="str">
        <f>IF(AND(I985&lt;&gt;"",ISERROR(IF(ISERROR(VLOOKUP(I985*1,Summary!$C$8:$C$153,1,0)),VLOOKUP(I985,Summary!$C$8:$C$153,1,0),VLOOKUP(I985*1,Summary!$C$8:$C$153,1,0)))),"Add account Number to Summary","")</f>
        <v/>
      </c>
      <c r="M985" s="131" t="str">
        <f t="shared" si="15"/>
        <v/>
      </c>
      <c r="N985" s="287">
        <f>IF(C985="Sale",SUMIFS($D$4:D985,$B$4:B985,B985,$C$4:C985,"")+SUMIFS($D$4:D985,$B$4:B985,B985,$C$4:C985,"Purch")-SUMIFS($D$4:D985,$B$4:B985,B985,$C$4:C985,"Sale"),0)</f>
        <v>0</v>
      </c>
    </row>
    <row r="986" spans="1:14" x14ac:dyDescent="0.2">
      <c r="A986" s="152"/>
      <c r="B986" s="132"/>
      <c r="C986" s="132"/>
      <c r="D986" s="277"/>
      <c r="E986" s="132"/>
      <c r="F986" s="170"/>
      <c r="G986" s="150"/>
      <c r="H986" s="152"/>
      <c r="I986" s="204"/>
      <c r="J986" s="285"/>
      <c r="K986" s="251"/>
      <c r="L986" s="133" t="str">
        <f>IF(AND(I986&lt;&gt;"",ISERROR(IF(ISERROR(VLOOKUP(I986*1,Summary!$C$8:$C$153,1,0)),VLOOKUP(I986,Summary!$C$8:$C$153,1,0),VLOOKUP(I986*1,Summary!$C$8:$C$153,1,0)))),"Add account Number to Summary","")</f>
        <v/>
      </c>
      <c r="M986" s="131" t="str">
        <f t="shared" si="15"/>
        <v/>
      </c>
      <c r="N986" s="287">
        <f>IF(C986="Sale",SUMIFS($D$4:D986,$B$4:B986,B986,$C$4:C986,"")+SUMIFS($D$4:D986,$B$4:B986,B986,$C$4:C986,"Purch")-SUMIFS($D$4:D986,$B$4:B986,B986,$C$4:C986,"Sale"),0)</f>
        <v>0</v>
      </c>
    </row>
    <row r="987" spans="1:14" x14ac:dyDescent="0.2">
      <c r="A987" s="152"/>
      <c r="B987" s="132"/>
      <c r="C987" s="132"/>
      <c r="D987" s="277"/>
      <c r="E987" s="132"/>
      <c r="F987" s="170"/>
      <c r="G987" s="150"/>
      <c r="H987" s="152"/>
      <c r="I987" s="204"/>
      <c r="J987" s="285"/>
      <c r="K987" s="251"/>
      <c r="L987" s="133" t="str">
        <f>IF(AND(I987&lt;&gt;"",ISERROR(IF(ISERROR(VLOOKUP(I987*1,Summary!$C$8:$C$153,1,0)),VLOOKUP(I987,Summary!$C$8:$C$153,1,0),VLOOKUP(I987*1,Summary!$C$8:$C$153,1,0)))),"Add account Number to Summary","")</f>
        <v/>
      </c>
      <c r="M987" s="131" t="str">
        <f t="shared" si="15"/>
        <v/>
      </c>
      <c r="N987" s="287">
        <f>IF(C987="Sale",SUMIFS($D$4:D987,$B$4:B987,B987,$C$4:C987,"")+SUMIFS($D$4:D987,$B$4:B987,B987,$C$4:C987,"Purch")-SUMIFS($D$4:D987,$B$4:B987,B987,$C$4:C987,"Sale"),0)</f>
        <v>0</v>
      </c>
    </row>
    <row r="988" spans="1:14" x14ac:dyDescent="0.2">
      <c r="A988" s="152"/>
      <c r="B988" s="132"/>
      <c r="C988" s="132"/>
      <c r="D988" s="277"/>
      <c r="E988" s="132"/>
      <c r="F988" s="170"/>
      <c r="G988" s="150"/>
      <c r="H988" s="152"/>
      <c r="I988" s="204"/>
      <c r="J988" s="285"/>
      <c r="K988" s="251"/>
      <c r="L988" s="133" t="str">
        <f>IF(AND(I988&lt;&gt;"",ISERROR(IF(ISERROR(VLOOKUP(I988*1,Summary!$C$8:$C$153,1,0)),VLOOKUP(I988,Summary!$C$8:$C$153,1,0),VLOOKUP(I988*1,Summary!$C$8:$C$153,1,0)))),"Add account Number to Summary","")</f>
        <v/>
      </c>
      <c r="M988" s="131" t="str">
        <f t="shared" si="15"/>
        <v/>
      </c>
      <c r="N988" s="287">
        <f>IF(C988="Sale",SUMIFS($D$4:D988,$B$4:B988,B988,$C$4:C988,"")+SUMIFS($D$4:D988,$B$4:B988,B988,$C$4:C988,"Purch")-SUMIFS($D$4:D988,$B$4:B988,B988,$C$4:C988,"Sale"),0)</f>
        <v>0</v>
      </c>
    </row>
    <row r="989" spans="1:14" x14ac:dyDescent="0.2">
      <c r="A989" s="152"/>
      <c r="B989" s="132"/>
      <c r="C989" s="132"/>
      <c r="D989" s="277"/>
      <c r="E989" s="132"/>
      <c r="F989" s="170"/>
      <c r="G989" s="150"/>
      <c r="H989" s="152"/>
      <c r="I989" s="204"/>
      <c r="J989" s="285"/>
      <c r="K989" s="251"/>
      <c r="L989" s="133" t="str">
        <f>IF(AND(I989&lt;&gt;"",ISERROR(IF(ISERROR(VLOOKUP(I989*1,Summary!$C$8:$C$153,1,0)),VLOOKUP(I989,Summary!$C$8:$C$153,1,0),VLOOKUP(I989*1,Summary!$C$8:$C$153,1,0)))),"Add account Number to Summary","")</f>
        <v/>
      </c>
      <c r="M989" s="131" t="str">
        <f t="shared" si="15"/>
        <v/>
      </c>
      <c r="N989" s="287">
        <f>IF(C989="Sale",SUMIFS($D$4:D989,$B$4:B989,B989,$C$4:C989,"")+SUMIFS($D$4:D989,$B$4:B989,B989,$C$4:C989,"Purch")-SUMIFS($D$4:D989,$B$4:B989,B989,$C$4:C989,"Sale"),0)</f>
        <v>0</v>
      </c>
    </row>
    <row r="990" spans="1:14" x14ac:dyDescent="0.2">
      <c r="A990" s="152"/>
      <c r="B990" s="132"/>
      <c r="C990" s="132"/>
      <c r="D990" s="277"/>
      <c r="E990" s="132"/>
      <c r="F990" s="170"/>
      <c r="G990" s="150"/>
      <c r="H990" s="152"/>
      <c r="I990" s="204"/>
      <c r="J990" s="285"/>
      <c r="K990" s="251"/>
      <c r="L990" s="133" t="str">
        <f>IF(AND(I990&lt;&gt;"",ISERROR(IF(ISERROR(VLOOKUP(I990*1,Summary!$C$8:$C$153,1,0)),VLOOKUP(I990,Summary!$C$8:$C$153,1,0),VLOOKUP(I990*1,Summary!$C$8:$C$153,1,0)))),"Add account Number to Summary","")</f>
        <v/>
      </c>
      <c r="M990" s="131" t="str">
        <f t="shared" si="15"/>
        <v/>
      </c>
      <c r="N990" s="287">
        <f>IF(C990="Sale",SUMIFS($D$4:D990,$B$4:B990,B990,$C$4:C990,"")+SUMIFS($D$4:D990,$B$4:B990,B990,$C$4:C990,"Purch")-SUMIFS($D$4:D990,$B$4:B990,B990,$C$4:C990,"Sale"),0)</f>
        <v>0</v>
      </c>
    </row>
    <row r="991" spans="1:14" x14ac:dyDescent="0.2">
      <c r="A991" s="152"/>
      <c r="B991" s="132"/>
      <c r="C991" s="132"/>
      <c r="D991" s="277"/>
      <c r="E991" s="132"/>
      <c r="F991" s="170"/>
      <c r="G991" s="150"/>
      <c r="H991" s="152"/>
      <c r="I991" s="204"/>
      <c r="J991" s="285"/>
      <c r="K991" s="251"/>
      <c r="L991" s="133" t="str">
        <f>IF(AND(I991&lt;&gt;"",ISERROR(IF(ISERROR(VLOOKUP(I991*1,Summary!$C$8:$C$153,1,0)),VLOOKUP(I991,Summary!$C$8:$C$153,1,0),VLOOKUP(I991*1,Summary!$C$8:$C$153,1,0)))),"Add account Number to Summary","")</f>
        <v/>
      </c>
      <c r="M991" s="131" t="str">
        <f t="shared" si="15"/>
        <v/>
      </c>
      <c r="N991" s="287">
        <f>IF(C991="Sale",SUMIFS($D$4:D991,$B$4:B991,B991,$C$4:C991,"")+SUMIFS($D$4:D991,$B$4:B991,B991,$C$4:C991,"Purch")-SUMIFS($D$4:D991,$B$4:B991,B991,$C$4:C991,"Sale"),0)</f>
        <v>0</v>
      </c>
    </row>
    <row r="992" spans="1:14" x14ac:dyDescent="0.2">
      <c r="A992" s="152"/>
      <c r="B992" s="132"/>
      <c r="C992" s="132"/>
      <c r="D992" s="277"/>
      <c r="E992" s="132"/>
      <c r="F992" s="170"/>
      <c r="G992" s="150"/>
      <c r="H992" s="152"/>
      <c r="I992" s="204"/>
      <c r="J992" s="285"/>
      <c r="K992" s="251"/>
      <c r="L992" s="133" t="str">
        <f>IF(AND(I992&lt;&gt;"",ISERROR(IF(ISERROR(VLOOKUP(I992*1,Summary!$C$8:$C$153,1,0)),VLOOKUP(I992,Summary!$C$8:$C$153,1,0),VLOOKUP(I992*1,Summary!$C$8:$C$153,1,0)))),"Add account Number to Summary","")</f>
        <v/>
      </c>
      <c r="M992" s="131" t="str">
        <f t="shared" si="15"/>
        <v/>
      </c>
      <c r="N992" s="287">
        <f>IF(C992="Sale",SUMIFS($D$4:D992,$B$4:B992,B992,$C$4:C992,"")+SUMIFS($D$4:D992,$B$4:B992,B992,$C$4:C992,"Purch")-SUMIFS($D$4:D992,$B$4:B992,B992,$C$4:C992,"Sale"),0)</f>
        <v>0</v>
      </c>
    </row>
    <row r="993" spans="1:14" x14ac:dyDescent="0.2">
      <c r="A993" s="152"/>
      <c r="B993" s="132"/>
      <c r="C993" s="132"/>
      <c r="D993" s="277"/>
      <c r="E993" s="132"/>
      <c r="F993" s="170"/>
      <c r="G993" s="150"/>
      <c r="H993" s="152"/>
      <c r="I993" s="204"/>
      <c r="J993" s="285"/>
      <c r="K993" s="251"/>
      <c r="L993" s="133" t="str">
        <f>IF(AND(I993&lt;&gt;"",ISERROR(IF(ISERROR(VLOOKUP(I993*1,Summary!$C$8:$C$153,1,0)),VLOOKUP(I993,Summary!$C$8:$C$153,1,0),VLOOKUP(I993*1,Summary!$C$8:$C$153,1,0)))),"Add account Number to Summary","")</f>
        <v/>
      </c>
      <c r="M993" s="131" t="str">
        <f t="shared" si="15"/>
        <v/>
      </c>
      <c r="N993" s="287">
        <f>IF(C993="Sale",SUMIFS($D$4:D993,$B$4:B993,B993,$C$4:C993,"")+SUMIFS($D$4:D993,$B$4:B993,B993,$C$4:C993,"Purch")-SUMIFS($D$4:D993,$B$4:B993,B993,$C$4:C993,"Sale"),0)</f>
        <v>0</v>
      </c>
    </row>
    <row r="994" spans="1:14" x14ac:dyDescent="0.2">
      <c r="A994" s="152"/>
      <c r="B994" s="132"/>
      <c r="C994" s="132"/>
      <c r="D994" s="277"/>
      <c r="E994" s="132"/>
      <c r="F994" s="170"/>
      <c r="G994" s="150"/>
      <c r="H994" s="152"/>
      <c r="I994" s="204"/>
      <c r="J994" s="285"/>
      <c r="K994" s="251"/>
      <c r="L994" s="133" t="str">
        <f>IF(AND(I994&lt;&gt;"",ISERROR(IF(ISERROR(VLOOKUP(I994*1,Summary!$C$8:$C$153,1,0)),VLOOKUP(I994,Summary!$C$8:$C$153,1,0),VLOOKUP(I994*1,Summary!$C$8:$C$153,1,0)))),"Add account Number to Summary","")</f>
        <v/>
      </c>
      <c r="M994" s="131" t="str">
        <f t="shared" si="15"/>
        <v/>
      </c>
      <c r="N994" s="287">
        <f>IF(C994="Sale",SUMIFS($D$4:D994,$B$4:B994,B994,$C$4:C994,"")+SUMIFS($D$4:D994,$B$4:B994,B994,$C$4:C994,"Purch")-SUMIFS($D$4:D994,$B$4:B994,B994,$C$4:C994,"Sale"),0)</f>
        <v>0</v>
      </c>
    </row>
    <row r="995" spans="1:14" x14ac:dyDescent="0.2">
      <c r="A995" s="152"/>
      <c r="B995" s="132"/>
      <c r="C995" s="132"/>
      <c r="D995" s="277"/>
      <c r="E995" s="132"/>
      <c r="F995" s="170"/>
      <c r="G995" s="150"/>
      <c r="H995" s="152"/>
      <c r="I995" s="204"/>
      <c r="J995" s="285"/>
      <c r="K995" s="251"/>
      <c r="L995" s="133" t="str">
        <f>IF(AND(I995&lt;&gt;"",ISERROR(IF(ISERROR(VLOOKUP(I995*1,Summary!$C$8:$C$153,1,0)),VLOOKUP(I995,Summary!$C$8:$C$153,1,0),VLOOKUP(I995*1,Summary!$C$8:$C$153,1,0)))),"Add account Number to Summary","")</f>
        <v/>
      </c>
      <c r="M995" s="131" t="str">
        <f t="shared" si="15"/>
        <v/>
      </c>
      <c r="N995" s="287">
        <f>IF(C995="Sale",SUMIFS($D$4:D995,$B$4:B995,B995,$C$4:C995,"")+SUMIFS($D$4:D995,$B$4:B995,B995,$C$4:C995,"Purch")-SUMIFS($D$4:D995,$B$4:B995,B995,$C$4:C995,"Sale"),0)</f>
        <v>0</v>
      </c>
    </row>
    <row r="996" spans="1:14" x14ac:dyDescent="0.2">
      <c r="A996" s="152"/>
      <c r="B996" s="132"/>
      <c r="C996" s="132"/>
      <c r="D996" s="277"/>
      <c r="E996" s="132"/>
      <c r="F996" s="170"/>
      <c r="G996" s="150"/>
      <c r="H996" s="152"/>
      <c r="I996" s="204"/>
      <c r="J996" s="285"/>
      <c r="K996" s="251"/>
      <c r="L996" s="133" t="str">
        <f>IF(AND(I996&lt;&gt;"",ISERROR(IF(ISERROR(VLOOKUP(I996*1,Summary!$C$8:$C$153,1,0)),VLOOKUP(I996,Summary!$C$8:$C$153,1,0),VLOOKUP(I996*1,Summary!$C$8:$C$153,1,0)))),"Add account Number to Summary","")</f>
        <v/>
      </c>
      <c r="M996" s="131" t="str">
        <f t="shared" si="15"/>
        <v/>
      </c>
      <c r="N996" s="287">
        <f>IF(C996="Sale",SUMIFS($D$4:D996,$B$4:B996,B996,$C$4:C996,"")+SUMIFS($D$4:D996,$B$4:B996,B996,$C$4:C996,"Purch")-SUMIFS($D$4:D996,$B$4:B996,B996,$C$4:C996,"Sale"),0)</f>
        <v>0</v>
      </c>
    </row>
    <row r="997" spans="1:14" x14ac:dyDescent="0.2">
      <c r="A997" s="152"/>
      <c r="B997" s="132"/>
      <c r="C997" s="132"/>
      <c r="D997" s="277"/>
      <c r="E997" s="132"/>
      <c r="F997" s="170"/>
      <c r="G997" s="150"/>
      <c r="H997" s="152"/>
      <c r="I997" s="204"/>
      <c r="J997" s="285"/>
      <c r="K997" s="251"/>
      <c r="L997" s="133" t="str">
        <f>IF(AND(I997&lt;&gt;"",ISERROR(IF(ISERROR(VLOOKUP(I997*1,Summary!$C$8:$C$153,1,0)),VLOOKUP(I997,Summary!$C$8:$C$153,1,0),VLOOKUP(I997*1,Summary!$C$8:$C$153,1,0)))),"Add account Number to Summary","")</f>
        <v/>
      </c>
      <c r="M997" s="131" t="str">
        <f t="shared" si="15"/>
        <v/>
      </c>
      <c r="N997" s="287">
        <f>IF(C997="Sale",SUMIFS($D$4:D997,$B$4:B997,B997,$C$4:C997,"")+SUMIFS($D$4:D997,$B$4:B997,B997,$C$4:C997,"Purch")-SUMIFS($D$4:D997,$B$4:B997,B997,$C$4:C997,"Sale"),0)</f>
        <v>0</v>
      </c>
    </row>
    <row r="998" spans="1:14" x14ac:dyDescent="0.2">
      <c r="A998" s="152"/>
      <c r="B998" s="132"/>
      <c r="C998" s="132"/>
      <c r="D998" s="277"/>
      <c r="E998" s="132"/>
      <c r="F998" s="170"/>
      <c r="G998" s="150"/>
      <c r="H998" s="152"/>
      <c r="I998" s="204"/>
      <c r="J998" s="285"/>
      <c r="K998" s="251"/>
      <c r="L998" s="133" t="str">
        <f>IF(AND(I998&lt;&gt;"",ISERROR(IF(ISERROR(VLOOKUP(I998*1,Summary!$C$8:$C$153,1,0)),VLOOKUP(I998,Summary!$C$8:$C$153,1,0),VLOOKUP(I998*1,Summary!$C$8:$C$153,1,0)))),"Add account Number to Summary","")</f>
        <v/>
      </c>
      <c r="M998" s="131" t="str">
        <f t="shared" si="15"/>
        <v/>
      </c>
      <c r="N998" s="287">
        <f>IF(C998="Sale",SUMIFS($D$4:D998,$B$4:B998,B998,$C$4:C998,"")+SUMIFS($D$4:D998,$B$4:B998,B998,$C$4:C998,"Purch")-SUMIFS($D$4:D998,$B$4:B998,B998,$C$4:C998,"Sale"),0)</f>
        <v>0</v>
      </c>
    </row>
    <row r="999" spans="1:14" x14ac:dyDescent="0.2">
      <c r="A999" s="152"/>
      <c r="B999" s="132"/>
      <c r="C999" s="132"/>
      <c r="D999" s="277"/>
      <c r="E999" s="132"/>
      <c r="F999" s="170"/>
      <c r="G999" s="150"/>
      <c r="H999" s="152"/>
      <c r="I999" s="204"/>
      <c r="J999" s="285"/>
      <c r="K999" s="251"/>
      <c r="L999" s="133" t="str">
        <f>IF(AND(I999&lt;&gt;"",ISERROR(IF(ISERROR(VLOOKUP(I999*1,Summary!$C$8:$C$153,1,0)),VLOOKUP(I999,Summary!$C$8:$C$153,1,0),VLOOKUP(I999*1,Summary!$C$8:$C$153,1,0)))),"Add account Number to Summary","")</f>
        <v/>
      </c>
      <c r="M999" s="131" t="str">
        <f t="shared" si="15"/>
        <v/>
      </c>
      <c r="N999" s="287">
        <f>IF(C999="Sale",SUMIFS($D$4:D999,$B$4:B999,B999,$C$4:C999,"")+SUMIFS($D$4:D999,$B$4:B999,B999,$C$4:C999,"Purch")-SUMIFS($D$4:D999,$B$4:B999,B999,$C$4:C999,"Sale"),0)</f>
        <v>0</v>
      </c>
    </row>
    <row r="1000" spans="1:14" x14ac:dyDescent="0.2">
      <c r="A1000" s="152"/>
      <c r="B1000" s="132"/>
      <c r="C1000" s="132"/>
      <c r="D1000" s="277"/>
      <c r="E1000" s="132"/>
      <c r="F1000" s="170"/>
      <c r="G1000" s="150"/>
      <c r="H1000" s="152"/>
      <c r="I1000" s="204"/>
      <c r="J1000" s="285"/>
      <c r="K1000" s="251"/>
      <c r="L1000" s="133" t="str">
        <f>IF(AND(I1000&lt;&gt;"",ISERROR(IF(ISERROR(VLOOKUP(I1000*1,Summary!$C$8:$C$153,1,0)),VLOOKUP(I1000,Summary!$C$8:$C$153,1,0),VLOOKUP(I1000*1,Summary!$C$8:$C$153,1,0)))),"Add account Number to Summary","")</f>
        <v/>
      </c>
      <c r="M1000" s="131" t="str">
        <f t="shared" si="15"/>
        <v/>
      </c>
      <c r="N1000" s="287">
        <f>IF(C1000="Sale",SUMIFS($D$4:D1000,$B$4:B1000,B1000,$C$4:C1000,"")+SUMIFS($D$4:D1000,$B$4:B1000,B1000,$C$4:C1000,"Purch")-SUMIFS($D$4:D1000,$B$4:B1000,B1000,$C$4:C1000,"Sale"),0)</f>
        <v>0</v>
      </c>
    </row>
    <row r="1001" spans="1:14" x14ac:dyDescent="0.2">
      <c r="A1001" s="152"/>
      <c r="B1001" s="132"/>
      <c r="C1001" s="132"/>
      <c r="D1001" s="277"/>
      <c r="E1001" s="132"/>
      <c r="F1001" s="170"/>
      <c r="G1001" s="150"/>
      <c r="H1001" s="152"/>
      <c r="I1001" s="204"/>
      <c r="J1001" s="285"/>
      <c r="K1001" s="251"/>
      <c r="L1001" s="133" t="str">
        <f>IF(AND(I1001&lt;&gt;"",ISERROR(IF(ISERROR(VLOOKUP(I1001*1,Summary!$C$8:$C$153,1,0)),VLOOKUP(I1001,Summary!$C$8:$C$153,1,0),VLOOKUP(I1001*1,Summary!$C$8:$C$153,1,0)))),"Add account Number to Summary","")</f>
        <v/>
      </c>
      <c r="M1001" s="131" t="str">
        <f t="shared" si="15"/>
        <v/>
      </c>
      <c r="N1001" s="287">
        <f>IF(C1001="Sale",SUMIFS($D$4:D1001,$B$4:B1001,B1001,$C$4:C1001,"")+SUMIFS($D$4:D1001,$B$4:B1001,B1001,$C$4:C1001,"Purch")-SUMIFS($D$4:D1001,$B$4:B1001,B1001,$C$4:C1001,"Sale"),0)</f>
        <v>0</v>
      </c>
    </row>
    <row r="1002" spans="1:14" x14ac:dyDescent="0.2">
      <c r="A1002" s="152"/>
      <c r="B1002" s="132"/>
      <c r="C1002" s="132"/>
      <c r="D1002" s="277"/>
      <c r="E1002" s="132"/>
      <c r="F1002" s="170"/>
      <c r="G1002" s="150"/>
      <c r="H1002" s="152"/>
      <c r="I1002" s="204"/>
      <c r="J1002" s="285"/>
      <c r="K1002" s="251"/>
      <c r="L1002" s="133" t="str">
        <f>IF(AND(I1002&lt;&gt;"",ISERROR(IF(ISERROR(VLOOKUP(I1002*1,Summary!$C$8:$C$153,1,0)),VLOOKUP(I1002,Summary!$C$8:$C$153,1,0),VLOOKUP(I1002*1,Summary!$C$8:$C$153,1,0)))),"Add account Number to Summary","")</f>
        <v/>
      </c>
      <c r="M1002" s="131" t="str">
        <f t="shared" si="15"/>
        <v/>
      </c>
      <c r="N1002" s="287">
        <f>IF(C1002="Sale",SUMIFS($D$4:D1002,$B$4:B1002,B1002,$C$4:C1002,"")+SUMIFS($D$4:D1002,$B$4:B1002,B1002,$C$4:C1002,"Purch")-SUMIFS($D$4:D1002,$B$4:B1002,B1002,$C$4:C1002,"Sale"),0)</f>
        <v>0</v>
      </c>
    </row>
    <row r="1003" spans="1:14" x14ac:dyDescent="0.2">
      <c r="A1003" s="152"/>
      <c r="B1003" s="132"/>
      <c r="C1003" s="132"/>
      <c r="D1003" s="277"/>
      <c r="E1003" s="132"/>
      <c r="F1003" s="170"/>
      <c r="G1003" s="150"/>
      <c r="H1003" s="152"/>
      <c r="I1003" s="204"/>
      <c r="J1003" s="285"/>
      <c r="K1003" s="251"/>
      <c r="L1003" s="133" t="str">
        <f>IF(AND(I1003&lt;&gt;"",ISERROR(IF(ISERROR(VLOOKUP(I1003*1,Summary!$C$8:$C$153,1,0)),VLOOKUP(I1003,Summary!$C$8:$C$153,1,0),VLOOKUP(I1003*1,Summary!$C$8:$C$153,1,0)))),"Add account Number to Summary","")</f>
        <v/>
      </c>
      <c r="M1003" s="131" t="str">
        <f t="shared" si="15"/>
        <v/>
      </c>
      <c r="N1003" s="287">
        <f>IF(C1003="Sale",SUMIFS($D$4:D1003,$B$4:B1003,B1003,$C$4:C1003,"")+SUMIFS($D$4:D1003,$B$4:B1003,B1003,$C$4:C1003,"Purch")-SUMIFS($D$4:D1003,$B$4:B1003,B1003,$C$4:C1003,"Sale"),0)</f>
        <v>0</v>
      </c>
    </row>
    <row r="1004" spans="1:14" x14ac:dyDescent="0.2">
      <c r="A1004" s="152"/>
      <c r="B1004" s="132"/>
      <c r="C1004" s="132"/>
      <c r="D1004" s="277"/>
      <c r="E1004" s="132"/>
      <c r="F1004" s="170"/>
      <c r="G1004" s="150"/>
      <c r="H1004" s="152"/>
      <c r="I1004" s="204"/>
      <c r="J1004" s="285"/>
      <c r="K1004" s="251"/>
      <c r="L1004" s="133" t="str">
        <f>IF(AND(I1004&lt;&gt;"",ISERROR(IF(ISERROR(VLOOKUP(I1004*1,Summary!$C$8:$C$153,1,0)),VLOOKUP(I1004,Summary!$C$8:$C$153,1,0),VLOOKUP(I1004*1,Summary!$C$8:$C$153,1,0)))),"Add account Number to Summary","")</f>
        <v/>
      </c>
      <c r="M1004" s="131" t="str">
        <f t="shared" ref="M1004:M1067" si="16">IF(K1004="Yes",IF(YEAR(A1004)&lt;&gt;YEAR(date),"Check Date",""),"")</f>
        <v/>
      </c>
      <c r="N1004" s="287">
        <f>IF(C1004="Sale",SUMIFS($D$4:D1004,$B$4:B1004,B1004,$C$4:C1004,"")+SUMIFS($D$4:D1004,$B$4:B1004,B1004,$C$4:C1004,"Purch")-SUMIFS($D$4:D1004,$B$4:B1004,B1004,$C$4:C1004,"Sale"),0)</f>
        <v>0</v>
      </c>
    </row>
    <row r="1005" spans="1:14" x14ac:dyDescent="0.2">
      <c r="A1005" s="152"/>
      <c r="B1005" s="132"/>
      <c r="C1005" s="132"/>
      <c r="D1005" s="277"/>
      <c r="E1005" s="132"/>
      <c r="F1005" s="170"/>
      <c r="G1005" s="150"/>
      <c r="H1005" s="152"/>
      <c r="I1005" s="204"/>
      <c r="J1005" s="285"/>
      <c r="K1005" s="251"/>
      <c r="L1005" s="133" t="str">
        <f>IF(AND(I1005&lt;&gt;"",ISERROR(IF(ISERROR(VLOOKUP(I1005*1,Summary!$C$8:$C$153,1,0)),VLOOKUP(I1005,Summary!$C$8:$C$153,1,0),VLOOKUP(I1005*1,Summary!$C$8:$C$153,1,0)))),"Add account Number to Summary","")</f>
        <v/>
      </c>
      <c r="M1005" s="131" t="str">
        <f t="shared" si="16"/>
        <v/>
      </c>
      <c r="N1005" s="287">
        <f>IF(C1005="Sale",SUMIFS($D$4:D1005,$B$4:B1005,B1005,$C$4:C1005,"")+SUMIFS($D$4:D1005,$B$4:B1005,B1005,$C$4:C1005,"Purch")-SUMIFS($D$4:D1005,$B$4:B1005,B1005,$C$4:C1005,"Sale"),0)</f>
        <v>0</v>
      </c>
    </row>
    <row r="1006" spans="1:14" x14ac:dyDescent="0.2">
      <c r="A1006" s="152"/>
      <c r="B1006" s="132"/>
      <c r="C1006" s="132"/>
      <c r="D1006" s="277"/>
      <c r="E1006" s="132"/>
      <c r="F1006" s="170"/>
      <c r="G1006" s="150"/>
      <c r="H1006" s="152"/>
      <c r="I1006" s="204"/>
      <c r="J1006" s="285"/>
      <c r="K1006" s="251"/>
      <c r="L1006" s="133" t="str">
        <f>IF(AND(I1006&lt;&gt;"",ISERROR(IF(ISERROR(VLOOKUP(I1006*1,Summary!$C$8:$C$153,1,0)),VLOOKUP(I1006,Summary!$C$8:$C$153,1,0),VLOOKUP(I1006*1,Summary!$C$8:$C$153,1,0)))),"Add account Number to Summary","")</f>
        <v/>
      </c>
      <c r="M1006" s="131" t="str">
        <f t="shared" si="16"/>
        <v/>
      </c>
      <c r="N1006" s="287">
        <f>IF(C1006="Sale",SUMIFS($D$4:D1006,$B$4:B1006,B1006,$C$4:C1006,"")+SUMIFS($D$4:D1006,$B$4:B1006,B1006,$C$4:C1006,"Purch")-SUMIFS($D$4:D1006,$B$4:B1006,B1006,$C$4:C1006,"Sale"),0)</f>
        <v>0</v>
      </c>
    </row>
    <row r="1007" spans="1:14" x14ac:dyDescent="0.2">
      <c r="A1007" s="152"/>
      <c r="B1007" s="132"/>
      <c r="C1007" s="132"/>
      <c r="D1007" s="277"/>
      <c r="E1007" s="132"/>
      <c r="F1007" s="170"/>
      <c r="G1007" s="150"/>
      <c r="H1007" s="152"/>
      <c r="I1007" s="204"/>
      <c r="J1007" s="285"/>
      <c r="K1007" s="251"/>
      <c r="L1007" s="133" t="str">
        <f>IF(AND(I1007&lt;&gt;"",ISERROR(IF(ISERROR(VLOOKUP(I1007*1,Summary!$C$8:$C$153,1,0)),VLOOKUP(I1007,Summary!$C$8:$C$153,1,0),VLOOKUP(I1007*1,Summary!$C$8:$C$153,1,0)))),"Add account Number to Summary","")</f>
        <v/>
      </c>
      <c r="M1007" s="131" t="str">
        <f t="shared" si="16"/>
        <v/>
      </c>
      <c r="N1007" s="287">
        <f>IF(C1007="Sale",SUMIFS($D$4:D1007,$B$4:B1007,B1007,$C$4:C1007,"")+SUMIFS($D$4:D1007,$B$4:B1007,B1007,$C$4:C1007,"Purch")-SUMIFS($D$4:D1007,$B$4:B1007,B1007,$C$4:C1007,"Sale"),0)</f>
        <v>0</v>
      </c>
    </row>
    <row r="1008" spans="1:14" x14ac:dyDescent="0.2">
      <c r="A1008" s="152"/>
      <c r="B1008" s="132"/>
      <c r="C1008" s="132"/>
      <c r="D1008" s="277"/>
      <c r="E1008" s="132"/>
      <c r="F1008" s="170"/>
      <c r="G1008" s="150"/>
      <c r="H1008" s="152"/>
      <c r="I1008" s="204"/>
      <c r="J1008" s="285"/>
      <c r="K1008" s="251"/>
      <c r="L1008" s="133" t="str">
        <f>IF(AND(I1008&lt;&gt;"",ISERROR(IF(ISERROR(VLOOKUP(I1008*1,Summary!$C$8:$C$153,1,0)),VLOOKUP(I1008,Summary!$C$8:$C$153,1,0),VLOOKUP(I1008*1,Summary!$C$8:$C$153,1,0)))),"Add account Number to Summary","")</f>
        <v/>
      </c>
      <c r="M1008" s="131" t="str">
        <f t="shared" si="16"/>
        <v/>
      </c>
      <c r="N1008" s="287">
        <f>IF(C1008="Sale",SUMIFS($D$4:D1008,$B$4:B1008,B1008,$C$4:C1008,"")+SUMIFS($D$4:D1008,$B$4:B1008,B1008,$C$4:C1008,"Purch")-SUMIFS($D$4:D1008,$B$4:B1008,B1008,$C$4:C1008,"Sale"),0)</f>
        <v>0</v>
      </c>
    </row>
    <row r="1009" spans="1:14" x14ac:dyDescent="0.2">
      <c r="A1009" s="152"/>
      <c r="B1009" s="132"/>
      <c r="C1009" s="132"/>
      <c r="D1009" s="277"/>
      <c r="E1009" s="132"/>
      <c r="F1009" s="170"/>
      <c r="G1009" s="150"/>
      <c r="H1009" s="152"/>
      <c r="I1009" s="204"/>
      <c r="J1009" s="285"/>
      <c r="K1009" s="251"/>
      <c r="L1009" s="133" t="str">
        <f>IF(AND(I1009&lt;&gt;"",ISERROR(IF(ISERROR(VLOOKUP(I1009*1,Summary!$C$8:$C$153,1,0)),VLOOKUP(I1009,Summary!$C$8:$C$153,1,0),VLOOKUP(I1009*1,Summary!$C$8:$C$153,1,0)))),"Add account Number to Summary","")</f>
        <v/>
      </c>
      <c r="M1009" s="131" t="str">
        <f t="shared" si="16"/>
        <v/>
      </c>
      <c r="N1009" s="287">
        <f>IF(C1009="Sale",SUMIFS($D$4:D1009,$B$4:B1009,B1009,$C$4:C1009,"")+SUMIFS($D$4:D1009,$B$4:B1009,B1009,$C$4:C1009,"Purch")-SUMIFS($D$4:D1009,$B$4:B1009,B1009,$C$4:C1009,"Sale"),0)</f>
        <v>0</v>
      </c>
    </row>
    <row r="1010" spans="1:14" x14ac:dyDescent="0.2">
      <c r="A1010" s="152"/>
      <c r="B1010" s="132"/>
      <c r="C1010" s="132"/>
      <c r="D1010" s="277"/>
      <c r="E1010" s="132"/>
      <c r="F1010" s="170"/>
      <c r="G1010" s="150"/>
      <c r="H1010" s="152"/>
      <c r="I1010" s="204"/>
      <c r="J1010" s="285"/>
      <c r="K1010" s="251"/>
      <c r="L1010" s="133" t="str">
        <f>IF(AND(I1010&lt;&gt;"",ISERROR(IF(ISERROR(VLOOKUP(I1010*1,Summary!$C$8:$C$153,1,0)),VLOOKUP(I1010,Summary!$C$8:$C$153,1,0),VLOOKUP(I1010*1,Summary!$C$8:$C$153,1,0)))),"Add account Number to Summary","")</f>
        <v/>
      </c>
      <c r="M1010" s="131" t="str">
        <f t="shared" si="16"/>
        <v/>
      </c>
      <c r="N1010" s="287">
        <f>IF(C1010="Sale",SUMIFS($D$4:D1010,$B$4:B1010,B1010,$C$4:C1010,"")+SUMIFS($D$4:D1010,$B$4:B1010,B1010,$C$4:C1010,"Purch")-SUMIFS($D$4:D1010,$B$4:B1010,B1010,$C$4:C1010,"Sale"),0)</f>
        <v>0</v>
      </c>
    </row>
    <row r="1011" spans="1:14" x14ac:dyDescent="0.2">
      <c r="A1011" s="152"/>
      <c r="B1011" s="132"/>
      <c r="C1011" s="132"/>
      <c r="D1011" s="277"/>
      <c r="E1011" s="132"/>
      <c r="F1011" s="170"/>
      <c r="G1011" s="150"/>
      <c r="H1011" s="152"/>
      <c r="I1011" s="204"/>
      <c r="J1011" s="285"/>
      <c r="K1011" s="251"/>
      <c r="L1011" s="133" t="str">
        <f>IF(AND(I1011&lt;&gt;"",ISERROR(IF(ISERROR(VLOOKUP(I1011*1,Summary!$C$8:$C$153,1,0)),VLOOKUP(I1011,Summary!$C$8:$C$153,1,0),VLOOKUP(I1011*1,Summary!$C$8:$C$153,1,0)))),"Add account Number to Summary","")</f>
        <v/>
      </c>
      <c r="M1011" s="131" t="str">
        <f t="shared" si="16"/>
        <v/>
      </c>
      <c r="N1011" s="287">
        <f>IF(C1011="Sale",SUMIFS($D$4:D1011,$B$4:B1011,B1011,$C$4:C1011,"")+SUMIFS($D$4:D1011,$B$4:B1011,B1011,$C$4:C1011,"Purch")-SUMIFS($D$4:D1011,$B$4:B1011,B1011,$C$4:C1011,"Sale"),0)</f>
        <v>0</v>
      </c>
    </row>
    <row r="1012" spans="1:14" x14ac:dyDescent="0.2">
      <c r="A1012" s="152"/>
      <c r="B1012" s="132"/>
      <c r="C1012" s="132"/>
      <c r="D1012" s="277"/>
      <c r="E1012" s="132"/>
      <c r="F1012" s="170"/>
      <c r="G1012" s="150"/>
      <c r="H1012" s="152"/>
      <c r="I1012" s="204"/>
      <c r="J1012" s="285"/>
      <c r="K1012" s="251"/>
      <c r="L1012" s="133" t="str">
        <f>IF(AND(I1012&lt;&gt;"",ISERROR(IF(ISERROR(VLOOKUP(I1012*1,Summary!$C$8:$C$153,1,0)),VLOOKUP(I1012,Summary!$C$8:$C$153,1,0),VLOOKUP(I1012*1,Summary!$C$8:$C$153,1,0)))),"Add account Number to Summary","")</f>
        <v/>
      </c>
      <c r="M1012" s="131" t="str">
        <f t="shared" si="16"/>
        <v/>
      </c>
      <c r="N1012" s="287">
        <f>IF(C1012="Sale",SUMIFS($D$4:D1012,$B$4:B1012,B1012,$C$4:C1012,"")+SUMIFS($D$4:D1012,$B$4:B1012,B1012,$C$4:C1012,"Purch")-SUMIFS($D$4:D1012,$B$4:B1012,B1012,$C$4:C1012,"Sale"),0)</f>
        <v>0</v>
      </c>
    </row>
    <row r="1013" spans="1:14" x14ac:dyDescent="0.2">
      <c r="A1013" s="152"/>
      <c r="B1013" s="132"/>
      <c r="C1013" s="132"/>
      <c r="D1013" s="277"/>
      <c r="E1013" s="132"/>
      <c r="F1013" s="170"/>
      <c r="G1013" s="150"/>
      <c r="H1013" s="152"/>
      <c r="I1013" s="204"/>
      <c r="J1013" s="285"/>
      <c r="K1013" s="251"/>
      <c r="L1013" s="133" t="str">
        <f>IF(AND(I1013&lt;&gt;"",ISERROR(IF(ISERROR(VLOOKUP(I1013*1,Summary!$C$8:$C$153,1,0)),VLOOKUP(I1013,Summary!$C$8:$C$153,1,0),VLOOKUP(I1013*1,Summary!$C$8:$C$153,1,0)))),"Add account Number to Summary","")</f>
        <v/>
      </c>
      <c r="M1013" s="131" t="str">
        <f t="shared" si="16"/>
        <v/>
      </c>
      <c r="N1013" s="287">
        <f>IF(C1013="Sale",SUMIFS($D$4:D1013,$B$4:B1013,B1013,$C$4:C1013,"")+SUMIFS($D$4:D1013,$B$4:B1013,B1013,$C$4:C1013,"Purch")-SUMIFS($D$4:D1013,$B$4:B1013,B1013,$C$4:C1013,"Sale"),0)</f>
        <v>0</v>
      </c>
    </row>
    <row r="1014" spans="1:14" x14ac:dyDescent="0.2">
      <c r="A1014" s="152"/>
      <c r="B1014" s="132"/>
      <c r="C1014" s="132"/>
      <c r="D1014" s="277"/>
      <c r="E1014" s="132"/>
      <c r="F1014" s="170"/>
      <c r="G1014" s="150"/>
      <c r="H1014" s="152"/>
      <c r="I1014" s="204"/>
      <c r="J1014" s="285"/>
      <c r="K1014" s="251"/>
      <c r="L1014" s="133" t="str">
        <f>IF(AND(I1014&lt;&gt;"",ISERROR(IF(ISERROR(VLOOKUP(I1014*1,Summary!$C$8:$C$153,1,0)),VLOOKUP(I1014,Summary!$C$8:$C$153,1,0),VLOOKUP(I1014*1,Summary!$C$8:$C$153,1,0)))),"Add account Number to Summary","")</f>
        <v/>
      </c>
      <c r="M1014" s="131" t="str">
        <f t="shared" si="16"/>
        <v/>
      </c>
      <c r="N1014" s="287">
        <f>IF(C1014="Sale",SUMIFS($D$4:D1014,$B$4:B1014,B1014,$C$4:C1014,"")+SUMIFS($D$4:D1014,$B$4:B1014,B1014,$C$4:C1014,"Purch")-SUMIFS($D$4:D1014,$B$4:B1014,B1014,$C$4:C1014,"Sale"),0)</f>
        <v>0</v>
      </c>
    </row>
    <row r="1015" spans="1:14" x14ac:dyDescent="0.2">
      <c r="A1015" s="152"/>
      <c r="B1015" s="132"/>
      <c r="C1015" s="132"/>
      <c r="D1015" s="277"/>
      <c r="E1015" s="132"/>
      <c r="F1015" s="170"/>
      <c r="G1015" s="150"/>
      <c r="H1015" s="152"/>
      <c r="I1015" s="204"/>
      <c r="J1015" s="285"/>
      <c r="K1015" s="251"/>
      <c r="L1015" s="133" t="str">
        <f>IF(AND(I1015&lt;&gt;"",ISERROR(IF(ISERROR(VLOOKUP(I1015*1,Summary!$C$8:$C$153,1,0)),VLOOKUP(I1015,Summary!$C$8:$C$153,1,0),VLOOKUP(I1015*1,Summary!$C$8:$C$153,1,0)))),"Add account Number to Summary","")</f>
        <v/>
      </c>
      <c r="M1015" s="131" t="str">
        <f t="shared" si="16"/>
        <v/>
      </c>
      <c r="N1015" s="287">
        <f>IF(C1015="Sale",SUMIFS($D$4:D1015,$B$4:B1015,B1015,$C$4:C1015,"")+SUMIFS($D$4:D1015,$B$4:B1015,B1015,$C$4:C1015,"Purch")-SUMIFS($D$4:D1015,$B$4:B1015,B1015,$C$4:C1015,"Sale"),0)</f>
        <v>0</v>
      </c>
    </row>
    <row r="1016" spans="1:14" x14ac:dyDescent="0.2">
      <c r="A1016" s="152"/>
      <c r="B1016" s="132"/>
      <c r="C1016" s="132"/>
      <c r="D1016" s="277"/>
      <c r="E1016" s="132"/>
      <c r="F1016" s="170"/>
      <c r="G1016" s="150"/>
      <c r="H1016" s="152"/>
      <c r="I1016" s="204"/>
      <c r="J1016" s="285"/>
      <c r="K1016" s="251"/>
      <c r="L1016" s="133" t="str">
        <f>IF(AND(I1016&lt;&gt;"",ISERROR(IF(ISERROR(VLOOKUP(I1016*1,Summary!$C$8:$C$153,1,0)),VLOOKUP(I1016,Summary!$C$8:$C$153,1,0),VLOOKUP(I1016*1,Summary!$C$8:$C$153,1,0)))),"Add account Number to Summary","")</f>
        <v/>
      </c>
      <c r="M1016" s="131" t="str">
        <f t="shared" si="16"/>
        <v/>
      </c>
      <c r="N1016" s="287">
        <f>IF(C1016="Sale",SUMIFS($D$4:D1016,$B$4:B1016,B1016,$C$4:C1016,"")+SUMIFS($D$4:D1016,$B$4:B1016,B1016,$C$4:C1016,"Purch")-SUMIFS($D$4:D1016,$B$4:B1016,B1016,$C$4:C1016,"Sale"),0)</f>
        <v>0</v>
      </c>
    </row>
    <row r="1017" spans="1:14" x14ac:dyDescent="0.2">
      <c r="A1017" s="152"/>
      <c r="B1017" s="132"/>
      <c r="C1017" s="132"/>
      <c r="D1017" s="277"/>
      <c r="E1017" s="132"/>
      <c r="F1017" s="170"/>
      <c r="G1017" s="150"/>
      <c r="H1017" s="152"/>
      <c r="I1017" s="204"/>
      <c r="J1017" s="285"/>
      <c r="K1017" s="251"/>
      <c r="L1017" s="133" t="str">
        <f>IF(AND(I1017&lt;&gt;"",ISERROR(IF(ISERROR(VLOOKUP(I1017*1,Summary!$C$8:$C$153,1,0)),VLOOKUP(I1017,Summary!$C$8:$C$153,1,0),VLOOKUP(I1017*1,Summary!$C$8:$C$153,1,0)))),"Add account Number to Summary","")</f>
        <v/>
      </c>
      <c r="M1017" s="131" t="str">
        <f t="shared" si="16"/>
        <v/>
      </c>
      <c r="N1017" s="287">
        <f>IF(C1017="Sale",SUMIFS($D$4:D1017,$B$4:B1017,B1017,$C$4:C1017,"")+SUMIFS($D$4:D1017,$B$4:B1017,B1017,$C$4:C1017,"Purch")-SUMIFS($D$4:D1017,$B$4:B1017,B1017,$C$4:C1017,"Sale"),0)</f>
        <v>0</v>
      </c>
    </row>
    <row r="1018" spans="1:14" x14ac:dyDescent="0.2">
      <c r="A1018" s="152"/>
      <c r="B1018" s="132"/>
      <c r="C1018" s="132"/>
      <c r="D1018" s="277"/>
      <c r="E1018" s="132"/>
      <c r="F1018" s="170"/>
      <c r="G1018" s="150"/>
      <c r="H1018" s="152"/>
      <c r="I1018" s="204"/>
      <c r="J1018" s="285"/>
      <c r="K1018" s="251"/>
      <c r="L1018" s="133" t="str">
        <f>IF(AND(I1018&lt;&gt;"",ISERROR(IF(ISERROR(VLOOKUP(I1018*1,Summary!$C$8:$C$153,1,0)),VLOOKUP(I1018,Summary!$C$8:$C$153,1,0),VLOOKUP(I1018*1,Summary!$C$8:$C$153,1,0)))),"Add account Number to Summary","")</f>
        <v/>
      </c>
      <c r="M1018" s="131" t="str">
        <f t="shared" si="16"/>
        <v/>
      </c>
      <c r="N1018" s="287">
        <f>IF(C1018="Sale",SUMIFS($D$4:D1018,$B$4:B1018,B1018,$C$4:C1018,"")+SUMIFS($D$4:D1018,$B$4:B1018,B1018,$C$4:C1018,"Purch")-SUMIFS($D$4:D1018,$B$4:B1018,B1018,$C$4:C1018,"Sale"),0)</f>
        <v>0</v>
      </c>
    </row>
    <row r="1019" spans="1:14" x14ac:dyDescent="0.2">
      <c r="A1019" s="152"/>
      <c r="B1019" s="132"/>
      <c r="C1019" s="132"/>
      <c r="D1019" s="277"/>
      <c r="E1019" s="132"/>
      <c r="F1019" s="170"/>
      <c r="G1019" s="150"/>
      <c r="H1019" s="152"/>
      <c r="I1019" s="204"/>
      <c r="J1019" s="285"/>
      <c r="K1019" s="251"/>
      <c r="L1019" s="133" t="str">
        <f>IF(AND(I1019&lt;&gt;"",ISERROR(IF(ISERROR(VLOOKUP(I1019*1,Summary!$C$8:$C$153,1,0)),VLOOKUP(I1019,Summary!$C$8:$C$153,1,0),VLOOKUP(I1019*1,Summary!$C$8:$C$153,1,0)))),"Add account Number to Summary","")</f>
        <v/>
      </c>
      <c r="M1019" s="131" t="str">
        <f t="shared" si="16"/>
        <v/>
      </c>
      <c r="N1019" s="287">
        <f>IF(C1019="Sale",SUMIFS($D$4:D1019,$B$4:B1019,B1019,$C$4:C1019,"")+SUMIFS($D$4:D1019,$B$4:B1019,B1019,$C$4:C1019,"Purch")-SUMIFS($D$4:D1019,$B$4:B1019,B1019,$C$4:C1019,"Sale"),0)</f>
        <v>0</v>
      </c>
    </row>
    <row r="1020" spans="1:14" x14ac:dyDescent="0.2">
      <c r="A1020" s="152"/>
      <c r="B1020" s="132"/>
      <c r="C1020" s="132"/>
      <c r="D1020" s="277"/>
      <c r="E1020" s="132"/>
      <c r="F1020" s="170"/>
      <c r="G1020" s="150"/>
      <c r="H1020" s="152"/>
      <c r="I1020" s="204"/>
      <c r="J1020" s="285"/>
      <c r="K1020" s="251"/>
      <c r="L1020" s="133" t="str">
        <f>IF(AND(I1020&lt;&gt;"",ISERROR(IF(ISERROR(VLOOKUP(I1020*1,Summary!$C$8:$C$153,1,0)),VLOOKUP(I1020,Summary!$C$8:$C$153,1,0),VLOOKUP(I1020*1,Summary!$C$8:$C$153,1,0)))),"Add account Number to Summary","")</f>
        <v/>
      </c>
      <c r="M1020" s="131" t="str">
        <f t="shared" si="16"/>
        <v/>
      </c>
      <c r="N1020" s="287">
        <f>IF(C1020="Sale",SUMIFS($D$4:D1020,$B$4:B1020,B1020,$C$4:C1020,"")+SUMIFS($D$4:D1020,$B$4:B1020,B1020,$C$4:C1020,"Purch")-SUMIFS($D$4:D1020,$B$4:B1020,B1020,$C$4:C1020,"Sale"),0)</f>
        <v>0</v>
      </c>
    </row>
    <row r="1021" spans="1:14" x14ac:dyDescent="0.2">
      <c r="A1021" s="152"/>
      <c r="B1021" s="132"/>
      <c r="C1021" s="132"/>
      <c r="D1021" s="277"/>
      <c r="E1021" s="132"/>
      <c r="F1021" s="170"/>
      <c r="G1021" s="150"/>
      <c r="H1021" s="152"/>
      <c r="I1021" s="204"/>
      <c r="J1021" s="285"/>
      <c r="K1021" s="251"/>
      <c r="L1021" s="133" t="str">
        <f>IF(AND(I1021&lt;&gt;"",ISERROR(IF(ISERROR(VLOOKUP(I1021*1,Summary!$C$8:$C$153,1,0)),VLOOKUP(I1021,Summary!$C$8:$C$153,1,0),VLOOKUP(I1021*1,Summary!$C$8:$C$153,1,0)))),"Add account Number to Summary","")</f>
        <v/>
      </c>
      <c r="M1021" s="131" t="str">
        <f t="shared" si="16"/>
        <v/>
      </c>
      <c r="N1021" s="287">
        <f>IF(C1021="Sale",SUMIFS($D$4:D1021,$B$4:B1021,B1021,$C$4:C1021,"")+SUMIFS($D$4:D1021,$B$4:B1021,B1021,$C$4:C1021,"Purch")-SUMIFS($D$4:D1021,$B$4:B1021,B1021,$C$4:C1021,"Sale"),0)</f>
        <v>0</v>
      </c>
    </row>
    <row r="1022" spans="1:14" x14ac:dyDescent="0.2">
      <c r="A1022" s="152"/>
      <c r="B1022" s="132"/>
      <c r="C1022" s="132"/>
      <c r="D1022" s="277"/>
      <c r="E1022" s="132"/>
      <c r="F1022" s="170"/>
      <c r="G1022" s="150"/>
      <c r="H1022" s="152"/>
      <c r="I1022" s="204"/>
      <c r="J1022" s="285"/>
      <c r="K1022" s="251"/>
      <c r="L1022" s="133" t="str">
        <f>IF(AND(I1022&lt;&gt;"",ISERROR(IF(ISERROR(VLOOKUP(I1022*1,Summary!$C$8:$C$153,1,0)),VLOOKUP(I1022,Summary!$C$8:$C$153,1,0),VLOOKUP(I1022*1,Summary!$C$8:$C$153,1,0)))),"Add account Number to Summary","")</f>
        <v/>
      </c>
      <c r="M1022" s="131" t="str">
        <f t="shared" si="16"/>
        <v/>
      </c>
      <c r="N1022" s="287">
        <f>IF(C1022="Sale",SUMIFS($D$4:D1022,$B$4:B1022,B1022,$C$4:C1022,"")+SUMIFS($D$4:D1022,$B$4:B1022,B1022,$C$4:C1022,"Purch")-SUMIFS($D$4:D1022,$B$4:B1022,B1022,$C$4:C1022,"Sale"),0)</f>
        <v>0</v>
      </c>
    </row>
    <row r="1023" spans="1:14" x14ac:dyDescent="0.2">
      <c r="A1023" s="152"/>
      <c r="B1023" s="132"/>
      <c r="C1023" s="132"/>
      <c r="D1023" s="277"/>
      <c r="E1023" s="132"/>
      <c r="F1023" s="170"/>
      <c r="G1023" s="150"/>
      <c r="H1023" s="152"/>
      <c r="I1023" s="204"/>
      <c r="J1023" s="285"/>
      <c r="K1023" s="251"/>
      <c r="L1023" s="133" t="str">
        <f>IF(AND(I1023&lt;&gt;"",ISERROR(IF(ISERROR(VLOOKUP(I1023*1,Summary!$C$8:$C$153,1,0)),VLOOKUP(I1023,Summary!$C$8:$C$153,1,0),VLOOKUP(I1023*1,Summary!$C$8:$C$153,1,0)))),"Add account Number to Summary","")</f>
        <v/>
      </c>
      <c r="M1023" s="131" t="str">
        <f t="shared" si="16"/>
        <v/>
      </c>
      <c r="N1023" s="287">
        <f>IF(C1023="Sale",SUMIFS($D$4:D1023,$B$4:B1023,B1023,$C$4:C1023,"")+SUMIFS($D$4:D1023,$B$4:B1023,B1023,$C$4:C1023,"Purch")-SUMIFS($D$4:D1023,$B$4:B1023,B1023,$C$4:C1023,"Sale"),0)</f>
        <v>0</v>
      </c>
    </row>
    <row r="1024" spans="1:14" x14ac:dyDescent="0.2">
      <c r="A1024" s="152"/>
      <c r="B1024" s="132"/>
      <c r="C1024" s="132"/>
      <c r="D1024" s="277"/>
      <c r="E1024" s="132"/>
      <c r="F1024" s="170"/>
      <c r="G1024" s="150"/>
      <c r="H1024" s="152"/>
      <c r="I1024" s="204"/>
      <c r="J1024" s="285"/>
      <c r="K1024" s="251"/>
      <c r="L1024" s="133" t="str">
        <f>IF(AND(I1024&lt;&gt;"",ISERROR(IF(ISERROR(VLOOKUP(I1024*1,Summary!$C$8:$C$153,1,0)),VLOOKUP(I1024,Summary!$C$8:$C$153,1,0),VLOOKUP(I1024*1,Summary!$C$8:$C$153,1,0)))),"Add account Number to Summary","")</f>
        <v/>
      </c>
      <c r="M1024" s="131" t="str">
        <f t="shared" si="16"/>
        <v/>
      </c>
      <c r="N1024" s="287">
        <f>IF(C1024="Sale",SUMIFS($D$4:D1024,$B$4:B1024,B1024,$C$4:C1024,"")+SUMIFS($D$4:D1024,$B$4:B1024,B1024,$C$4:C1024,"Purch")-SUMIFS($D$4:D1024,$B$4:B1024,B1024,$C$4:C1024,"Sale"),0)</f>
        <v>0</v>
      </c>
    </row>
    <row r="1025" spans="1:14" x14ac:dyDescent="0.2">
      <c r="A1025" s="152"/>
      <c r="B1025" s="132"/>
      <c r="C1025" s="132"/>
      <c r="D1025" s="277"/>
      <c r="E1025" s="132"/>
      <c r="F1025" s="170"/>
      <c r="G1025" s="150"/>
      <c r="H1025" s="152"/>
      <c r="I1025" s="204"/>
      <c r="J1025" s="285"/>
      <c r="K1025" s="251"/>
      <c r="L1025" s="133" t="str">
        <f>IF(AND(I1025&lt;&gt;"",ISERROR(IF(ISERROR(VLOOKUP(I1025*1,Summary!$C$8:$C$153,1,0)),VLOOKUP(I1025,Summary!$C$8:$C$153,1,0),VLOOKUP(I1025*1,Summary!$C$8:$C$153,1,0)))),"Add account Number to Summary","")</f>
        <v/>
      </c>
      <c r="M1025" s="131" t="str">
        <f t="shared" si="16"/>
        <v/>
      </c>
      <c r="N1025" s="287">
        <f>IF(C1025="Sale",SUMIFS($D$4:D1025,$B$4:B1025,B1025,$C$4:C1025,"")+SUMIFS($D$4:D1025,$B$4:B1025,B1025,$C$4:C1025,"Purch")-SUMIFS($D$4:D1025,$B$4:B1025,B1025,$C$4:C1025,"Sale"),0)</f>
        <v>0</v>
      </c>
    </row>
    <row r="1026" spans="1:14" x14ac:dyDescent="0.2">
      <c r="A1026" s="152"/>
      <c r="B1026" s="132"/>
      <c r="C1026" s="132"/>
      <c r="D1026" s="277"/>
      <c r="E1026" s="132"/>
      <c r="F1026" s="170"/>
      <c r="G1026" s="150"/>
      <c r="H1026" s="152"/>
      <c r="I1026" s="204"/>
      <c r="J1026" s="285"/>
      <c r="K1026" s="251"/>
      <c r="L1026" s="133" t="str">
        <f>IF(AND(I1026&lt;&gt;"",ISERROR(IF(ISERROR(VLOOKUP(I1026*1,Summary!$C$8:$C$153,1,0)),VLOOKUP(I1026,Summary!$C$8:$C$153,1,0),VLOOKUP(I1026*1,Summary!$C$8:$C$153,1,0)))),"Add account Number to Summary","")</f>
        <v/>
      </c>
      <c r="M1026" s="131" t="str">
        <f t="shared" si="16"/>
        <v/>
      </c>
      <c r="N1026" s="287">
        <f>IF(C1026="Sale",SUMIFS($D$4:D1026,$B$4:B1026,B1026,$C$4:C1026,"")+SUMIFS($D$4:D1026,$B$4:B1026,B1026,$C$4:C1026,"Purch")-SUMIFS($D$4:D1026,$B$4:B1026,B1026,$C$4:C1026,"Sale"),0)</f>
        <v>0</v>
      </c>
    </row>
    <row r="1027" spans="1:14" x14ac:dyDescent="0.2">
      <c r="A1027" s="152"/>
      <c r="B1027" s="132"/>
      <c r="C1027" s="132"/>
      <c r="D1027" s="277"/>
      <c r="E1027" s="132"/>
      <c r="F1027" s="170"/>
      <c r="G1027" s="150"/>
      <c r="H1027" s="152"/>
      <c r="I1027" s="204"/>
      <c r="J1027" s="285"/>
      <c r="K1027" s="251"/>
      <c r="L1027" s="133" t="str">
        <f>IF(AND(I1027&lt;&gt;"",ISERROR(IF(ISERROR(VLOOKUP(I1027*1,Summary!$C$8:$C$153,1,0)),VLOOKUP(I1027,Summary!$C$8:$C$153,1,0),VLOOKUP(I1027*1,Summary!$C$8:$C$153,1,0)))),"Add account Number to Summary","")</f>
        <v/>
      </c>
      <c r="M1027" s="131" t="str">
        <f t="shared" si="16"/>
        <v/>
      </c>
      <c r="N1027" s="287">
        <f>IF(C1027="Sale",SUMIFS($D$4:D1027,$B$4:B1027,B1027,$C$4:C1027,"")+SUMIFS($D$4:D1027,$B$4:B1027,B1027,$C$4:C1027,"Purch")-SUMIFS($D$4:D1027,$B$4:B1027,B1027,$C$4:C1027,"Sale"),0)</f>
        <v>0</v>
      </c>
    </row>
    <row r="1028" spans="1:14" x14ac:dyDescent="0.2">
      <c r="A1028" s="152"/>
      <c r="B1028" s="132"/>
      <c r="C1028" s="132"/>
      <c r="D1028" s="277"/>
      <c r="E1028" s="132"/>
      <c r="F1028" s="170"/>
      <c r="G1028" s="150"/>
      <c r="H1028" s="152"/>
      <c r="I1028" s="204"/>
      <c r="J1028" s="285"/>
      <c r="K1028" s="251"/>
      <c r="L1028" s="133" t="str">
        <f>IF(AND(I1028&lt;&gt;"",ISERROR(IF(ISERROR(VLOOKUP(I1028*1,Summary!$C$8:$C$153,1,0)),VLOOKUP(I1028,Summary!$C$8:$C$153,1,0),VLOOKUP(I1028*1,Summary!$C$8:$C$153,1,0)))),"Add account Number to Summary","")</f>
        <v/>
      </c>
      <c r="M1028" s="131" t="str">
        <f t="shared" si="16"/>
        <v/>
      </c>
      <c r="N1028" s="287">
        <f>IF(C1028="Sale",SUMIFS($D$4:D1028,$B$4:B1028,B1028,$C$4:C1028,"")+SUMIFS($D$4:D1028,$B$4:B1028,B1028,$C$4:C1028,"Purch")-SUMIFS($D$4:D1028,$B$4:B1028,B1028,$C$4:C1028,"Sale"),0)</f>
        <v>0</v>
      </c>
    </row>
    <row r="1029" spans="1:14" x14ac:dyDescent="0.2">
      <c r="A1029" s="152"/>
      <c r="B1029" s="132"/>
      <c r="C1029" s="132"/>
      <c r="D1029" s="277"/>
      <c r="E1029" s="132"/>
      <c r="F1029" s="170"/>
      <c r="G1029" s="150"/>
      <c r="H1029" s="152"/>
      <c r="I1029" s="204"/>
      <c r="J1029" s="285"/>
      <c r="K1029" s="251"/>
      <c r="L1029" s="133" t="str">
        <f>IF(AND(I1029&lt;&gt;"",ISERROR(IF(ISERROR(VLOOKUP(I1029*1,Summary!$C$8:$C$153,1,0)),VLOOKUP(I1029,Summary!$C$8:$C$153,1,0),VLOOKUP(I1029*1,Summary!$C$8:$C$153,1,0)))),"Add account Number to Summary","")</f>
        <v/>
      </c>
      <c r="M1029" s="131" t="str">
        <f t="shared" si="16"/>
        <v/>
      </c>
      <c r="N1029" s="287">
        <f>IF(C1029="Sale",SUMIFS($D$4:D1029,$B$4:B1029,B1029,$C$4:C1029,"")+SUMIFS($D$4:D1029,$B$4:B1029,B1029,$C$4:C1029,"Purch")-SUMIFS($D$4:D1029,$B$4:B1029,B1029,$C$4:C1029,"Sale"),0)</f>
        <v>0</v>
      </c>
    </row>
    <row r="1030" spans="1:14" x14ac:dyDescent="0.2">
      <c r="A1030" s="152"/>
      <c r="B1030" s="132"/>
      <c r="C1030" s="132"/>
      <c r="D1030" s="277"/>
      <c r="E1030" s="132"/>
      <c r="F1030" s="170"/>
      <c r="G1030" s="150"/>
      <c r="H1030" s="152"/>
      <c r="I1030" s="204"/>
      <c r="J1030" s="285"/>
      <c r="K1030" s="251"/>
      <c r="L1030" s="133" t="str">
        <f>IF(AND(I1030&lt;&gt;"",ISERROR(IF(ISERROR(VLOOKUP(I1030*1,Summary!$C$8:$C$153,1,0)),VLOOKUP(I1030,Summary!$C$8:$C$153,1,0),VLOOKUP(I1030*1,Summary!$C$8:$C$153,1,0)))),"Add account Number to Summary","")</f>
        <v/>
      </c>
      <c r="M1030" s="131" t="str">
        <f t="shared" si="16"/>
        <v/>
      </c>
      <c r="N1030" s="287">
        <f>IF(C1030="Sale",SUMIFS($D$4:D1030,$B$4:B1030,B1030,$C$4:C1030,"")+SUMIFS($D$4:D1030,$B$4:B1030,B1030,$C$4:C1030,"Purch")-SUMIFS($D$4:D1030,$B$4:B1030,B1030,$C$4:C1030,"Sale"),0)</f>
        <v>0</v>
      </c>
    </row>
    <row r="1031" spans="1:14" x14ac:dyDescent="0.2">
      <c r="A1031" s="152"/>
      <c r="B1031" s="132"/>
      <c r="C1031" s="132"/>
      <c r="D1031" s="277"/>
      <c r="E1031" s="132"/>
      <c r="F1031" s="170"/>
      <c r="G1031" s="150"/>
      <c r="H1031" s="152"/>
      <c r="I1031" s="204"/>
      <c r="J1031" s="285"/>
      <c r="K1031" s="251"/>
      <c r="L1031" s="133" t="str">
        <f>IF(AND(I1031&lt;&gt;"",ISERROR(IF(ISERROR(VLOOKUP(I1031*1,Summary!$C$8:$C$153,1,0)),VLOOKUP(I1031,Summary!$C$8:$C$153,1,0),VLOOKUP(I1031*1,Summary!$C$8:$C$153,1,0)))),"Add account Number to Summary","")</f>
        <v/>
      </c>
      <c r="M1031" s="131" t="str">
        <f t="shared" si="16"/>
        <v/>
      </c>
      <c r="N1031" s="287">
        <f>IF(C1031="Sale",SUMIFS($D$4:D1031,$B$4:B1031,B1031,$C$4:C1031,"")+SUMIFS($D$4:D1031,$B$4:B1031,B1031,$C$4:C1031,"Purch")-SUMIFS($D$4:D1031,$B$4:B1031,B1031,$C$4:C1031,"Sale"),0)</f>
        <v>0</v>
      </c>
    </row>
    <row r="1032" spans="1:14" x14ac:dyDescent="0.2">
      <c r="A1032" s="152"/>
      <c r="B1032" s="132"/>
      <c r="C1032" s="132"/>
      <c r="D1032" s="277"/>
      <c r="E1032" s="132"/>
      <c r="F1032" s="170"/>
      <c r="G1032" s="150"/>
      <c r="H1032" s="152"/>
      <c r="I1032" s="204"/>
      <c r="J1032" s="285"/>
      <c r="K1032" s="251"/>
      <c r="L1032" s="133" t="str">
        <f>IF(AND(I1032&lt;&gt;"",ISERROR(IF(ISERROR(VLOOKUP(I1032*1,Summary!$C$8:$C$153,1,0)),VLOOKUP(I1032,Summary!$C$8:$C$153,1,0),VLOOKUP(I1032*1,Summary!$C$8:$C$153,1,0)))),"Add account Number to Summary","")</f>
        <v/>
      </c>
      <c r="M1032" s="131" t="str">
        <f t="shared" si="16"/>
        <v/>
      </c>
      <c r="N1032" s="287">
        <f>IF(C1032="Sale",SUMIFS($D$4:D1032,$B$4:B1032,B1032,$C$4:C1032,"")+SUMIFS($D$4:D1032,$B$4:B1032,B1032,$C$4:C1032,"Purch")-SUMIFS($D$4:D1032,$B$4:B1032,B1032,$C$4:C1032,"Sale"),0)</f>
        <v>0</v>
      </c>
    </row>
    <row r="1033" spans="1:14" x14ac:dyDescent="0.2">
      <c r="A1033" s="152"/>
      <c r="B1033" s="132"/>
      <c r="C1033" s="132"/>
      <c r="D1033" s="277"/>
      <c r="E1033" s="132"/>
      <c r="F1033" s="170"/>
      <c r="G1033" s="150"/>
      <c r="H1033" s="152"/>
      <c r="I1033" s="204"/>
      <c r="J1033" s="285"/>
      <c r="K1033" s="251"/>
      <c r="L1033" s="133" t="str">
        <f>IF(AND(I1033&lt;&gt;"",ISERROR(IF(ISERROR(VLOOKUP(I1033*1,Summary!$C$8:$C$153,1,0)),VLOOKUP(I1033,Summary!$C$8:$C$153,1,0),VLOOKUP(I1033*1,Summary!$C$8:$C$153,1,0)))),"Add account Number to Summary","")</f>
        <v/>
      </c>
      <c r="M1033" s="131" t="str">
        <f t="shared" si="16"/>
        <v/>
      </c>
      <c r="N1033" s="287">
        <f>IF(C1033="Sale",SUMIFS($D$4:D1033,$B$4:B1033,B1033,$C$4:C1033,"")+SUMIFS($D$4:D1033,$B$4:B1033,B1033,$C$4:C1033,"Purch")-SUMIFS($D$4:D1033,$B$4:B1033,B1033,$C$4:C1033,"Sale"),0)</f>
        <v>0</v>
      </c>
    </row>
    <row r="1034" spans="1:14" x14ac:dyDescent="0.2">
      <c r="A1034" s="152"/>
      <c r="B1034" s="132"/>
      <c r="C1034" s="132"/>
      <c r="D1034" s="277"/>
      <c r="E1034" s="132"/>
      <c r="F1034" s="170"/>
      <c r="G1034" s="150"/>
      <c r="H1034" s="152"/>
      <c r="I1034" s="204"/>
      <c r="J1034" s="285"/>
      <c r="K1034" s="251"/>
      <c r="L1034" s="133" t="str">
        <f>IF(AND(I1034&lt;&gt;"",ISERROR(IF(ISERROR(VLOOKUP(I1034*1,Summary!$C$8:$C$153,1,0)),VLOOKUP(I1034,Summary!$C$8:$C$153,1,0),VLOOKUP(I1034*1,Summary!$C$8:$C$153,1,0)))),"Add account Number to Summary","")</f>
        <v/>
      </c>
      <c r="M1034" s="131" t="str">
        <f t="shared" si="16"/>
        <v/>
      </c>
      <c r="N1034" s="287">
        <f>IF(C1034="Sale",SUMIFS($D$4:D1034,$B$4:B1034,B1034,$C$4:C1034,"")+SUMIFS($D$4:D1034,$B$4:B1034,B1034,$C$4:C1034,"Purch")-SUMIFS($D$4:D1034,$B$4:B1034,B1034,$C$4:C1034,"Sale"),0)</f>
        <v>0</v>
      </c>
    </row>
    <row r="1035" spans="1:14" x14ac:dyDescent="0.2">
      <c r="A1035" s="152"/>
      <c r="B1035" s="132"/>
      <c r="C1035" s="132"/>
      <c r="D1035" s="277"/>
      <c r="E1035" s="132"/>
      <c r="F1035" s="170"/>
      <c r="G1035" s="150"/>
      <c r="H1035" s="152"/>
      <c r="I1035" s="204"/>
      <c r="J1035" s="285"/>
      <c r="K1035" s="251"/>
      <c r="L1035" s="133" t="str">
        <f>IF(AND(I1035&lt;&gt;"",ISERROR(IF(ISERROR(VLOOKUP(I1035*1,Summary!$C$8:$C$153,1,0)),VLOOKUP(I1035,Summary!$C$8:$C$153,1,0),VLOOKUP(I1035*1,Summary!$C$8:$C$153,1,0)))),"Add account Number to Summary","")</f>
        <v/>
      </c>
      <c r="M1035" s="131" t="str">
        <f t="shared" si="16"/>
        <v/>
      </c>
      <c r="N1035" s="287">
        <f>IF(C1035="Sale",SUMIFS($D$4:D1035,$B$4:B1035,B1035,$C$4:C1035,"")+SUMIFS($D$4:D1035,$B$4:B1035,B1035,$C$4:C1035,"Purch")-SUMIFS($D$4:D1035,$B$4:B1035,B1035,$C$4:C1035,"Sale"),0)</f>
        <v>0</v>
      </c>
    </row>
    <row r="1036" spans="1:14" x14ac:dyDescent="0.2">
      <c r="A1036" s="152"/>
      <c r="B1036" s="132"/>
      <c r="C1036" s="132"/>
      <c r="D1036" s="277"/>
      <c r="E1036" s="132"/>
      <c r="F1036" s="170"/>
      <c r="G1036" s="150"/>
      <c r="H1036" s="152"/>
      <c r="I1036" s="204"/>
      <c r="J1036" s="285"/>
      <c r="K1036" s="251"/>
      <c r="L1036" s="133" t="str">
        <f>IF(AND(I1036&lt;&gt;"",ISERROR(IF(ISERROR(VLOOKUP(I1036*1,Summary!$C$8:$C$153,1,0)),VLOOKUP(I1036,Summary!$C$8:$C$153,1,0),VLOOKUP(I1036*1,Summary!$C$8:$C$153,1,0)))),"Add account Number to Summary","")</f>
        <v/>
      </c>
      <c r="M1036" s="131" t="str">
        <f t="shared" si="16"/>
        <v/>
      </c>
      <c r="N1036" s="287">
        <f>IF(C1036="Sale",SUMIFS($D$4:D1036,$B$4:B1036,B1036,$C$4:C1036,"")+SUMIFS($D$4:D1036,$B$4:B1036,B1036,$C$4:C1036,"Purch")-SUMIFS($D$4:D1036,$B$4:B1036,B1036,$C$4:C1036,"Sale"),0)</f>
        <v>0</v>
      </c>
    </row>
    <row r="1037" spans="1:14" x14ac:dyDescent="0.2">
      <c r="A1037" s="152"/>
      <c r="B1037" s="132"/>
      <c r="C1037" s="132"/>
      <c r="D1037" s="277"/>
      <c r="E1037" s="132"/>
      <c r="F1037" s="170"/>
      <c r="G1037" s="150"/>
      <c r="H1037" s="152"/>
      <c r="I1037" s="204"/>
      <c r="J1037" s="285"/>
      <c r="K1037" s="251"/>
      <c r="L1037" s="133" t="str">
        <f>IF(AND(I1037&lt;&gt;"",ISERROR(IF(ISERROR(VLOOKUP(I1037*1,Summary!$C$8:$C$153,1,0)),VLOOKUP(I1037,Summary!$C$8:$C$153,1,0),VLOOKUP(I1037*1,Summary!$C$8:$C$153,1,0)))),"Add account Number to Summary","")</f>
        <v/>
      </c>
      <c r="M1037" s="131" t="str">
        <f t="shared" si="16"/>
        <v/>
      </c>
      <c r="N1037" s="287">
        <f>IF(C1037="Sale",SUMIFS($D$4:D1037,$B$4:B1037,B1037,$C$4:C1037,"")+SUMIFS($D$4:D1037,$B$4:B1037,B1037,$C$4:C1037,"Purch")-SUMIFS($D$4:D1037,$B$4:B1037,B1037,$C$4:C1037,"Sale"),0)</f>
        <v>0</v>
      </c>
    </row>
    <row r="1038" spans="1:14" x14ac:dyDescent="0.2">
      <c r="A1038" s="152"/>
      <c r="B1038" s="132"/>
      <c r="C1038" s="132"/>
      <c r="D1038" s="277"/>
      <c r="E1038" s="132"/>
      <c r="F1038" s="170"/>
      <c r="G1038" s="150"/>
      <c r="H1038" s="152"/>
      <c r="I1038" s="204"/>
      <c r="J1038" s="285"/>
      <c r="K1038" s="251"/>
      <c r="L1038" s="133" t="str">
        <f>IF(AND(I1038&lt;&gt;"",ISERROR(IF(ISERROR(VLOOKUP(I1038*1,Summary!$C$8:$C$153,1,0)),VLOOKUP(I1038,Summary!$C$8:$C$153,1,0),VLOOKUP(I1038*1,Summary!$C$8:$C$153,1,0)))),"Add account Number to Summary","")</f>
        <v/>
      </c>
      <c r="M1038" s="131" t="str">
        <f t="shared" si="16"/>
        <v/>
      </c>
      <c r="N1038" s="287">
        <f>IF(C1038="Sale",SUMIFS($D$4:D1038,$B$4:B1038,B1038,$C$4:C1038,"")+SUMIFS($D$4:D1038,$B$4:B1038,B1038,$C$4:C1038,"Purch")-SUMIFS($D$4:D1038,$B$4:B1038,B1038,$C$4:C1038,"Sale"),0)</f>
        <v>0</v>
      </c>
    </row>
    <row r="1039" spans="1:14" x14ac:dyDescent="0.2">
      <c r="A1039" s="152"/>
      <c r="B1039" s="132"/>
      <c r="C1039" s="132"/>
      <c r="D1039" s="277"/>
      <c r="E1039" s="132"/>
      <c r="F1039" s="170"/>
      <c r="G1039" s="150"/>
      <c r="H1039" s="152"/>
      <c r="I1039" s="204"/>
      <c r="J1039" s="285"/>
      <c r="K1039" s="251"/>
      <c r="L1039" s="133" t="str">
        <f>IF(AND(I1039&lt;&gt;"",ISERROR(IF(ISERROR(VLOOKUP(I1039*1,Summary!$C$8:$C$153,1,0)),VLOOKUP(I1039,Summary!$C$8:$C$153,1,0),VLOOKUP(I1039*1,Summary!$C$8:$C$153,1,0)))),"Add account Number to Summary","")</f>
        <v/>
      </c>
      <c r="M1039" s="131" t="str">
        <f t="shared" si="16"/>
        <v/>
      </c>
      <c r="N1039" s="287">
        <f>IF(C1039="Sale",SUMIFS($D$4:D1039,$B$4:B1039,B1039,$C$4:C1039,"")+SUMIFS($D$4:D1039,$B$4:B1039,B1039,$C$4:C1039,"Purch")-SUMIFS($D$4:D1039,$B$4:B1039,B1039,$C$4:C1039,"Sale"),0)</f>
        <v>0</v>
      </c>
    </row>
    <row r="1040" spans="1:14" x14ac:dyDescent="0.2">
      <c r="A1040" s="152"/>
      <c r="B1040" s="132"/>
      <c r="C1040" s="132"/>
      <c r="D1040" s="277"/>
      <c r="E1040" s="132"/>
      <c r="F1040" s="170"/>
      <c r="G1040" s="150"/>
      <c r="H1040" s="152"/>
      <c r="I1040" s="204"/>
      <c r="J1040" s="285"/>
      <c r="K1040" s="251"/>
      <c r="L1040" s="133" t="str">
        <f>IF(AND(I1040&lt;&gt;"",ISERROR(IF(ISERROR(VLOOKUP(I1040*1,Summary!$C$8:$C$153,1,0)),VLOOKUP(I1040,Summary!$C$8:$C$153,1,0),VLOOKUP(I1040*1,Summary!$C$8:$C$153,1,0)))),"Add account Number to Summary","")</f>
        <v/>
      </c>
      <c r="M1040" s="131" t="str">
        <f t="shared" si="16"/>
        <v/>
      </c>
      <c r="N1040" s="287">
        <f>IF(C1040="Sale",SUMIFS($D$4:D1040,$B$4:B1040,B1040,$C$4:C1040,"")+SUMIFS($D$4:D1040,$B$4:B1040,B1040,$C$4:C1040,"Purch")-SUMIFS($D$4:D1040,$B$4:B1040,B1040,$C$4:C1040,"Sale"),0)</f>
        <v>0</v>
      </c>
    </row>
    <row r="1041" spans="1:14" x14ac:dyDescent="0.2">
      <c r="A1041" s="152"/>
      <c r="B1041" s="132"/>
      <c r="C1041" s="132"/>
      <c r="D1041" s="277"/>
      <c r="E1041" s="132"/>
      <c r="F1041" s="170"/>
      <c r="G1041" s="150"/>
      <c r="H1041" s="152"/>
      <c r="I1041" s="204"/>
      <c r="J1041" s="285"/>
      <c r="K1041" s="251"/>
      <c r="L1041" s="133" t="str">
        <f>IF(AND(I1041&lt;&gt;"",ISERROR(IF(ISERROR(VLOOKUP(I1041*1,Summary!$C$8:$C$153,1,0)),VLOOKUP(I1041,Summary!$C$8:$C$153,1,0),VLOOKUP(I1041*1,Summary!$C$8:$C$153,1,0)))),"Add account Number to Summary","")</f>
        <v/>
      </c>
      <c r="M1041" s="131" t="str">
        <f t="shared" si="16"/>
        <v/>
      </c>
      <c r="N1041" s="287">
        <f>IF(C1041="Sale",SUMIFS($D$4:D1041,$B$4:B1041,B1041,$C$4:C1041,"")+SUMIFS($D$4:D1041,$B$4:B1041,B1041,$C$4:C1041,"Purch")-SUMIFS($D$4:D1041,$B$4:B1041,B1041,$C$4:C1041,"Sale"),0)</f>
        <v>0</v>
      </c>
    </row>
    <row r="1042" spans="1:14" x14ac:dyDescent="0.2">
      <c r="A1042" s="152"/>
      <c r="B1042" s="132"/>
      <c r="C1042" s="132"/>
      <c r="D1042" s="277"/>
      <c r="E1042" s="132"/>
      <c r="F1042" s="170"/>
      <c r="G1042" s="150"/>
      <c r="H1042" s="152"/>
      <c r="I1042" s="204"/>
      <c r="J1042" s="285"/>
      <c r="K1042" s="251"/>
      <c r="L1042" s="133" t="str">
        <f>IF(AND(I1042&lt;&gt;"",ISERROR(IF(ISERROR(VLOOKUP(I1042*1,Summary!$C$8:$C$153,1,0)),VLOOKUP(I1042,Summary!$C$8:$C$153,1,0),VLOOKUP(I1042*1,Summary!$C$8:$C$153,1,0)))),"Add account Number to Summary","")</f>
        <v/>
      </c>
      <c r="M1042" s="131" t="str">
        <f t="shared" si="16"/>
        <v/>
      </c>
      <c r="N1042" s="287">
        <f>IF(C1042="Sale",SUMIFS($D$4:D1042,$B$4:B1042,B1042,$C$4:C1042,"")+SUMIFS($D$4:D1042,$B$4:B1042,B1042,$C$4:C1042,"Purch")-SUMIFS($D$4:D1042,$B$4:B1042,B1042,$C$4:C1042,"Sale"),0)</f>
        <v>0</v>
      </c>
    </row>
    <row r="1043" spans="1:14" x14ac:dyDescent="0.2">
      <c r="A1043" s="152"/>
      <c r="B1043" s="132"/>
      <c r="C1043" s="132"/>
      <c r="D1043" s="277"/>
      <c r="E1043" s="132"/>
      <c r="F1043" s="170"/>
      <c r="G1043" s="150"/>
      <c r="H1043" s="152"/>
      <c r="I1043" s="204"/>
      <c r="J1043" s="285"/>
      <c r="K1043" s="251"/>
      <c r="L1043" s="133" t="str">
        <f>IF(AND(I1043&lt;&gt;"",ISERROR(IF(ISERROR(VLOOKUP(I1043*1,Summary!$C$8:$C$153,1,0)),VLOOKUP(I1043,Summary!$C$8:$C$153,1,0),VLOOKUP(I1043*1,Summary!$C$8:$C$153,1,0)))),"Add account Number to Summary","")</f>
        <v/>
      </c>
      <c r="M1043" s="131" t="str">
        <f t="shared" si="16"/>
        <v/>
      </c>
      <c r="N1043" s="287">
        <f>IF(C1043="Sale",SUMIFS($D$4:D1043,$B$4:B1043,B1043,$C$4:C1043,"")+SUMIFS($D$4:D1043,$B$4:B1043,B1043,$C$4:C1043,"Purch")-SUMIFS($D$4:D1043,$B$4:B1043,B1043,$C$4:C1043,"Sale"),0)</f>
        <v>0</v>
      </c>
    </row>
    <row r="1044" spans="1:14" x14ac:dyDescent="0.2">
      <c r="A1044" s="152"/>
      <c r="B1044" s="132"/>
      <c r="C1044" s="132"/>
      <c r="D1044" s="277"/>
      <c r="E1044" s="132"/>
      <c r="F1044" s="170"/>
      <c r="G1044" s="150"/>
      <c r="H1044" s="152"/>
      <c r="I1044" s="204"/>
      <c r="J1044" s="285"/>
      <c r="K1044" s="251"/>
      <c r="L1044" s="133" t="str">
        <f>IF(AND(I1044&lt;&gt;"",ISERROR(IF(ISERROR(VLOOKUP(I1044*1,Summary!$C$8:$C$153,1,0)),VLOOKUP(I1044,Summary!$C$8:$C$153,1,0),VLOOKUP(I1044*1,Summary!$C$8:$C$153,1,0)))),"Add account Number to Summary","")</f>
        <v/>
      </c>
      <c r="M1044" s="131" t="str">
        <f t="shared" si="16"/>
        <v/>
      </c>
      <c r="N1044" s="287">
        <f>IF(C1044="Sale",SUMIFS($D$4:D1044,$B$4:B1044,B1044,$C$4:C1044,"")+SUMIFS($D$4:D1044,$B$4:B1044,B1044,$C$4:C1044,"Purch")-SUMIFS($D$4:D1044,$B$4:B1044,B1044,$C$4:C1044,"Sale"),0)</f>
        <v>0</v>
      </c>
    </row>
    <row r="1045" spans="1:14" x14ac:dyDescent="0.2">
      <c r="A1045" s="152"/>
      <c r="B1045" s="132"/>
      <c r="C1045" s="132"/>
      <c r="D1045" s="277"/>
      <c r="E1045" s="132"/>
      <c r="F1045" s="170"/>
      <c r="G1045" s="150"/>
      <c r="H1045" s="152"/>
      <c r="I1045" s="204"/>
      <c r="J1045" s="285"/>
      <c r="K1045" s="251"/>
      <c r="L1045" s="133" t="str">
        <f>IF(AND(I1045&lt;&gt;"",ISERROR(IF(ISERROR(VLOOKUP(I1045*1,Summary!$C$8:$C$153,1,0)),VLOOKUP(I1045,Summary!$C$8:$C$153,1,0),VLOOKUP(I1045*1,Summary!$C$8:$C$153,1,0)))),"Add account Number to Summary","")</f>
        <v/>
      </c>
      <c r="M1045" s="131" t="str">
        <f t="shared" si="16"/>
        <v/>
      </c>
      <c r="N1045" s="287">
        <f>IF(C1045="Sale",SUMIFS($D$4:D1045,$B$4:B1045,B1045,$C$4:C1045,"")+SUMIFS($D$4:D1045,$B$4:B1045,B1045,$C$4:C1045,"Purch")-SUMIFS($D$4:D1045,$B$4:B1045,B1045,$C$4:C1045,"Sale"),0)</f>
        <v>0</v>
      </c>
    </row>
    <row r="1046" spans="1:14" x14ac:dyDescent="0.2">
      <c r="A1046" s="152"/>
      <c r="B1046" s="132"/>
      <c r="C1046" s="132"/>
      <c r="D1046" s="277"/>
      <c r="E1046" s="132"/>
      <c r="F1046" s="170"/>
      <c r="G1046" s="150"/>
      <c r="H1046" s="152"/>
      <c r="I1046" s="204"/>
      <c r="J1046" s="285"/>
      <c r="K1046" s="251"/>
      <c r="L1046" s="133" t="str">
        <f>IF(AND(I1046&lt;&gt;"",ISERROR(IF(ISERROR(VLOOKUP(I1046*1,Summary!$C$8:$C$153,1,0)),VLOOKUP(I1046,Summary!$C$8:$C$153,1,0),VLOOKUP(I1046*1,Summary!$C$8:$C$153,1,0)))),"Add account Number to Summary","")</f>
        <v/>
      </c>
      <c r="M1046" s="131" t="str">
        <f t="shared" si="16"/>
        <v/>
      </c>
      <c r="N1046" s="287">
        <f>IF(C1046="Sale",SUMIFS($D$4:D1046,$B$4:B1046,B1046,$C$4:C1046,"")+SUMIFS($D$4:D1046,$B$4:B1046,B1046,$C$4:C1046,"Purch")-SUMIFS($D$4:D1046,$B$4:B1046,B1046,$C$4:C1046,"Sale"),0)</f>
        <v>0</v>
      </c>
    </row>
    <row r="1047" spans="1:14" x14ac:dyDescent="0.2">
      <c r="A1047" s="152"/>
      <c r="B1047" s="132"/>
      <c r="C1047" s="132"/>
      <c r="D1047" s="277"/>
      <c r="E1047" s="132"/>
      <c r="F1047" s="170"/>
      <c r="G1047" s="150"/>
      <c r="H1047" s="152"/>
      <c r="I1047" s="204"/>
      <c r="J1047" s="285"/>
      <c r="K1047" s="251"/>
      <c r="L1047" s="133" t="str">
        <f>IF(AND(I1047&lt;&gt;"",ISERROR(IF(ISERROR(VLOOKUP(I1047*1,Summary!$C$8:$C$153,1,0)),VLOOKUP(I1047,Summary!$C$8:$C$153,1,0),VLOOKUP(I1047*1,Summary!$C$8:$C$153,1,0)))),"Add account Number to Summary","")</f>
        <v/>
      </c>
      <c r="M1047" s="131" t="str">
        <f t="shared" si="16"/>
        <v/>
      </c>
      <c r="N1047" s="287">
        <f>IF(C1047="Sale",SUMIFS($D$4:D1047,$B$4:B1047,B1047,$C$4:C1047,"")+SUMIFS($D$4:D1047,$B$4:B1047,B1047,$C$4:C1047,"Purch")-SUMIFS($D$4:D1047,$B$4:B1047,B1047,$C$4:C1047,"Sale"),0)</f>
        <v>0</v>
      </c>
    </row>
    <row r="1048" spans="1:14" x14ac:dyDescent="0.2">
      <c r="A1048" s="152"/>
      <c r="B1048" s="132"/>
      <c r="C1048" s="132"/>
      <c r="D1048" s="277"/>
      <c r="E1048" s="132"/>
      <c r="F1048" s="170"/>
      <c r="G1048" s="150"/>
      <c r="H1048" s="152"/>
      <c r="I1048" s="204"/>
      <c r="J1048" s="285"/>
      <c r="K1048" s="251"/>
      <c r="L1048" s="133" t="str">
        <f>IF(AND(I1048&lt;&gt;"",ISERROR(IF(ISERROR(VLOOKUP(I1048*1,Summary!$C$8:$C$153,1,0)),VLOOKUP(I1048,Summary!$C$8:$C$153,1,0),VLOOKUP(I1048*1,Summary!$C$8:$C$153,1,0)))),"Add account Number to Summary","")</f>
        <v/>
      </c>
      <c r="M1048" s="131" t="str">
        <f t="shared" si="16"/>
        <v/>
      </c>
      <c r="N1048" s="287">
        <f>IF(C1048="Sale",SUMIFS($D$4:D1048,$B$4:B1048,B1048,$C$4:C1048,"")+SUMIFS($D$4:D1048,$B$4:B1048,B1048,$C$4:C1048,"Purch")-SUMIFS($D$4:D1048,$B$4:B1048,B1048,$C$4:C1048,"Sale"),0)</f>
        <v>0</v>
      </c>
    </row>
    <row r="1049" spans="1:14" x14ac:dyDescent="0.2">
      <c r="A1049" s="152"/>
      <c r="B1049" s="132"/>
      <c r="C1049" s="132"/>
      <c r="D1049" s="277"/>
      <c r="E1049" s="132"/>
      <c r="F1049" s="170"/>
      <c r="G1049" s="150"/>
      <c r="H1049" s="152"/>
      <c r="I1049" s="204"/>
      <c r="J1049" s="285"/>
      <c r="K1049" s="251"/>
      <c r="L1049" s="133" t="str">
        <f>IF(AND(I1049&lt;&gt;"",ISERROR(IF(ISERROR(VLOOKUP(I1049*1,Summary!$C$8:$C$153,1,0)),VLOOKUP(I1049,Summary!$C$8:$C$153,1,0),VLOOKUP(I1049*1,Summary!$C$8:$C$153,1,0)))),"Add account Number to Summary","")</f>
        <v/>
      </c>
      <c r="M1049" s="131" t="str">
        <f t="shared" si="16"/>
        <v/>
      </c>
      <c r="N1049" s="287">
        <f>IF(C1049="Sale",SUMIFS($D$4:D1049,$B$4:B1049,B1049,$C$4:C1049,"")+SUMIFS($D$4:D1049,$B$4:B1049,B1049,$C$4:C1049,"Purch")-SUMIFS($D$4:D1049,$B$4:B1049,B1049,$C$4:C1049,"Sale"),0)</f>
        <v>0</v>
      </c>
    </row>
    <row r="1050" spans="1:14" x14ac:dyDescent="0.2">
      <c r="A1050" s="152"/>
      <c r="B1050" s="132"/>
      <c r="C1050" s="132"/>
      <c r="D1050" s="277"/>
      <c r="E1050" s="132"/>
      <c r="F1050" s="170"/>
      <c r="G1050" s="150"/>
      <c r="H1050" s="152"/>
      <c r="I1050" s="204"/>
      <c r="J1050" s="285"/>
      <c r="K1050" s="251"/>
      <c r="L1050" s="133" t="str">
        <f>IF(AND(I1050&lt;&gt;"",ISERROR(IF(ISERROR(VLOOKUP(I1050*1,Summary!$C$8:$C$153,1,0)),VLOOKUP(I1050,Summary!$C$8:$C$153,1,0),VLOOKUP(I1050*1,Summary!$C$8:$C$153,1,0)))),"Add account Number to Summary","")</f>
        <v/>
      </c>
      <c r="M1050" s="131" t="str">
        <f t="shared" si="16"/>
        <v/>
      </c>
      <c r="N1050" s="287">
        <f>IF(C1050="Sale",SUMIFS($D$4:D1050,$B$4:B1050,B1050,$C$4:C1050,"")+SUMIFS($D$4:D1050,$B$4:B1050,B1050,$C$4:C1050,"Purch")-SUMIFS($D$4:D1050,$B$4:B1050,B1050,$C$4:C1050,"Sale"),0)</f>
        <v>0</v>
      </c>
    </row>
    <row r="1051" spans="1:14" x14ac:dyDescent="0.2">
      <c r="A1051" s="152"/>
      <c r="B1051" s="132"/>
      <c r="C1051" s="132"/>
      <c r="D1051" s="277"/>
      <c r="E1051" s="132"/>
      <c r="F1051" s="170"/>
      <c r="G1051" s="150"/>
      <c r="H1051" s="152"/>
      <c r="I1051" s="204"/>
      <c r="J1051" s="285"/>
      <c r="K1051" s="251"/>
      <c r="L1051" s="133" t="str">
        <f>IF(AND(I1051&lt;&gt;"",ISERROR(IF(ISERROR(VLOOKUP(I1051*1,Summary!$C$8:$C$153,1,0)),VLOOKUP(I1051,Summary!$C$8:$C$153,1,0),VLOOKUP(I1051*1,Summary!$C$8:$C$153,1,0)))),"Add account Number to Summary","")</f>
        <v/>
      </c>
      <c r="M1051" s="131" t="str">
        <f t="shared" si="16"/>
        <v/>
      </c>
      <c r="N1051" s="287">
        <f>IF(C1051="Sale",SUMIFS($D$4:D1051,$B$4:B1051,B1051,$C$4:C1051,"")+SUMIFS($D$4:D1051,$B$4:B1051,B1051,$C$4:C1051,"Purch")-SUMIFS($D$4:D1051,$B$4:B1051,B1051,$C$4:C1051,"Sale"),0)</f>
        <v>0</v>
      </c>
    </row>
    <row r="1052" spans="1:14" x14ac:dyDescent="0.2">
      <c r="A1052" s="152"/>
      <c r="B1052" s="132"/>
      <c r="C1052" s="132"/>
      <c r="D1052" s="277"/>
      <c r="E1052" s="132"/>
      <c r="F1052" s="170"/>
      <c r="G1052" s="150"/>
      <c r="H1052" s="152"/>
      <c r="I1052" s="204"/>
      <c r="J1052" s="285"/>
      <c r="K1052" s="251"/>
      <c r="L1052" s="133" t="str">
        <f>IF(AND(I1052&lt;&gt;"",ISERROR(IF(ISERROR(VLOOKUP(I1052*1,Summary!$C$8:$C$153,1,0)),VLOOKUP(I1052,Summary!$C$8:$C$153,1,0),VLOOKUP(I1052*1,Summary!$C$8:$C$153,1,0)))),"Add account Number to Summary","")</f>
        <v/>
      </c>
      <c r="M1052" s="131" t="str">
        <f t="shared" si="16"/>
        <v/>
      </c>
      <c r="N1052" s="287">
        <f>IF(C1052="Sale",SUMIFS($D$4:D1052,$B$4:B1052,B1052,$C$4:C1052,"")+SUMIFS($D$4:D1052,$B$4:B1052,B1052,$C$4:C1052,"Purch")-SUMIFS($D$4:D1052,$B$4:B1052,B1052,$C$4:C1052,"Sale"),0)</f>
        <v>0</v>
      </c>
    </row>
    <row r="1053" spans="1:14" x14ac:dyDescent="0.2">
      <c r="A1053" s="152"/>
      <c r="B1053" s="132"/>
      <c r="C1053" s="132"/>
      <c r="D1053" s="277"/>
      <c r="E1053" s="132"/>
      <c r="F1053" s="170"/>
      <c r="G1053" s="150"/>
      <c r="H1053" s="152"/>
      <c r="I1053" s="204"/>
      <c r="J1053" s="285"/>
      <c r="K1053" s="251"/>
      <c r="L1053" s="133" t="str">
        <f>IF(AND(I1053&lt;&gt;"",ISERROR(IF(ISERROR(VLOOKUP(I1053*1,Summary!$C$8:$C$153,1,0)),VLOOKUP(I1053,Summary!$C$8:$C$153,1,0),VLOOKUP(I1053*1,Summary!$C$8:$C$153,1,0)))),"Add account Number to Summary","")</f>
        <v/>
      </c>
      <c r="M1053" s="131" t="str">
        <f t="shared" si="16"/>
        <v/>
      </c>
      <c r="N1053" s="287">
        <f>IF(C1053="Sale",SUMIFS($D$4:D1053,$B$4:B1053,B1053,$C$4:C1053,"")+SUMIFS($D$4:D1053,$B$4:B1053,B1053,$C$4:C1053,"Purch")-SUMIFS($D$4:D1053,$B$4:B1053,B1053,$C$4:C1053,"Sale"),0)</f>
        <v>0</v>
      </c>
    </row>
    <row r="1054" spans="1:14" x14ac:dyDescent="0.2">
      <c r="A1054" s="152"/>
      <c r="B1054" s="132"/>
      <c r="C1054" s="132"/>
      <c r="D1054" s="277"/>
      <c r="E1054" s="132"/>
      <c r="F1054" s="170"/>
      <c r="G1054" s="150"/>
      <c r="H1054" s="152"/>
      <c r="I1054" s="204"/>
      <c r="J1054" s="285"/>
      <c r="K1054" s="251"/>
      <c r="L1054" s="133" t="str">
        <f>IF(AND(I1054&lt;&gt;"",ISERROR(IF(ISERROR(VLOOKUP(I1054*1,Summary!$C$8:$C$153,1,0)),VLOOKUP(I1054,Summary!$C$8:$C$153,1,0),VLOOKUP(I1054*1,Summary!$C$8:$C$153,1,0)))),"Add account Number to Summary","")</f>
        <v/>
      </c>
      <c r="M1054" s="131" t="str">
        <f t="shared" si="16"/>
        <v/>
      </c>
      <c r="N1054" s="287">
        <f>IF(C1054="Sale",SUMIFS($D$4:D1054,$B$4:B1054,B1054,$C$4:C1054,"")+SUMIFS($D$4:D1054,$B$4:B1054,B1054,$C$4:C1054,"Purch")-SUMIFS($D$4:D1054,$B$4:B1054,B1054,$C$4:C1054,"Sale"),0)</f>
        <v>0</v>
      </c>
    </row>
    <row r="1055" spans="1:14" x14ac:dyDescent="0.2">
      <c r="A1055" s="152"/>
      <c r="B1055" s="132"/>
      <c r="C1055" s="132"/>
      <c r="D1055" s="277"/>
      <c r="E1055" s="132"/>
      <c r="F1055" s="170"/>
      <c r="G1055" s="150"/>
      <c r="H1055" s="152"/>
      <c r="I1055" s="204"/>
      <c r="J1055" s="285"/>
      <c r="K1055" s="251"/>
      <c r="L1055" s="133" t="str">
        <f>IF(AND(I1055&lt;&gt;"",ISERROR(IF(ISERROR(VLOOKUP(I1055*1,Summary!$C$8:$C$153,1,0)),VLOOKUP(I1055,Summary!$C$8:$C$153,1,0),VLOOKUP(I1055*1,Summary!$C$8:$C$153,1,0)))),"Add account Number to Summary","")</f>
        <v/>
      </c>
      <c r="M1055" s="131" t="str">
        <f t="shared" si="16"/>
        <v/>
      </c>
      <c r="N1055" s="287">
        <f>IF(C1055="Sale",SUMIFS($D$4:D1055,$B$4:B1055,B1055,$C$4:C1055,"")+SUMIFS($D$4:D1055,$B$4:B1055,B1055,$C$4:C1055,"Purch")-SUMIFS($D$4:D1055,$B$4:B1055,B1055,$C$4:C1055,"Sale"),0)</f>
        <v>0</v>
      </c>
    </row>
    <row r="1056" spans="1:14" x14ac:dyDescent="0.2">
      <c r="A1056" s="152"/>
      <c r="B1056" s="132"/>
      <c r="C1056" s="132"/>
      <c r="D1056" s="277"/>
      <c r="E1056" s="132"/>
      <c r="F1056" s="170"/>
      <c r="G1056" s="150"/>
      <c r="H1056" s="152"/>
      <c r="I1056" s="204"/>
      <c r="J1056" s="285"/>
      <c r="K1056" s="251"/>
      <c r="L1056" s="133" t="str">
        <f>IF(AND(I1056&lt;&gt;"",ISERROR(IF(ISERROR(VLOOKUP(I1056*1,Summary!$C$8:$C$153,1,0)),VLOOKUP(I1056,Summary!$C$8:$C$153,1,0),VLOOKUP(I1056*1,Summary!$C$8:$C$153,1,0)))),"Add account Number to Summary","")</f>
        <v/>
      </c>
      <c r="M1056" s="131" t="str">
        <f t="shared" si="16"/>
        <v/>
      </c>
      <c r="N1056" s="287">
        <f>IF(C1056="Sale",SUMIFS($D$4:D1056,$B$4:B1056,B1056,$C$4:C1056,"")+SUMIFS($D$4:D1056,$B$4:B1056,B1056,$C$4:C1056,"Purch")-SUMIFS($D$4:D1056,$B$4:B1056,B1056,$C$4:C1056,"Sale"),0)</f>
        <v>0</v>
      </c>
    </row>
    <row r="1057" spans="1:14" x14ac:dyDescent="0.2">
      <c r="A1057" s="152"/>
      <c r="B1057" s="132"/>
      <c r="C1057" s="132"/>
      <c r="D1057" s="277"/>
      <c r="E1057" s="132"/>
      <c r="F1057" s="170"/>
      <c r="G1057" s="150"/>
      <c r="H1057" s="152"/>
      <c r="I1057" s="204"/>
      <c r="J1057" s="285"/>
      <c r="K1057" s="251"/>
      <c r="L1057" s="133" t="str">
        <f>IF(AND(I1057&lt;&gt;"",ISERROR(IF(ISERROR(VLOOKUP(I1057*1,Summary!$C$8:$C$153,1,0)),VLOOKUP(I1057,Summary!$C$8:$C$153,1,0),VLOOKUP(I1057*1,Summary!$C$8:$C$153,1,0)))),"Add account Number to Summary","")</f>
        <v/>
      </c>
      <c r="M1057" s="131" t="str">
        <f t="shared" si="16"/>
        <v/>
      </c>
      <c r="N1057" s="287">
        <f>IF(C1057="Sale",SUMIFS($D$4:D1057,$B$4:B1057,B1057,$C$4:C1057,"")+SUMIFS($D$4:D1057,$B$4:B1057,B1057,$C$4:C1057,"Purch")-SUMIFS($D$4:D1057,$B$4:B1057,B1057,$C$4:C1057,"Sale"),0)</f>
        <v>0</v>
      </c>
    </row>
    <row r="1058" spans="1:14" x14ac:dyDescent="0.2">
      <c r="A1058" s="152"/>
      <c r="B1058" s="132"/>
      <c r="C1058" s="132"/>
      <c r="D1058" s="277"/>
      <c r="E1058" s="132"/>
      <c r="F1058" s="170"/>
      <c r="G1058" s="150"/>
      <c r="H1058" s="152"/>
      <c r="I1058" s="204"/>
      <c r="J1058" s="285"/>
      <c r="K1058" s="251"/>
      <c r="L1058" s="133" t="str">
        <f>IF(AND(I1058&lt;&gt;"",ISERROR(IF(ISERROR(VLOOKUP(I1058*1,Summary!$C$8:$C$153,1,0)),VLOOKUP(I1058,Summary!$C$8:$C$153,1,0),VLOOKUP(I1058*1,Summary!$C$8:$C$153,1,0)))),"Add account Number to Summary","")</f>
        <v/>
      </c>
      <c r="M1058" s="131" t="str">
        <f t="shared" si="16"/>
        <v/>
      </c>
      <c r="N1058" s="287">
        <f>IF(C1058="Sale",SUMIFS($D$4:D1058,$B$4:B1058,B1058,$C$4:C1058,"")+SUMIFS($D$4:D1058,$B$4:B1058,B1058,$C$4:C1058,"Purch")-SUMIFS($D$4:D1058,$B$4:B1058,B1058,$C$4:C1058,"Sale"),0)</f>
        <v>0</v>
      </c>
    </row>
    <row r="1059" spans="1:14" x14ac:dyDescent="0.2">
      <c r="A1059" s="152"/>
      <c r="B1059" s="132"/>
      <c r="C1059" s="132"/>
      <c r="D1059" s="277"/>
      <c r="E1059" s="132"/>
      <c r="F1059" s="170"/>
      <c r="G1059" s="150"/>
      <c r="H1059" s="152"/>
      <c r="I1059" s="204"/>
      <c r="J1059" s="285"/>
      <c r="K1059" s="251"/>
      <c r="L1059" s="133" t="str">
        <f>IF(AND(I1059&lt;&gt;"",ISERROR(IF(ISERROR(VLOOKUP(I1059*1,Summary!$C$8:$C$153,1,0)),VLOOKUP(I1059,Summary!$C$8:$C$153,1,0),VLOOKUP(I1059*1,Summary!$C$8:$C$153,1,0)))),"Add account Number to Summary","")</f>
        <v/>
      </c>
      <c r="M1059" s="131" t="str">
        <f t="shared" si="16"/>
        <v/>
      </c>
      <c r="N1059" s="287">
        <f>IF(C1059="Sale",SUMIFS($D$4:D1059,$B$4:B1059,B1059,$C$4:C1059,"")+SUMIFS($D$4:D1059,$B$4:B1059,B1059,$C$4:C1059,"Purch")-SUMIFS($D$4:D1059,$B$4:B1059,B1059,$C$4:C1059,"Sale"),0)</f>
        <v>0</v>
      </c>
    </row>
    <row r="1060" spans="1:14" x14ac:dyDescent="0.2">
      <c r="A1060" s="152"/>
      <c r="B1060" s="132"/>
      <c r="C1060" s="132"/>
      <c r="D1060" s="277"/>
      <c r="E1060" s="132"/>
      <c r="F1060" s="170"/>
      <c r="G1060" s="150"/>
      <c r="H1060" s="152"/>
      <c r="I1060" s="204"/>
      <c r="J1060" s="285"/>
      <c r="K1060" s="251"/>
      <c r="L1060" s="133" t="str">
        <f>IF(AND(I1060&lt;&gt;"",ISERROR(IF(ISERROR(VLOOKUP(I1060*1,Summary!$C$8:$C$153,1,0)),VLOOKUP(I1060,Summary!$C$8:$C$153,1,0),VLOOKUP(I1060*1,Summary!$C$8:$C$153,1,0)))),"Add account Number to Summary","")</f>
        <v/>
      </c>
      <c r="M1060" s="131" t="str">
        <f t="shared" si="16"/>
        <v/>
      </c>
      <c r="N1060" s="287">
        <f>IF(C1060="Sale",SUMIFS($D$4:D1060,$B$4:B1060,B1060,$C$4:C1060,"")+SUMIFS($D$4:D1060,$B$4:B1060,B1060,$C$4:C1060,"Purch")-SUMIFS($D$4:D1060,$B$4:B1060,B1060,$C$4:C1060,"Sale"),0)</f>
        <v>0</v>
      </c>
    </row>
    <row r="1061" spans="1:14" x14ac:dyDescent="0.2">
      <c r="A1061" s="152"/>
      <c r="B1061" s="132"/>
      <c r="C1061" s="132"/>
      <c r="D1061" s="277"/>
      <c r="E1061" s="132"/>
      <c r="F1061" s="170"/>
      <c r="G1061" s="150"/>
      <c r="H1061" s="152"/>
      <c r="I1061" s="204"/>
      <c r="J1061" s="285"/>
      <c r="K1061" s="251"/>
      <c r="L1061" s="133" t="str">
        <f>IF(AND(I1061&lt;&gt;"",ISERROR(IF(ISERROR(VLOOKUP(I1061*1,Summary!$C$8:$C$153,1,0)),VLOOKUP(I1061,Summary!$C$8:$C$153,1,0),VLOOKUP(I1061*1,Summary!$C$8:$C$153,1,0)))),"Add account Number to Summary","")</f>
        <v/>
      </c>
      <c r="M1061" s="131" t="str">
        <f t="shared" si="16"/>
        <v/>
      </c>
      <c r="N1061" s="287">
        <f>IF(C1061="Sale",SUMIFS($D$4:D1061,$B$4:B1061,B1061,$C$4:C1061,"")+SUMIFS($D$4:D1061,$B$4:B1061,B1061,$C$4:C1061,"Purch")-SUMIFS($D$4:D1061,$B$4:B1061,B1061,$C$4:C1061,"Sale"),0)</f>
        <v>0</v>
      </c>
    </row>
    <row r="1062" spans="1:14" x14ac:dyDescent="0.2">
      <c r="A1062" s="152"/>
      <c r="B1062" s="132"/>
      <c r="C1062" s="132"/>
      <c r="D1062" s="277"/>
      <c r="E1062" s="132"/>
      <c r="F1062" s="170"/>
      <c r="G1062" s="150"/>
      <c r="H1062" s="152"/>
      <c r="I1062" s="204"/>
      <c r="J1062" s="285"/>
      <c r="K1062" s="251"/>
      <c r="L1062" s="133" t="str">
        <f>IF(AND(I1062&lt;&gt;"",ISERROR(IF(ISERROR(VLOOKUP(I1062*1,Summary!$C$8:$C$153,1,0)),VLOOKUP(I1062,Summary!$C$8:$C$153,1,0),VLOOKUP(I1062*1,Summary!$C$8:$C$153,1,0)))),"Add account Number to Summary","")</f>
        <v/>
      </c>
      <c r="M1062" s="131" t="str">
        <f t="shared" si="16"/>
        <v/>
      </c>
      <c r="N1062" s="287">
        <f>IF(C1062="Sale",SUMIFS($D$4:D1062,$B$4:B1062,B1062,$C$4:C1062,"")+SUMIFS($D$4:D1062,$B$4:B1062,B1062,$C$4:C1062,"Purch")-SUMIFS($D$4:D1062,$B$4:B1062,B1062,$C$4:C1062,"Sale"),0)</f>
        <v>0</v>
      </c>
    </row>
    <row r="1063" spans="1:14" x14ac:dyDescent="0.2">
      <c r="A1063" s="152"/>
      <c r="B1063" s="132"/>
      <c r="C1063" s="132"/>
      <c r="D1063" s="277"/>
      <c r="E1063" s="132"/>
      <c r="F1063" s="170"/>
      <c r="G1063" s="150"/>
      <c r="H1063" s="152"/>
      <c r="I1063" s="204"/>
      <c r="J1063" s="285"/>
      <c r="K1063" s="251"/>
      <c r="L1063" s="133" t="str">
        <f>IF(AND(I1063&lt;&gt;"",ISERROR(IF(ISERROR(VLOOKUP(I1063*1,Summary!$C$8:$C$153,1,0)),VLOOKUP(I1063,Summary!$C$8:$C$153,1,0),VLOOKUP(I1063*1,Summary!$C$8:$C$153,1,0)))),"Add account Number to Summary","")</f>
        <v/>
      </c>
      <c r="M1063" s="131" t="str">
        <f t="shared" si="16"/>
        <v/>
      </c>
      <c r="N1063" s="287">
        <f>IF(C1063="Sale",SUMIFS($D$4:D1063,$B$4:B1063,B1063,$C$4:C1063,"")+SUMIFS($D$4:D1063,$B$4:B1063,B1063,$C$4:C1063,"Purch")-SUMIFS($D$4:D1063,$B$4:B1063,B1063,$C$4:C1063,"Sale"),0)</f>
        <v>0</v>
      </c>
    </row>
    <row r="1064" spans="1:14" x14ac:dyDescent="0.2">
      <c r="A1064" s="152"/>
      <c r="B1064" s="132"/>
      <c r="C1064" s="132"/>
      <c r="D1064" s="277"/>
      <c r="E1064" s="132"/>
      <c r="F1064" s="170"/>
      <c r="G1064" s="150"/>
      <c r="H1064" s="152"/>
      <c r="I1064" s="204"/>
      <c r="J1064" s="285"/>
      <c r="K1064" s="251"/>
      <c r="L1064" s="133" t="str">
        <f>IF(AND(I1064&lt;&gt;"",ISERROR(IF(ISERROR(VLOOKUP(I1064*1,Summary!$C$8:$C$153,1,0)),VLOOKUP(I1064,Summary!$C$8:$C$153,1,0),VLOOKUP(I1064*1,Summary!$C$8:$C$153,1,0)))),"Add account Number to Summary","")</f>
        <v/>
      </c>
      <c r="M1064" s="131" t="str">
        <f t="shared" si="16"/>
        <v/>
      </c>
      <c r="N1064" s="287">
        <f>IF(C1064="Sale",SUMIFS($D$4:D1064,$B$4:B1064,B1064,$C$4:C1064,"")+SUMIFS($D$4:D1064,$B$4:B1064,B1064,$C$4:C1064,"Purch")-SUMIFS($D$4:D1064,$B$4:B1064,B1064,$C$4:C1064,"Sale"),0)</f>
        <v>0</v>
      </c>
    </row>
    <row r="1065" spans="1:14" x14ac:dyDescent="0.2">
      <c r="A1065" s="152"/>
      <c r="B1065" s="132"/>
      <c r="C1065" s="132"/>
      <c r="D1065" s="277"/>
      <c r="E1065" s="132"/>
      <c r="F1065" s="170"/>
      <c r="G1065" s="150"/>
      <c r="H1065" s="152"/>
      <c r="I1065" s="204"/>
      <c r="J1065" s="285"/>
      <c r="K1065" s="251"/>
      <c r="L1065" s="133" t="str">
        <f>IF(AND(I1065&lt;&gt;"",ISERROR(IF(ISERROR(VLOOKUP(I1065*1,Summary!$C$8:$C$153,1,0)),VLOOKUP(I1065,Summary!$C$8:$C$153,1,0),VLOOKUP(I1065*1,Summary!$C$8:$C$153,1,0)))),"Add account Number to Summary","")</f>
        <v/>
      </c>
      <c r="M1065" s="131" t="str">
        <f t="shared" si="16"/>
        <v/>
      </c>
      <c r="N1065" s="287">
        <f>IF(C1065="Sale",SUMIFS($D$4:D1065,$B$4:B1065,B1065,$C$4:C1065,"")+SUMIFS($D$4:D1065,$B$4:B1065,B1065,$C$4:C1065,"Purch")-SUMIFS($D$4:D1065,$B$4:B1065,B1065,$C$4:C1065,"Sale"),0)</f>
        <v>0</v>
      </c>
    </row>
    <row r="1066" spans="1:14" x14ac:dyDescent="0.2">
      <c r="A1066" s="152"/>
      <c r="B1066" s="132"/>
      <c r="C1066" s="132"/>
      <c r="D1066" s="277"/>
      <c r="E1066" s="132"/>
      <c r="F1066" s="170"/>
      <c r="G1066" s="150"/>
      <c r="H1066" s="152"/>
      <c r="I1066" s="204"/>
      <c r="J1066" s="285"/>
      <c r="K1066" s="251"/>
      <c r="L1066" s="133" t="str">
        <f>IF(AND(I1066&lt;&gt;"",ISERROR(IF(ISERROR(VLOOKUP(I1066*1,Summary!$C$8:$C$153,1,0)),VLOOKUP(I1066,Summary!$C$8:$C$153,1,0),VLOOKUP(I1066*1,Summary!$C$8:$C$153,1,0)))),"Add account Number to Summary","")</f>
        <v/>
      </c>
      <c r="M1066" s="131" t="str">
        <f t="shared" si="16"/>
        <v/>
      </c>
      <c r="N1066" s="287">
        <f>IF(C1066="Sale",SUMIFS($D$4:D1066,$B$4:B1066,B1066,$C$4:C1066,"")+SUMIFS($D$4:D1066,$B$4:B1066,B1066,$C$4:C1066,"Purch")-SUMIFS($D$4:D1066,$B$4:B1066,B1066,$C$4:C1066,"Sale"),0)</f>
        <v>0</v>
      </c>
    </row>
    <row r="1067" spans="1:14" x14ac:dyDescent="0.2">
      <c r="A1067" s="152"/>
      <c r="B1067" s="132"/>
      <c r="C1067" s="132"/>
      <c r="D1067" s="277"/>
      <c r="E1067" s="132"/>
      <c r="F1067" s="170"/>
      <c r="G1067" s="150"/>
      <c r="H1067" s="152"/>
      <c r="I1067" s="204"/>
      <c r="J1067" s="285"/>
      <c r="K1067" s="251"/>
      <c r="L1067" s="133" t="str">
        <f>IF(AND(I1067&lt;&gt;"",ISERROR(IF(ISERROR(VLOOKUP(I1067*1,Summary!$C$8:$C$153,1,0)),VLOOKUP(I1067,Summary!$C$8:$C$153,1,0),VLOOKUP(I1067*1,Summary!$C$8:$C$153,1,0)))),"Add account Number to Summary","")</f>
        <v/>
      </c>
      <c r="M1067" s="131" t="str">
        <f t="shared" si="16"/>
        <v/>
      </c>
      <c r="N1067" s="287">
        <f>IF(C1067="Sale",SUMIFS($D$4:D1067,$B$4:B1067,B1067,$C$4:C1067,"")+SUMIFS($D$4:D1067,$B$4:B1067,B1067,$C$4:C1067,"Purch")-SUMIFS($D$4:D1067,$B$4:B1067,B1067,$C$4:C1067,"Sale"),0)</f>
        <v>0</v>
      </c>
    </row>
    <row r="1068" spans="1:14" x14ac:dyDescent="0.2">
      <c r="A1068" s="152"/>
      <c r="B1068" s="132"/>
      <c r="C1068" s="132"/>
      <c r="D1068" s="277"/>
      <c r="E1068" s="132"/>
      <c r="F1068" s="170"/>
      <c r="G1068" s="150"/>
      <c r="H1068" s="152"/>
      <c r="I1068" s="204"/>
      <c r="J1068" s="285"/>
      <c r="K1068" s="251"/>
      <c r="L1068" s="133" t="str">
        <f>IF(AND(I1068&lt;&gt;"",ISERROR(IF(ISERROR(VLOOKUP(I1068*1,Summary!$C$8:$C$153,1,0)),VLOOKUP(I1068,Summary!$C$8:$C$153,1,0),VLOOKUP(I1068*1,Summary!$C$8:$C$153,1,0)))),"Add account Number to Summary","")</f>
        <v/>
      </c>
      <c r="M1068" s="131" t="str">
        <f t="shared" ref="M1068:M1131" si="17">IF(K1068="Yes",IF(YEAR(A1068)&lt;&gt;YEAR(date),"Check Date",""),"")</f>
        <v/>
      </c>
      <c r="N1068" s="287">
        <f>IF(C1068="Sale",SUMIFS($D$4:D1068,$B$4:B1068,B1068,$C$4:C1068,"")+SUMIFS($D$4:D1068,$B$4:B1068,B1068,$C$4:C1068,"Purch")-SUMIFS($D$4:D1068,$B$4:B1068,B1068,$C$4:C1068,"Sale"),0)</f>
        <v>0</v>
      </c>
    </row>
    <row r="1069" spans="1:14" x14ac:dyDescent="0.2">
      <c r="A1069" s="152"/>
      <c r="B1069" s="132"/>
      <c r="C1069" s="132"/>
      <c r="D1069" s="277"/>
      <c r="E1069" s="132"/>
      <c r="F1069" s="170"/>
      <c r="G1069" s="150"/>
      <c r="H1069" s="152"/>
      <c r="I1069" s="204"/>
      <c r="J1069" s="285"/>
      <c r="K1069" s="251"/>
      <c r="L1069" s="133" t="str">
        <f>IF(AND(I1069&lt;&gt;"",ISERROR(IF(ISERROR(VLOOKUP(I1069*1,Summary!$C$8:$C$153,1,0)),VLOOKUP(I1069,Summary!$C$8:$C$153,1,0),VLOOKUP(I1069*1,Summary!$C$8:$C$153,1,0)))),"Add account Number to Summary","")</f>
        <v/>
      </c>
      <c r="M1069" s="131" t="str">
        <f t="shared" si="17"/>
        <v/>
      </c>
      <c r="N1069" s="287">
        <f>IF(C1069="Sale",SUMIFS($D$4:D1069,$B$4:B1069,B1069,$C$4:C1069,"")+SUMIFS($D$4:D1069,$B$4:B1069,B1069,$C$4:C1069,"Purch")-SUMIFS($D$4:D1069,$B$4:B1069,B1069,$C$4:C1069,"Sale"),0)</f>
        <v>0</v>
      </c>
    </row>
    <row r="1070" spans="1:14" x14ac:dyDescent="0.2">
      <c r="A1070" s="152"/>
      <c r="B1070" s="132"/>
      <c r="C1070" s="132"/>
      <c r="D1070" s="277"/>
      <c r="E1070" s="132"/>
      <c r="F1070" s="170"/>
      <c r="G1070" s="150"/>
      <c r="H1070" s="152"/>
      <c r="I1070" s="204"/>
      <c r="J1070" s="285"/>
      <c r="K1070" s="251"/>
      <c r="L1070" s="133" t="str">
        <f>IF(AND(I1070&lt;&gt;"",ISERROR(IF(ISERROR(VLOOKUP(I1070*1,Summary!$C$8:$C$153,1,0)),VLOOKUP(I1070,Summary!$C$8:$C$153,1,0),VLOOKUP(I1070*1,Summary!$C$8:$C$153,1,0)))),"Add account Number to Summary","")</f>
        <v/>
      </c>
      <c r="M1070" s="131" t="str">
        <f t="shared" si="17"/>
        <v/>
      </c>
      <c r="N1070" s="287">
        <f>IF(C1070="Sale",SUMIFS($D$4:D1070,$B$4:B1070,B1070,$C$4:C1070,"")+SUMIFS($D$4:D1070,$B$4:B1070,B1070,$C$4:C1070,"Purch")-SUMIFS($D$4:D1070,$B$4:B1070,B1070,$C$4:C1070,"Sale"),0)</f>
        <v>0</v>
      </c>
    </row>
    <row r="1071" spans="1:14" x14ac:dyDescent="0.2">
      <c r="A1071" s="152"/>
      <c r="B1071" s="132"/>
      <c r="C1071" s="132"/>
      <c r="D1071" s="277"/>
      <c r="E1071" s="132"/>
      <c r="F1071" s="170"/>
      <c r="G1071" s="150"/>
      <c r="H1071" s="152"/>
      <c r="I1071" s="204"/>
      <c r="J1071" s="285"/>
      <c r="K1071" s="251"/>
      <c r="L1071" s="133" t="str">
        <f>IF(AND(I1071&lt;&gt;"",ISERROR(IF(ISERROR(VLOOKUP(I1071*1,Summary!$C$8:$C$153,1,0)),VLOOKUP(I1071,Summary!$C$8:$C$153,1,0),VLOOKUP(I1071*1,Summary!$C$8:$C$153,1,0)))),"Add account Number to Summary","")</f>
        <v/>
      </c>
      <c r="M1071" s="131" t="str">
        <f t="shared" si="17"/>
        <v/>
      </c>
      <c r="N1071" s="287">
        <f>IF(C1071="Sale",SUMIFS($D$4:D1071,$B$4:B1071,B1071,$C$4:C1071,"")+SUMIFS($D$4:D1071,$B$4:B1071,B1071,$C$4:C1071,"Purch")-SUMIFS($D$4:D1071,$B$4:B1071,B1071,$C$4:C1071,"Sale"),0)</f>
        <v>0</v>
      </c>
    </row>
    <row r="1072" spans="1:14" x14ac:dyDescent="0.2">
      <c r="A1072" s="152"/>
      <c r="B1072" s="132"/>
      <c r="C1072" s="132"/>
      <c r="D1072" s="277"/>
      <c r="E1072" s="132"/>
      <c r="F1072" s="170"/>
      <c r="G1072" s="150"/>
      <c r="H1072" s="152"/>
      <c r="I1072" s="204"/>
      <c r="J1072" s="285"/>
      <c r="K1072" s="251"/>
      <c r="L1072" s="133" t="str">
        <f>IF(AND(I1072&lt;&gt;"",ISERROR(IF(ISERROR(VLOOKUP(I1072*1,Summary!$C$8:$C$153,1,0)),VLOOKUP(I1072,Summary!$C$8:$C$153,1,0),VLOOKUP(I1072*1,Summary!$C$8:$C$153,1,0)))),"Add account Number to Summary","")</f>
        <v/>
      </c>
      <c r="M1072" s="131" t="str">
        <f t="shared" si="17"/>
        <v/>
      </c>
      <c r="N1072" s="287">
        <f>IF(C1072="Sale",SUMIFS($D$4:D1072,$B$4:B1072,B1072,$C$4:C1072,"")+SUMIFS($D$4:D1072,$B$4:B1072,B1072,$C$4:C1072,"Purch")-SUMIFS($D$4:D1072,$B$4:B1072,B1072,$C$4:C1072,"Sale"),0)</f>
        <v>0</v>
      </c>
    </row>
    <row r="1073" spans="1:14" x14ac:dyDescent="0.2">
      <c r="A1073" s="152"/>
      <c r="B1073" s="132"/>
      <c r="C1073" s="132"/>
      <c r="D1073" s="277"/>
      <c r="E1073" s="132"/>
      <c r="F1073" s="170"/>
      <c r="G1073" s="150"/>
      <c r="H1073" s="152"/>
      <c r="I1073" s="204"/>
      <c r="J1073" s="285"/>
      <c r="K1073" s="251"/>
      <c r="L1073" s="133" t="str">
        <f>IF(AND(I1073&lt;&gt;"",ISERROR(IF(ISERROR(VLOOKUP(I1073*1,Summary!$C$8:$C$153,1,0)),VLOOKUP(I1073,Summary!$C$8:$C$153,1,0),VLOOKUP(I1073*1,Summary!$C$8:$C$153,1,0)))),"Add account Number to Summary","")</f>
        <v/>
      </c>
      <c r="M1073" s="131" t="str">
        <f t="shared" si="17"/>
        <v/>
      </c>
      <c r="N1073" s="287">
        <f>IF(C1073="Sale",SUMIFS($D$4:D1073,$B$4:B1073,B1073,$C$4:C1073,"")+SUMIFS($D$4:D1073,$B$4:B1073,B1073,$C$4:C1073,"Purch")-SUMIFS($D$4:D1073,$B$4:B1073,B1073,$C$4:C1073,"Sale"),0)</f>
        <v>0</v>
      </c>
    </row>
    <row r="1074" spans="1:14" x14ac:dyDescent="0.2">
      <c r="A1074" s="152"/>
      <c r="B1074" s="132"/>
      <c r="C1074" s="132"/>
      <c r="D1074" s="277"/>
      <c r="E1074" s="132"/>
      <c r="F1074" s="170"/>
      <c r="G1074" s="150"/>
      <c r="H1074" s="152"/>
      <c r="I1074" s="204"/>
      <c r="J1074" s="285"/>
      <c r="K1074" s="251"/>
      <c r="L1074" s="133" t="str">
        <f>IF(AND(I1074&lt;&gt;"",ISERROR(IF(ISERROR(VLOOKUP(I1074*1,Summary!$C$8:$C$153,1,0)),VLOOKUP(I1074,Summary!$C$8:$C$153,1,0),VLOOKUP(I1074*1,Summary!$C$8:$C$153,1,0)))),"Add account Number to Summary","")</f>
        <v/>
      </c>
      <c r="M1074" s="131" t="str">
        <f t="shared" si="17"/>
        <v/>
      </c>
      <c r="N1074" s="287">
        <f>IF(C1074="Sale",SUMIFS($D$4:D1074,$B$4:B1074,B1074,$C$4:C1074,"")+SUMIFS($D$4:D1074,$B$4:B1074,B1074,$C$4:C1074,"Purch")-SUMIFS($D$4:D1074,$B$4:B1074,B1074,$C$4:C1074,"Sale"),0)</f>
        <v>0</v>
      </c>
    </row>
    <row r="1075" spans="1:14" x14ac:dyDescent="0.2">
      <c r="A1075" s="152"/>
      <c r="B1075" s="132"/>
      <c r="C1075" s="132"/>
      <c r="D1075" s="277"/>
      <c r="E1075" s="132"/>
      <c r="F1075" s="170"/>
      <c r="G1075" s="150"/>
      <c r="H1075" s="152"/>
      <c r="I1075" s="204"/>
      <c r="J1075" s="285"/>
      <c r="K1075" s="251"/>
      <c r="L1075" s="133" t="str">
        <f>IF(AND(I1075&lt;&gt;"",ISERROR(IF(ISERROR(VLOOKUP(I1075*1,Summary!$C$8:$C$153,1,0)),VLOOKUP(I1075,Summary!$C$8:$C$153,1,0),VLOOKUP(I1075*1,Summary!$C$8:$C$153,1,0)))),"Add account Number to Summary","")</f>
        <v/>
      </c>
      <c r="M1075" s="131" t="str">
        <f t="shared" si="17"/>
        <v/>
      </c>
      <c r="N1075" s="287">
        <f>IF(C1075="Sale",SUMIFS($D$4:D1075,$B$4:B1075,B1075,$C$4:C1075,"")+SUMIFS($D$4:D1075,$B$4:B1075,B1075,$C$4:C1075,"Purch")-SUMIFS($D$4:D1075,$B$4:B1075,B1075,$C$4:C1075,"Sale"),0)</f>
        <v>0</v>
      </c>
    </row>
    <row r="1076" spans="1:14" x14ac:dyDescent="0.2">
      <c r="A1076" s="152"/>
      <c r="B1076" s="132"/>
      <c r="C1076" s="132"/>
      <c r="D1076" s="277"/>
      <c r="E1076" s="132"/>
      <c r="F1076" s="170"/>
      <c r="G1076" s="150"/>
      <c r="H1076" s="152"/>
      <c r="I1076" s="204"/>
      <c r="J1076" s="285"/>
      <c r="K1076" s="251"/>
      <c r="L1076" s="133" t="str">
        <f>IF(AND(I1076&lt;&gt;"",ISERROR(IF(ISERROR(VLOOKUP(I1076*1,Summary!$C$8:$C$153,1,0)),VLOOKUP(I1076,Summary!$C$8:$C$153,1,0),VLOOKUP(I1076*1,Summary!$C$8:$C$153,1,0)))),"Add account Number to Summary","")</f>
        <v/>
      </c>
      <c r="M1076" s="131" t="str">
        <f t="shared" si="17"/>
        <v/>
      </c>
      <c r="N1076" s="287">
        <f>IF(C1076="Sale",SUMIFS($D$4:D1076,$B$4:B1076,B1076,$C$4:C1076,"")+SUMIFS($D$4:D1076,$B$4:B1076,B1076,$C$4:C1076,"Purch")-SUMIFS($D$4:D1076,$B$4:B1076,B1076,$C$4:C1076,"Sale"),0)</f>
        <v>0</v>
      </c>
    </row>
    <row r="1077" spans="1:14" x14ac:dyDescent="0.2">
      <c r="A1077" s="152"/>
      <c r="B1077" s="132"/>
      <c r="C1077" s="132"/>
      <c r="D1077" s="277"/>
      <c r="E1077" s="132"/>
      <c r="F1077" s="170"/>
      <c r="G1077" s="150"/>
      <c r="H1077" s="152"/>
      <c r="I1077" s="204"/>
      <c r="J1077" s="285"/>
      <c r="K1077" s="251"/>
      <c r="L1077" s="133" t="str">
        <f>IF(AND(I1077&lt;&gt;"",ISERROR(IF(ISERROR(VLOOKUP(I1077*1,Summary!$C$8:$C$153,1,0)),VLOOKUP(I1077,Summary!$C$8:$C$153,1,0),VLOOKUP(I1077*1,Summary!$C$8:$C$153,1,0)))),"Add account Number to Summary","")</f>
        <v/>
      </c>
      <c r="M1077" s="131" t="str">
        <f t="shared" si="17"/>
        <v/>
      </c>
      <c r="N1077" s="287">
        <f>IF(C1077="Sale",SUMIFS($D$4:D1077,$B$4:B1077,B1077,$C$4:C1077,"")+SUMIFS($D$4:D1077,$B$4:B1077,B1077,$C$4:C1077,"Purch")-SUMIFS($D$4:D1077,$B$4:B1077,B1077,$C$4:C1077,"Sale"),0)</f>
        <v>0</v>
      </c>
    </row>
    <row r="1078" spans="1:14" x14ac:dyDescent="0.2">
      <c r="A1078" s="152"/>
      <c r="B1078" s="132"/>
      <c r="C1078" s="132"/>
      <c r="D1078" s="277"/>
      <c r="E1078" s="132"/>
      <c r="F1078" s="170"/>
      <c r="G1078" s="150"/>
      <c r="H1078" s="152"/>
      <c r="I1078" s="204"/>
      <c r="J1078" s="285"/>
      <c r="K1078" s="251"/>
      <c r="L1078" s="133" t="str">
        <f>IF(AND(I1078&lt;&gt;"",ISERROR(IF(ISERROR(VLOOKUP(I1078*1,Summary!$C$8:$C$153,1,0)),VLOOKUP(I1078,Summary!$C$8:$C$153,1,0),VLOOKUP(I1078*1,Summary!$C$8:$C$153,1,0)))),"Add account Number to Summary","")</f>
        <v/>
      </c>
      <c r="M1078" s="131" t="str">
        <f t="shared" si="17"/>
        <v/>
      </c>
      <c r="N1078" s="287">
        <f>IF(C1078="Sale",SUMIFS($D$4:D1078,$B$4:B1078,B1078,$C$4:C1078,"")+SUMIFS($D$4:D1078,$B$4:B1078,B1078,$C$4:C1078,"Purch")-SUMIFS($D$4:D1078,$B$4:B1078,B1078,$C$4:C1078,"Sale"),0)</f>
        <v>0</v>
      </c>
    </row>
    <row r="1079" spans="1:14" x14ac:dyDescent="0.2">
      <c r="A1079" s="152"/>
      <c r="B1079" s="132"/>
      <c r="C1079" s="132"/>
      <c r="D1079" s="277"/>
      <c r="E1079" s="132"/>
      <c r="F1079" s="170"/>
      <c r="G1079" s="150"/>
      <c r="H1079" s="152"/>
      <c r="I1079" s="204"/>
      <c r="J1079" s="285"/>
      <c r="K1079" s="251"/>
      <c r="L1079" s="133" t="str">
        <f>IF(AND(I1079&lt;&gt;"",ISERROR(IF(ISERROR(VLOOKUP(I1079*1,Summary!$C$8:$C$153,1,0)),VLOOKUP(I1079,Summary!$C$8:$C$153,1,0),VLOOKUP(I1079*1,Summary!$C$8:$C$153,1,0)))),"Add account Number to Summary","")</f>
        <v/>
      </c>
      <c r="M1079" s="131" t="str">
        <f t="shared" si="17"/>
        <v/>
      </c>
      <c r="N1079" s="287">
        <f>IF(C1079="Sale",SUMIFS($D$4:D1079,$B$4:B1079,B1079,$C$4:C1079,"")+SUMIFS($D$4:D1079,$B$4:B1079,B1079,$C$4:C1079,"Purch")-SUMIFS($D$4:D1079,$B$4:B1079,B1079,$C$4:C1079,"Sale"),0)</f>
        <v>0</v>
      </c>
    </row>
    <row r="1080" spans="1:14" x14ac:dyDescent="0.2">
      <c r="A1080" s="152"/>
      <c r="B1080" s="132"/>
      <c r="C1080" s="132"/>
      <c r="D1080" s="277"/>
      <c r="E1080" s="132"/>
      <c r="F1080" s="170"/>
      <c r="G1080" s="150"/>
      <c r="H1080" s="152"/>
      <c r="I1080" s="204"/>
      <c r="J1080" s="285"/>
      <c r="K1080" s="251"/>
      <c r="L1080" s="133" t="str">
        <f>IF(AND(I1080&lt;&gt;"",ISERROR(IF(ISERROR(VLOOKUP(I1080*1,Summary!$C$8:$C$153,1,0)),VLOOKUP(I1080,Summary!$C$8:$C$153,1,0),VLOOKUP(I1080*1,Summary!$C$8:$C$153,1,0)))),"Add account Number to Summary","")</f>
        <v/>
      </c>
      <c r="M1080" s="131" t="str">
        <f t="shared" si="17"/>
        <v/>
      </c>
      <c r="N1080" s="287">
        <f>IF(C1080="Sale",SUMIFS($D$4:D1080,$B$4:B1080,B1080,$C$4:C1080,"")+SUMIFS($D$4:D1080,$B$4:B1080,B1080,$C$4:C1080,"Purch")-SUMIFS($D$4:D1080,$B$4:B1080,B1080,$C$4:C1080,"Sale"),0)</f>
        <v>0</v>
      </c>
    </row>
    <row r="1081" spans="1:14" x14ac:dyDescent="0.2">
      <c r="A1081" s="152"/>
      <c r="B1081" s="132"/>
      <c r="C1081" s="132"/>
      <c r="D1081" s="277"/>
      <c r="E1081" s="132"/>
      <c r="F1081" s="170"/>
      <c r="G1081" s="150"/>
      <c r="H1081" s="152"/>
      <c r="I1081" s="204"/>
      <c r="J1081" s="285"/>
      <c r="K1081" s="251"/>
      <c r="L1081" s="133" t="str">
        <f>IF(AND(I1081&lt;&gt;"",ISERROR(IF(ISERROR(VLOOKUP(I1081*1,Summary!$C$8:$C$153,1,0)),VLOOKUP(I1081,Summary!$C$8:$C$153,1,0),VLOOKUP(I1081*1,Summary!$C$8:$C$153,1,0)))),"Add account Number to Summary","")</f>
        <v/>
      </c>
      <c r="M1081" s="131" t="str">
        <f t="shared" si="17"/>
        <v/>
      </c>
      <c r="N1081" s="287">
        <f>IF(C1081="Sale",SUMIFS($D$4:D1081,$B$4:B1081,B1081,$C$4:C1081,"")+SUMIFS($D$4:D1081,$B$4:B1081,B1081,$C$4:C1081,"Purch")-SUMIFS($D$4:D1081,$B$4:B1081,B1081,$C$4:C1081,"Sale"),0)</f>
        <v>0</v>
      </c>
    </row>
    <row r="1082" spans="1:14" x14ac:dyDescent="0.2">
      <c r="A1082" s="152"/>
      <c r="B1082" s="132"/>
      <c r="C1082" s="132"/>
      <c r="D1082" s="277"/>
      <c r="E1082" s="132"/>
      <c r="F1082" s="170"/>
      <c r="G1082" s="150"/>
      <c r="H1082" s="152"/>
      <c r="I1082" s="204"/>
      <c r="J1082" s="285"/>
      <c r="K1082" s="251"/>
      <c r="L1082" s="133" t="str">
        <f>IF(AND(I1082&lt;&gt;"",ISERROR(IF(ISERROR(VLOOKUP(I1082*1,Summary!$C$8:$C$153,1,0)),VLOOKUP(I1082,Summary!$C$8:$C$153,1,0),VLOOKUP(I1082*1,Summary!$C$8:$C$153,1,0)))),"Add account Number to Summary","")</f>
        <v/>
      </c>
      <c r="M1082" s="131" t="str">
        <f t="shared" si="17"/>
        <v/>
      </c>
      <c r="N1082" s="287">
        <f>IF(C1082="Sale",SUMIFS($D$4:D1082,$B$4:B1082,B1082,$C$4:C1082,"")+SUMIFS($D$4:D1082,$B$4:B1082,B1082,$C$4:C1082,"Purch")-SUMIFS($D$4:D1082,$B$4:B1082,B1082,$C$4:C1082,"Sale"),0)</f>
        <v>0</v>
      </c>
    </row>
    <row r="1083" spans="1:14" x14ac:dyDescent="0.2">
      <c r="A1083" s="152"/>
      <c r="B1083" s="132"/>
      <c r="C1083" s="132"/>
      <c r="D1083" s="277"/>
      <c r="E1083" s="132"/>
      <c r="F1083" s="170"/>
      <c r="G1083" s="150"/>
      <c r="H1083" s="152"/>
      <c r="I1083" s="204"/>
      <c r="J1083" s="285"/>
      <c r="K1083" s="251"/>
      <c r="L1083" s="133" t="str">
        <f>IF(AND(I1083&lt;&gt;"",ISERROR(IF(ISERROR(VLOOKUP(I1083*1,Summary!$C$8:$C$153,1,0)),VLOOKUP(I1083,Summary!$C$8:$C$153,1,0),VLOOKUP(I1083*1,Summary!$C$8:$C$153,1,0)))),"Add account Number to Summary","")</f>
        <v/>
      </c>
      <c r="M1083" s="131" t="str">
        <f t="shared" si="17"/>
        <v/>
      </c>
      <c r="N1083" s="287">
        <f>IF(C1083="Sale",SUMIFS($D$4:D1083,$B$4:B1083,B1083,$C$4:C1083,"")+SUMIFS($D$4:D1083,$B$4:B1083,B1083,$C$4:C1083,"Purch")-SUMIFS($D$4:D1083,$B$4:B1083,B1083,$C$4:C1083,"Sale"),0)</f>
        <v>0</v>
      </c>
    </row>
    <row r="1084" spans="1:14" x14ac:dyDescent="0.2">
      <c r="A1084" s="152"/>
      <c r="B1084" s="132"/>
      <c r="C1084" s="132"/>
      <c r="D1084" s="277"/>
      <c r="E1084" s="132"/>
      <c r="F1084" s="170"/>
      <c r="G1084" s="150"/>
      <c r="H1084" s="152"/>
      <c r="I1084" s="204"/>
      <c r="J1084" s="285"/>
      <c r="K1084" s="251"/>
      <c r="L1084" s="133" t="str">
        <f>IF(AND(I1084&lt;&gt;"",ISERROR(IF(ISERROR(VLOOKUP(I1084*1,Summary!$C$8:$C$153,1,0)),VLOOKUP(I1084,Summary!$C$8:$C$153,1,0),VLOOKUP(I1084*1,Summary!$C$8:$C$153,1,0)))),"Add account Number to Summary","")</f>
        <v/>
      </c>
      <c r="M1084" s="131" t="str">
        <f t="shared" si="17"/>
        <v/>
      </c>
      <c r="N1084" s="287">
        <f>IF(C1084="Sale",SUMIFS($D$4:D1084,$B$4:B1084,B1084,$C$4:C1084,"")+SUMIFS($D$4:D1084,$B$4:B1084,B1084,$C$4:C1084,"Purch")-SUMIFS($D$4:D1084,$B$4:B1084,B1084,$C$4:C1084,"Sale"),0)</f>
        <v>0</v>
      </c>
    </row>
    <row r="1085" spans="1:14" x14ac:dyDescent="0.2">
      <c r="A1085" s="152"/>
      <c r="B1085" s="132"/>
      <c r="C1085" s="132"/>
      <c r="D1085" s="277"/>
      <c r="E1085" s="132"/>
      <c r="F1085" s="170"/>
      <c r="G1085" s="150"/>
      <c r="H1085" s="152"/>
      <c r="I1085" s="204"/>
      <c r="J1085" s="285"/>
      <c r="K1085" s="251"/>
      <c r="L1085" s="133" t="str">
        <f>IF(AND(I1085&lt;&gt;"",ISERROR(IF(ISERROR(VLOOKUP(I1085*1,Summary!$C$8:$C$153,1,0)),VLOOKUP(I1085,Summary!$C$8:$C$153,1,0),VLOOKUP(I1085*1,Summary!$C$8:$C$153,1,0)))),"Add account Number to Summary","")</f>
        <v/>
      </c>
      <c r="M1085" s="131" t="str">
        <f t="shared" si="17"/>
        <v/>
      </c>
      <c r="N1085" s="287">
        <f>IF(C1085="Sale",SUMIFS($D$4:D1085,$B$4:B1085,B1085,$C$4:C1085,"")+SUMIFS($D$4:D1085,$B$4:B1085,B1085,$C$4:C1085,"Purch")-SUMIFS($D$4:D1085,$B$4:B1085,B1085,$C$4:C1085,"Sale"),0)</f>
        <v>0</v>
      </c>
    </row>
    <row r="1086" spans="1:14" x14ac:dyDescent="0.2">
      <c r="A1086" s="152"/>
      <c r="B1086" s="132"/>
      <c r="C1086" s="132"/>
      <c r="D1086" s="277"/>
      <c r="E1086" s="132"/>
      <c r="F1086" s="170"/>
      <c r="G1086" s="150"/>
      <c r="H1086" s="152"/>
      <c r="I1086" s="204"/>
      <c r="J1086" s="285"/>
      <c r="K1086" s="251"/>
      <c r="L1086" s="133" t="str">
        <f>IF(AND(I1086&lt;&gt;"",ISERROR(IF(ISERROR(VLOOKUP(I1086*1,Summary!$C$8:$C$153,1,0)),VLOOKUP(I1086,Summary!$C$8:$C$153,1,0),VLOOKUP(I1086*1,Summary!$C$8:$C$153,1,0)))),"Add account Number to Summary","")</f>
        <v/>
      </c>
      <c r="M1086" s="131" t="str">
        <f t="shared" si="17"/>
        <v/>
      </c>
      <c r="N1086" s="287">
        <f>IF(C1086="Sale",SUMIFS($D$4:D1086,$B$4:B1086,B1086,$C$4:C1086,"")+SUMIFS($D$4:D1086,$B$4:B1086,B1086,$C$4:C1086,"Purch")-SUMIFS($D$4:D1086,$B$4:B1086,B1086,$C$4:C1086,"Sale"),0)</f>
        <v>0</v>
      </c>
    </row>
    <row r="1087" spans="1:14" x14ac:dyDescent="0.2">
      <c r="A1087" s="152"/>
      <c r="B1087" s="132"/>
      <c r="C1087" s="132"/>
      <c r="D1087" s="277"/>
      <c r="E1087" s="132"/>
      <c r="F1087" s="170"/>
      <c r="G1087" s="150"/>
      <c r="H1087" s="152"/>
      <c r="I1087" s="204"/>
      <c r="J1087" s="285"/>
      <c r="K1087" s="251"/>
      <c r="L1087" s="133" t="str">
        <f>IF(AND(I1087&lt;&gt;"",ISERROR(IF(ISERROR(VLOOKUP(I1087*1,Summary!$C$8:$C$153,1,0)),VLOOKUP(I1087,Summary!$C$8:$C$153,1,0),VLOOKUP(I1087*1,Summary!$C$8:$C$153,1,0)))),"Add account Number to Summary","")</f>
        <v/>
      </c>
      <c r="M1087" s="131" t="str">
        <f t="shared" si="17"/>
        <v/>
      </c>
      <c r="N1087" s="287">
        <f>IF(C1087="Sale",SUMIFS($D$4:D1087,$B$4:B1087,B1087,$C$4:C1087,"")+SUMIFS($D$4:D1087,$B$4:B1087,B1087,$C$4:C1087,"Purch")-SUMIFS($D$4:D1087,$B$4:B1087,B1087,$C$4:C1087,"Sale"),0)</f>
        <v>0</v>
      </c>
    </row>
    <row r="1088" spans="1:14" x14ac:dyDescent="0.2">
      <c r="A1088" s="152"/>
      <c r="B1088" s="132"/>
      <c r="C1088" s="132"/>
      <c r="D1088" s="277"/>
      <c r="E1088" s="132"/>
      <c r="F1088" s="170"/>
      <c r="G1088" s="150"/>
      <c r="H1088" s="152"/>
      <c r="I1088" s="204"/>
      <c r="J1088" s="285"/>
      <c r="K1088" s="251"/>
      <c r="L1088" s="133" t="str">
        <f>IF(AND(I1088&lt;&gt;"",ISERROR(IF(ISERROR(VLOOKUP(I1088*1,Summary!$C$8:$C$153,1,0)),VLOOKUP(I1088,Summary!$C$8:$C$153,1,0),VLOOKUP(I1088*1,Summary!$C$8:$C$153,1,0)))),"Add account Number to Summary","")</f>
        <v/>
      </c>
      <c r="M1088" s="131" t="str">
        <f t="shared" si="17"/>
        <v/>
      </c>
      <c r="N1088" s="287">
        <f>IF(C1088="Sale",SUMIFS($D$4:D1088,$B$4:B1088,B1088,$C$4:C1088,"")+SUMIFS($D$4:D1088,$B$4:B1088,B1088,$C$4:C1088,"Purch")-SUMIFS($D$4:D1088,$B$4:B1088,B1088,$C$4:C1088,"Sale"),0)</f>
        <v>0</v>
      </c>
    </row>
    <row r="1089" spans="1:14" x14ac:dyDescent="0.2">
      <c r="A1089" s="152"/>
      <c r="B1089" s="132"/>
      <c r="C1089" s="132"/>
      <c r="D1089" s="277"/>
      <c r="E1089" s="132"/>
      <c r="F1089" s="170"/>
      <c r="G1089" s="150"/>
      <c r="H1089" s="152"/>
      <c r="I1089" s="204"/>
      <c r="J1089" s="285"/>
      <c r="K1089" s="251"/>
      <c r="L1089" s="133" t="str">
        <f>IF(AND(I1089&lt;&gt;"",ISERROR(IF(ISERROR(VLOOKUP(I1089*1,Summary!$C$8:$C$153,1,0)),VLOOKUP(I1089,Summary!$C$8:$C$153,1,0),VLOOKUP(I1089*1,Summary!$C$8:$C$153,1,0)))),"Add account Number to Summary","")</f>
        <v/>
      </c>
      <c r="M1089" s="131" t="str">
        <f t="shared" si="17"/>
        <v/>
      </c>
      <c r="N1089" s="287">
        <f>IF(C1089="Sale",SUMIFS($D$4:D1089,$B$4:B1089,B1089,$C$4:C1089,"")+SUMIFS($D$4:D1089,$B$4:B1089,B1089,$C$4:C1089,"Purch")-SUMIFS($D$4:D1089,$B$4:B1089,B1089,$C$4:C1089,"Sale"),0)</f>
        <v>0</v>
      </c>
    </row>
    <row r="1090" spans="1:14" x14ac:dyDescent="0.2">
      <c r="A1090" s="152"/>
      <c r="B1090" s="132"/>
      <c r="C1090" s="132"/>
      <c r="D1090" s="277"/>
      <c r="E1090" s="132"/>
      <c r="F1090" s="170"/>
      <c r="G1090" s="150"/>
      <c r="H1090" s="152"/>
      <c r="I1090" s="204"/>
      <c r="J1090" s="285"/>
      <c r="K1090" s="251"/>
      <c r="L1090" s="133" t="str">
        <f>IF(AND(I1090&lt;&gt;"",ISERROR(IF(ISERROR(VLOOKUP(I1090*1,Summary!$C$8:$C$153,1,0)),VLOOKUP(I1090,Summary!$C$8:$C$153,1,0),VLOOKUP(I1090*1,Summary!$C$8:$C$153,1,0)))),"Add account Number to Summary","")</f>
        <v/>
      </c>
      <c r="M1090" s="131" t="str">
        <f t="shared" si="17"/>
        <v/>
      </c>
      <c r="N1090" s="287">
        <f>IF(C1090="Sale",SUMIFS($D$4:D1090,$B$4:B1090,B1090,$C$4:C1090,"")+SUMIFS($D$4:D1090,$B$4:B1090,B1090,$C$4:C1090,"Purch")-SUMIFS($D$4:D1090,$B$4:B1090,B1090,$C$4:C1090,"Sale"),0)</f>
        <v>0</v>
      </c>
    </row>
    <row r="1091" spans="1:14" x14ac:dyDescent="0.2">
      <c r="A1091" s="152"/>
      <c r="B1091" s="132"/>
      <c r="C1091" s="132"/>
      <c r="D1091" s="277"/>
      <c r="E1091" s="132"/>
      <c r="F1091" s="170"/>
      <c r="G1091" s="150"/>
      <c r="H1091" s="152"/>
      <c r="I1091" s="204"/>
      <c r="J1091" s="285"/>
      <c r="K1091" s="251"/>
      <c r="L1091" s="133" t="str">
        <f>IF(AND(I1091&lt;&gt;"",ISERROR(IF(ISERROR(VLOOKUP(I1091*1,Summary!$C$8:$C$153,1,0)),VLOOKUP(I1091,Summary!$C$8:$C$153,1,0),VLOOKUP(I1091*1,Summary!$C$8:$C$153,1,0)))),"Add account Number to Summary","")</f>
        <v/>
      </c>
      <c r="M1091" s="131" t="str">
        <f t="shared" si="17"/>
        <v/>
      </c>
      <c r="N1091" s="287">
        <f>IF(C1091="Sale",SUMIFS($D$4:D1091,$B$4:B1091,B1091,$C$4:C1091,"")+SUMIFS($D$4:D1091,$B$4:B1091,B1091,$C$4:C1091,"Purch")-SUMIFS($D$4:D1091,$B$4:B1091,B1091,$C$4:C1091,"Sale"),0)</f>
        <v>0</v>
      </c>
    </row>
    <row r="1092" spans="1:14" x14ac:dyDescent="0.2">
      <c r="A1092" s="152"/>
      <c r="B1092" s="132"/>
      <c r="C1092" s="132"/>
      <c r="D1092" s="277"/>
      <c r="E1092" s="132"/>
      <c r="F1092" s="170"/>
      <c r="G1092" s="150"/>
      <c r="H1092" s="152"/>
      <c r="I1092" s="204"/>
      <c r="J1092" s="285"/>
      <c r="K1092" s="251"/>
      <c r="L1092" s="133" t="str">
        <f>IF(AND(I1092&lt;&gt;"",ISERROR(IF(ISERROR(VLOOKUP(I1092*1,Summary!$C$8:$C$153,1,0)),VLOOKUP(I1092,Summary!$C$8:$C$153,1,0),VLOOKUP(I1092*1,Summary!$C$8:$C$153,1,0)))),"Add account Number to Summary","")</f>
        <v/>
      </c>
      <c r="M1092" s="131" t="str">
        <f t="shared" si="17"/>
        <v/>
      </c>
      <c r="N1092" s="287">
        <f>IF(C1092="Sale",SUMIFS($D$4:D1092,$B$4:B1092,B1092,$C$4:C1092,"")+SUMIFS($D$4:D1092,$B$4:B1092,B1092,$C$4:C1092,"Purch")-SUMIFS($D$4:D1092,$B$4:B1092,B1092,$C$4:C1092,"Sale"),0)</f>
        <v>0</v>
      </c>
    </row>
    <row r="1093" spans="1:14" x14ac:dyDescent="0.2">
      <c r="A1093" s="152"/>
      <c r="B1093" s="132"/>
      <c r="C1093" s="132"/>
      <c r="D1093" s="277"/>
      <c r="E1093" s="132"/>
      <c r="F1093" s="170"/>
      <c r="G1093" s="150"/>
      <c r="H1093" s="152"/>
      <c r="I1093" s="204"/>
      <c r="J1093" s="285"/>
      <c r="K1093" s="251"/>
      <c r="L1093" s="133" t="str">
        <f>IF(AND(I1093&lt;&gt;"",ISERROR(IF(ISERROR(VLOOKUP(I1093*1,Summary!$C$8:$C$153,1,0)),VLOOKUP(I1093,Summary!$C$8:$C$153,1,0),VLOOKUP(I1093*1,Summary!$C$8:$C$153,1,0)))),"Add account Number to Summary","")</f>
        <v/>
      </c>
      <c r="M1093" s="131" t="str">
        <f t="shared" si="17"/>
        <v/>
      </c>
      <c r="N1093" s="287">
        <f>IF(C1093="Sale",SUMIFS($D$4:D1093,$B$4:B1093,B1093,$C$4:C1093,"")+SUMIFS($D$4:D1093,$B$4:B1093,B1093,$C$4:C1093,"Purch")-SUMIFS($D$4:D1093,$B$4:B1093,B1093,$C$4:C1093,"Sale"),0)</f>
        <v>0</v>
      </c>
    </row>
    <row r="1094" spans="1:14" x14ac:dyDescent="0.2">
      <c r="A1094" s="152"/>
      <c r="B1094" s="132"/>
      <c r="C1094" s="132"/>
      <c r="D1094" s="277"/>
      <c r="E1094" s="132"/>
      <c r="F1094" s="170"/>
      <c r="G1094" s="150"/>
      <c r="H1094" s="152"/>
      <c r="I1094" s="204"/>
      <c r="J1094" s="285"/>
      <c r="K1094" s="251"/>
      <c r="L1094" s="133" t="str">
        <f>IF(AND(I1094&lt;&gt;"",ISERROR(IF(ISERROR(VLOOKUP(I1094*1,Summary!$C$8:$C$153,1,0)),VLOOKUP(I1094,Summary!$C$8:$C$153,1,0),VLOOKUP(I1094*1,Summary!$C$8:$C$153,1,0)))),"Add account Number to Summary","")</f>
        <v/>
      </c>
      <c r="M1094" s="131" t="str">
        <f t="shared" si="17"/>
        <v/>
      </c>
      <c r="N1094" s="287">
        <f>IF(C1094="Sale",SUMIFS($D$4:D1094,$B$4:B1094,B1094,$C$4:C1094,"")+SUMIFS($D$4:D1094,$B$4:B1094,B1094,$C$4:C1094,"Purch")-SUMIFS($D$4:D1094,$B$4:B1094,B1094,$C$4:C1094,"Sale"),0)</f>
        <v>0</v>
      </c>
    </row>
    <row r="1095" spans="1:14" x14ac:dyDescent="0.2">
      <c r="A1095" s="152"/>
      <c r="B1095" s="132"/>
      <c r="C1095" s="132"/>
      <c r="D1095" s="277"/>
      <c r="E1095" s="132"/>
      <c r="F1095" s="170"/>
      <c r="G1095" s="150"/>
      <c r="H1095" s="152"/>
      <c r="I1095" s="204"/>
      <c r="J1095" s="285"/>
      <c r="K1095" s="251"/>
      <c r="L1095" s="133" t="str">
        <f>IF(AND(I1095&lt;&gt;"",ISERROR(IF(ISERROR(VLOOKUP(I1095*1,Summary!$C$8:$C$153,1,0)),VLOOKUP(I1095,Summary!$C$8:$C$153,1,0),VLOOKUP(I1095*1,Summary!$C$8:$C$153,1,0)))),"Add account Number to Summary","")</f>
        <v/>
      </c>
      <c r="M1095" s="131" t="str">
        <f t="shared" si="17"/>
        <v/>
      </c>
      <c r="N1095" s="287">
        <f>IF(C1095="Sale",SUMIFS($D$4:D1095,$B$4:B1095,B1095,$C$4:C1095,"")+SUMIFS($D$4:D1095,$B$4:B1095,B1095,$C$4:C1095,"Purch")-SUMIFS($D$4:D1095,$B$4:B1095,B1095,$C$4:C1095,"Sale"),0)</f>
        <v>0</v>
      </c>
    </row>
    <row r="1096" spans="1:14" x14ac:dyDescent="0.2">
      <c r="A1096" s="152"/>
      <c r="B1096" s="132"/>
      <c r="C1096" s="132"/>
      <c r="D1096" s="277"/>
      <c r="E1096" s="132"/>
      <c r="F1096" s="170"/>
      <c r="G1096" s="150"/>
      <c r="H1096" s="152"/>
      <c r="I1096" s="204"/>
      <c r="J1096" s="285"/>
      <c r="K1096" s="251"/>
      <c r="L1096" s="133" t="str">
        <f>IF(AND(I1096&lt;&gt;"",ISERROR(IF(ISERROR(VLOOKUP(I1096*1,Summary!$C$8:$C$153,1,0)),VLOOKUP(I1096,Summary!$C$8:$C$153,1,0),VLOOKUP(I1096*1,Summary!$C$8:$C$153,1,0)))),"Add account Number to Summary","")</f>
        <v/>
      </c>
      <c r="M1096" s="131" t="str">
        <f t="shared" si="17"/>
        <v/>
      </c>
      <c r="N1096" s="287">
        <f>IF(C1096="Sale",SUMIFS($D$4:D1096,$B$4:B1096,B1096,$C$4:C1096,"")+SUMIFS($D$4:D1096,$B$4:B1096,B1096,$C$4:C1096,"Purch")-SUMIFS($D$4:D1096,$B$4:B1096,B1096,$C$4:C1096,"Sale"),0)</f>
        <v>0</v>
      </c>
    </row>
    <row r="1097" spans="1:14" x14ac:dyDescent="0.2">
      <c r="A1097" s="152"/>
      <c r="B1097" s="132"/>
      <c r="C1097" s="132"/>
      <c r="D1097" s="277"/>
      <c r="E1097" s="132"/>
      <c r="F1097" s="170"/>
      <c r="G1097" s="150"/>
      <c r="H1097" s="152"/>
      <c r="I1097" s="204"/>
      <c r="J1097" s="285"/>
      <c r="K1097" s="251"/>
      <c r="L1097" s="133" t="str">
        <f>IF(AND(I1097&lt;&gt;"",ISERROR(IF(ISERROR(VLOOKUP(I1097*1,Summary!$C$8:$C$153,1,0)),VLOOKUP(I1097,Summary!$C$8:$C$153,1,0),VLOOKUP(I1097*1,Summary!$C$8:$C$153,1,0)))),"Add account Number to Summary","")</f>
        <v/>
      </c>
      <c r="M1097" s="131" t="str">
        <f t="shared" si="17"/>
        <v/>
      </c>
      <c r="N1097" s="287">
        <f>IF(C1097="Sale",SUMIFS($D$4:D1097,$B$4:B1097,B1097,$C$4:C1097,"")+SUMIFS($D$4:D1097,$B$4:B1097,B1097,$C$4:C1097,"Purch")-SUMIFS($D$4:D1097,$B$4:B1097,B1097,$C$4:C1097,"Sale"),0)</f>
        <v>0</v>
      </c>
    </row>
    <row r="1098" spans="1:14" x14ac:dyDescent="0.2">
      <c r="A1098" s="152"/>
      <c r="B1098" s="132"/>
      <c r="C1098" s="132"/>
      <c r="D1098" s="277"/>
      <c r="E1098" s="132"/>
      <c r="F1098" s="170"/>
      <c r="G1098" s="150"/>
      <c r="H1098" s="152"/>
      <c r="I1098" s="204"/>
      <c r="J1098" s="285"/>
      <c r="K1098" s="251"/>
      <c r="L1098" s="133" t="str">
        <f>IF(AND(I1098&lt;&gt;"",ISERROR(IF(ISERROR(VLOOKUP(I1098*1,Summary!$C$8:$C$153,1,0)),VLOOKUP(I1098,Summary!$C$8:$C$153,1,0),VLOOKUP(I1098*1,Summary!$C$8:$C$153,1,0)))),"Add account Number to Summary","")</f>
        <v/>
      </c>
      <c r="M1098" s="131" t="str">
        <f t="shared" si="17"/>
        <v/>
      </c>
      <c r="N1098" s="287">
        <f>IF(C1098="Sale",SUMIFS($D$4:D1098,$B$4:B1098,B1098,$C$4:C1098,"")+SUMIFS($D$4:D1098,$B$4:B1098,B1098,$C$4:C1098,"Purch")-SUMIFS($D$4:D1098,$B$4:B1098,B1098,$C$4:C1098,"Sale"),0)</f>
        <v>0</v>
      </c>
    </row>
    <row r="1099" spans="1:14" x14ac:dyDescent="0.2">
      <c r="A1099" s="152"/>
      <c r="B1099" s="132"/>
      <c r="C1099" s="132"/>
      <c r="D1099" s="277"/>
      <c r="E1099" s="132"/>
      <c r="F1099" s="170"/>
      <c r="G1099" s="150"/>
      <c r="H1099" s="152"/>
      <c r="I1099" s="204"/>
      <c r="J1099" s="285"/>
      <c r="K1099" s="251"/>
      <c r="L1099" s="133" t="str">
        <f>IF(AND(I1099&lt;&gt;"",ISERROR(IF(ISERROR(VLOOKUP(I1099*1,Summary!$C$8:$C$153,1,0)),VLOOKUP(I1099,Summary!$C$8:$C$153,1,0),VLOOKUP(I1099*1,Summary!$C$8:$C$153,1,0)))),"Add account Number to Summary","")</f>
        <v/>
      </c>
      <c r="M1099" s="131" t="str">
        <f t="shared" si="17"/>
        <v/>
      </c>
      <c r="N1099" s="287">
        <f>IF(C1099="Sale",SUMIFS($D$4:D1099,$B$4:B1099,B1099,$C$4:C1099,"")+SUMIFS($D$4:D1099,$B$4:B1099,B1099,$C$4:C1099,"Purch")-SUMIFS($D$4:D1099,$B$4:B1099,B1099,$C$4:C1099,"Sale"),0)</f>
        <v>0</v>
      </c>
    </row>
    <row r="1100" spans="1:14" x14ac:dyDescent="0.2">
      <c r="A1100" s="152"/>
      <c r="B1100" s="132"/>
      <c r="C1100" s="132"/>
      <c r="D1100" s="277"/>
      <c r="E1100" s="132"/>
      <c r="F1100" s="170"/>
      <c r="G1100" s="150"/>
      <c r="H1100" s="152"/>
      <c r="I1100" s="204"/>
      <c r="J1100" s="285"/>
      <c r="K1100" s="251"/>
      <c r="L1100" s="133" t="str">
        <f>IF(AND(I1100&lt;&gt;"",ISERROR(IF(ISERROR(VLOOKUP(I1100*1,Summary!$C$8:$C$153,1,0)),VLOOKUP(I1100,Summary!$C$8:$C$153,1,0),VLOOKUP(I1100*1,Summary!$C$8:$C$153,1,0)))),"Add account Number to Summary","")</f>
        <v/>
      </c>
      <c r="M1100" s="131" t="str">
        <f t="shared" si="17"/>
        <v/>
      </c>
      <c r="N1100" s="287">
        <f>IF(C1100="Sale",SUMIFS($D$4:D1100,$B$4:B1100,B1100,$C$4:C1100,"")+SUMIFS($D$4:D1100,$B$4:B1100,B1100,$C$4:C1100,"Purch")-SUMIFS($D$4:D1100,$B$4:B1100,B1100,$C$4:C1100,"Sale"),0)</f>
        <v>0</v>
      </c>
    </row>
    <row r="1101" spans="1:14" x14ac:dyDescent="0.2">
      <c r="A1101" s="152"/>
      <c r="B1101" s="132"/>
      <c r="C1101" s="132"/>
      <c r="D1101" s="277"/>
      <c r="E1101" s="132"/>
      <c r="F1101" s="170"/>
      <c r="G1101" s="150"/>
      <c r="H1101" s="152"/>
      <c r="I1101" s="204"/>
      <c r="J1101" s="285"/>
      <c r="K1101" s="251"/>
      <c r="L1101" s="133" t="str">
        <f>IF(AND(I1101&lt;&gt;"",ISERROR(IF(ISERROR(VLOOKUP(I1101*1,Summary!$C$8:$C$153,1,0)),VLOOKUP(I1101,Summary!$C$8:$C$153,1,0),VLOOKUP(I1101*1,Summary!$C$8:$C$153,1,0)))),"Add account Number to Summary","")</f>
        <v/>
      </c>
      <c r="M1101" s="131" t="str">
        <f t="shared" si="17"/>
        <v/>
      </c>
      <c r="N1101" s="287">
        <f>IF(C1101="Sale",SUMIFS($D$4:D1101,$B$4:B1101,B1101,$C$4:C1101,"")+SUMIFS($D$4:D1101,$B$4:B1101,B1101,$C$4:C1101,"Purch")-SUMIFS($D$4:D1101,$B$4:B1101,B1101,$C$4:C1101,"Sale"),0)</f>
        <v>0</v>
      </c>
    </row>
    <row r="1102" spans="1:14" x14ac:dyDescent="0.2">
      <c r="A1102" s="152"/>
      <c r="B1102" s="132"/>
      <c r="C1102" s="132"/>
      <c r="D1102" s="277"/>
      <c r="E1102" s="132"/>
      <c r="F1102" s="170"/>
      <c r="G1102" s="150"/>
      <c r="H1102" s="152"/>
      <c r="I1102" s="204"/>
      <c r="J1102" s="285"/>
      <c r="K1102" s="251"/>
      <c r="L1102" s="133" t="str">
        <f>IF(AND(I1102&lt;&gt;"",ISERROR(IF(ISERROR(VLOOKUP(I1102*1,Summary!$C$8:$C$153,1,0)),VLOOKUP(I1102,Summary!$C$8:$C$153,1,0),VLOOKUP(I1102*1,Summary!$C$8:$C$153,1,0)))),"Add account Number to Summary","")</f>
        <v/>
      </c>
      <c r="M1102" s="131" t="str">
        <f t="shared" si="17"/>
        <v/>
      </c>
      <c r="N1102" s="287">
        <f>IF(C1102="Sale",SUMIFS($D$4:D1102,$B$4:B1102,B1102,$C$4:C1102,"")+SUMIFS($D$4:D1102,$B$4:B1102,B1102,$C$4:C1102,"Purch")-SUMIFS($D$4:D1102,$B$4:B1102,B1102,$C$4:C1102,"Sale"),0)</f>
        <v>0</v>
      </c>
    </row>
    <row r="1103" spans="1:14" x14ac:dyDescent="0.2">
      <c r="A1103" s="152"/>
      <c r="B1103" s="132"/>
      <c r="C1103" s="132"/>
      <c r="D1103" s="277"/>
      <c r="E1103" s="132"/>
      <c r="F1103" s="170"/>
      <c r="G1103" s="150"/>
      <c r="H1103" s="152"/>
      <c r="I1103" s="204"/>
      <c r="J1103" s="285"/>
      <c r="K1103" s="251"/>
      <c r="L1103" s="133" t="str">
        <f>IF(AND(I1103&lt;&gt;"",ISERROR(IF(ISERROR(VLOOKUP(I1103*1,Summary!$C$8:$C$153,1,0)),VLOOKUP(I1103,Summary!$C$8:$C$153,1,0),VLOOKUP(I1103*1,Summary!$C$8:$C$153,1,0)))),"Add account Number to Summary","")</f>
        <v/>
      </c>
      <c r="M1103" s="131" t="str">
        <f t="shared" si="17"/>
        <v/>
      </c>
      <c r="N1103" s="287">
        <f>IF(C1103="Sale",SUMIFS($D$4:D1103,$B$4:B1103,B1103,$C$4:C1103,"")+SUMIFS($D$4:D1103,$B$4:B1103,B1103,$C$4:C1103,"Purch")-SUMIFS($D$4:D1103,$B$4:B1103,B1103,$C$4:C1103,"Sale"),0)</f>
        <v>0</v>
      </c>
    </row>
    <row r="1104" spans="1:14" x14ac:dyDescent="0.2">
      <c r="A1104" s="152"/>
      <c r="B1104" s="132"/>
      <c r="C1104" s="132"/>
      <c r="D1104" s="277"/>
      <c r="E1104" s="132"/>
      <c r="F1104" s="170"/>
      <c r="G1104" s="150"/>
      <c r="H1104" s="152"/>
      <c r="I1104" s="204"/>
      <c r="J1104" s="285"/>
      <c r="K1104" s="251"/>
      <c r="L1104" s="133" t="str">
        <f>IF(AND(I1104&lt;&gt;"",ISERROR(IF(ISERROR(VLOOKUP(I1104*1,Summary!$C$8:$C$153,1,0)),VLOOKUP(I1104,Summary!$C$8:$C$153,1,0),VLOOKUP(I1104*1,Summary!$C$8:$C$153,1,0)))),"Add account Number to Summary","")</f>
        <v/>
      </c>
      <c r="M1104" s="131" t="str">
        <f t="shared" si="17"/>
        <v/>
      </c>
      <c r="N1104" s="287">
        <f>IF(C1104="Sale",SUMIFS($D$4:D1104,$B$4:B1104,B1104,$C$4:C1104,"")+SUMIFS($D$4:D1104,$B$4:B1104,B1104,$C$4:C1104,"Purch")-SUMIFS($D$4:D1104,$B$4:B1104,B1104,$C$4:C1104,"Sale"),0)</f>
        <v>0</v>
      </c>
    </row>
    <row r="1105" spans="1:14" x14ac:dyDescent="0.2">
      <c r="A1105" s="152"/>
      <c r="B1105" s="132"/>
      <c r="C1105" s="132"/>
      <c r="D1105" s="277"/>
      <c r="E1105" s="132"/>
      <c r="F1105" s="170"/>
      <c r="G1105" s="150"/>
      <c r="H1105" s="152"/>
      <c r="I1105" s="204"/>
      <c r="J1105" s="285"/>
      <c r="K1105" s="251"/>
      <c r="L1105" s="133" t="str">
        <f>IF(AND(I1105&lt;&gt;"",ISERROR(IF(ISERROR(VLOOKUP(I1105*1,Summary!$C$8:$C$153,1,0)),VLOOKUP(I1105,Summary!$C$8:$C$153,1,0),VLOOKUP(I1105*1,Summary!$C$8:$C$153,1,0)))),"Add account Number to Summary","")</f>
        <v/>
      </c>
      <c r="M1105" s="131" t="str">
        <f t="shared" si="17"/>
        <v/>
      </c>
      <c r="N1105" s="287">
        <f>IF(C1105="Sale",SUMIFS($D$4:D1105,$B$4:B1105,B1105,$C$4:C1105,"")+SUMIFS($D$4:D1105,$B$4:B1105,B1105,$C$4:C1105,"Purch")-SUMIFS($D$4:D1105,$B$4:B1105,B1105,$C$4:C1105,"Sale"),0)</f>
        <v>0</v>
      </c>
    </row>
    <row r="1106" spans="1:14" x14ac:dyDescent="0.2">
      <c r="A1106" s="152"/>
      <c r="B1106" s="132"/>
      <c r="C1106" s="132"/>
      <c r="D1106" s="277"/>
      <c r="E1106" s="132"/>
      <c r="F1106" s="170"/>
      <c r="G1106" s="150"/>
      <c r="H1106" s="152"/>
      <c r="I1106" s="204"/>
      <c r="J1106" s="285"/>
      <c r="K1106" s="251"/>
      <c r="L1106" s="133" t="str">
        <f>IF(AND(I1106&lt;&gt;"",ISERROR(IF(ISERROR(VLOOKUP(I1106*1,Summary!$C$8:$C$153,1,0)),VLOOKUP(I1106,Summary!$C$8:$C$153,1,0),VLOOKUP(I1106*1,Summary!$C$8:$C$153,1,0)))),"Add account Number to Summary","")</f>
        <v/>
      </c>
      <c r="M1106" s="131" t="str">
        <f t="shared" si="17"/>
        <v/>
      </c>
      <c r="N1106" s="287">
        <f>IF(C1106="Sale",SUMIFS($D$4:D1106,$B$4:B1106,B1106,$C$4:C1106,"")+SUMIFS($D$4:D1106,$B$4:B1106,B1106,$C$4:C1106,"Purch")-SUMIFS($D$4:D1106,$B$4:B1106,B1106,$C$4:C1106,"Sale"),0)</f>
        <v>0</v>
      </c>
    </row>
    <row r="1107" spans="1:14" x14ac:dyDescent="0.2">
      <c r="A1107" s="152"/>
      <c r="B1107" s="132"/>
      <c r="C1107" s="132"/>
      <c r="D1107" s="277"/>
      <c r="E1107" s="132"/>
      <c r="F1107" s="170"/>
      <c r="G1107" s="150"/>
      <c r="H1107" s="152"/>
      <c r="I1107" s="204"/>
      <c r="J1107" s="285"/>
      <c r="K1107" s="251"/>
      <c r="L1107" s="133" t="str">
        <f>IF(AND(I1107&lt;&gt;"",ISERROR(IF(ISERROR(VLOOKUP(I1107*1,Summary!$C$8:$C$153,1,0)),VLOOKUP(I1107,Summary!$C$8:$C$153,1,0),VLOOKUP(I1107*1,Summary!$C$8:$C$153,1,0)))),"Add account Number to Summary","")</f>
        <v/>
      </c>
      <c r="M1107" s="131" t="str">
        <f t="shared" si="17"/>
        <v/>
      </c>
      <c r="N1107" s="287">
        <f>IF(C1107="Sale",SUMIFS($D$4:D1107,$B$4:B1107,B1107,$C$4:C1107,"")+SUMIFS($D$4:D1107,$B$4:B1107,B1107,$C$4:C1107,"Purch")-SUMIFS($D$4:D1107,$B$4:B1107,B1107,$C$4:C1107,"Sale"),0)</f>
        <v>0</v>
      </c>
    </row>
    <row r="1108" spans="1:14" x14ac:dyDescent="0.2">
      <c r="A1108" s="152"/>
      <c r="B1108" s="132"/>
      <c r="C1108" s="132"/>
      <c r="D1108" s="277"/>
      <c r="E1108" s="132"/>
      <c r="F1108" s="170"/>
      <c r="G1108" s="150"/>
      <c r="H1108" s="152"/>
      <c r="I1108" s="204"/>
      <c r="J1108" s="285"/>
      <c r="K1108" s="251"/>
      <c r="L1108" s="133" t="str">
        <f>IF(AND(I1108&lt;&gt;"",ISERROR(IF(ISERROR(VLOOKUP(I1108*1,Summary!$C$8:$C$153,1,0)),VLOOKUP(I1108,Summary!$C$8:$C$153,1,0),VLOOKUP(I1108*1,Summary!$C$8:$C$153,1,0)))),"Add account Number to Summary","")</f>
        <v/>
      </c>
      <c r="M1108" s="131" t="str">
        <f t="shared" si="17"/>
        <v/>
      </c>
      <c r="N1108" s="287">
        <f>IF(C1108="Sale",SUMIFS($D$4:D1108,$B$4:B1108,B1108,$C$4:C1108,"")+SUMIFS($D$4:D1108,$B$4:B1108,B1108,$C$4:C1108,"Purch")-SUMIFS($D$4:D1108,$B$4:B1108,B1108,$C$4:C1108,"Sale"),0)</f>
        <v>0</v>
      </c>
    </row>
    <row r="1109" spans="1:14" x14ac:dyDescent="0.2">
      <c r="A1109" s="152"/>
      <c r="B1109" s="132"/>
      <c r="C1109" s="132"/>
      <c r="D1109" s="277"/>
      <c r="E1109" s="132"/>
      <c r="F1109" s="170"/>
      <c r="G1109" s="150"/>
      <c r="H1109" s="152"/>
      <c r="I1109" s="204"/>
      <c r="J1109" s="285"/>
      <c r="K1109" s="251"/>
      <c r="L1109" s="133" t="str">
        <f>IF(AND(I1109&lt;&gt;"",ISERROR(IF(ISERROR(VLOOKUP(I1109*1,Summary!$C$8:$C$153,1,0)),VLOOKUP(I1109,Summary!$C$8:$C$153,1,0),VLOOKUP(I1109*1,Summary!$C$8:$C$153,1,0)))),"Add account Number to Summary","")</f>
        <v/>
      </c>
      <c r="M1109" s="131" t="str">
        <f t="shared" si="17"/>
        <v/>
      </c>
      <c r="N1109" s="287">
        <f>IF(C1109="Sale",SUMIFS($D$4:D1109,$B$4:B1109,B1109,$C$4:C1109,"")+SUMIFS($D$4:D1109,$B$4:B1109,B1109,$C$4:C1109,"Purch")-SUMIFS($D$4:D1109,$B$4:B1109,B1109,$C$4:C1109,"Sale"),0)</f>
        <v>0</v>
      </c>
    </row>
    <row r="1110" spans="1:14" x14ac:dyDescent="0.2">
      <c r="A1110" s="152"/>
      <c r="B1110" s="132"/>
      <c r="C1110" s="132"/>
      <c r="D1110" s="277"/>
      <c r="E1110" s="132"/>
      <c r="F1110" s="170"/>
      <c r="G1110" s="150"/>
      <c r="H1110" s="152"/>
      <c r="I1110" s="204"/>
      <c r="J1110" s="285"/>
      <c r="K1110" s="251"/>
      <c r="L1110" s="133" t="str">
        <f>IF(AND(I1110&lt;&gt;"",ISERROR(IF(ISERROR(VLOOKUP(I1110*1,Summary!$C$8:$C$153,1,0)),VLOOKUP(I1110,Summary!$C$8:$C$153,1,0),VLOOKUP(I1110*1,Summary!$C$8:$C$153,1,0)))),"Add account Number to Summary","")</f>
        <v/>
      </c>
      <c r="M1110" s="131" t="str">
        <f t="shared" si="17"/>
        <v/>
      </c>
      <c r="N1110" s="287">
        <f>IF(C1110="Sale",SUMIFS($D$4:D1110,$B$4:B1110,B1110,$C$4:C1110,"")+SUMIFS($D$4:D1110,$B$4:B1110,B1110,$C$4:C1110,"Purch")-SUMIFS($D$4:D1110,$B$4:B1110,B1110,$C$4:C1110,"Sale"),0)</f>
        <v>0</v>
      </c>
    </row>
    <row r="1111" spans="1:14" x14ac:dyDescent="0.2">
      <c r="A1111" s="152"/>
      <c r="B1111" s="132"/>
      <c r="C1111" s="132"/>
      <c r="D1111" s="277"/>
      <c r="E1111" s="132"/>
      <c r="F1111" s="170"/>
      <c r="G1111" s="150"/>
      <c r="H1111" s="152"/>
      <c r="I1111" s="204"/>
      <c r="J1111" s="285"/>
      <c r="K1111" s="251"/>
      <c r="L1111" s="133" t="str">
        <f>IF(AND(I1111&lt;&gt;"",ISERROR(IF(ISERROR(VLOOKUP(I1111*1,Summary!$C$8:$C$153,1,0)),VLOOKUP(I1111,Summary!$C$8:$C$153,1,0),VLOOKUP(I1111*1,Summary!$C$8:$C$153,1,0)))),"Add account Number to Summary","")</f>
        <v/>
      </c>
      <c r="M1111" s="131" t="str">
        <f t="shared" si="17"/>
        <v/>
      </c>
      <c r="N1111" s="287">
        <f>IF(C1111="Sale",SUMIFS($D$4:D1111,$B$4:B1111,B1111,$C$4:C1111,"")+SUMIFS($D$4:D1111,$B$4:B1111,B1111,$C$4:C1111,"Purch")-SUMIFS($D$4:D1111,$B$4:B1111,B1111,$C$4:C1111,"Sale"),0)</f>
        <v>0</v>
      </c>
    </row>
    <row r="1112" spans="1:14" x14ac:dyDescent="0.2">
      <c r="A1112" s="152"/>
      <c r="B1112" s="132"/>
      <c r="C1112" s="132"/>
      <c r="D1112" s="277"/>
      <c r="E1112" s="132"/>
      <c r="F1112" s="170"/>
      <c r="G1112" s="150"/>
      <c r="H1112" s="152"/>
      <c r="I1112" s="204"/>
      <c r="J1112" s="285"/>
      <c r="K1112" s="251"/>
      <c r="L1112" s="133" t="str">
        <f>IF(AND(I1112&lt;&gt;"",ISERROR(IF(ISERROR(VLOOKUP(I1112*1,Summary!$C$8:$C$153,1,0)),VLOOKUP(I1112,Summary!$C$8:$C$153,1,0),VLOOKUP(I1112*1,Summary!$C$8:$C$153,1,0)))),"Add account Number to Summary","")</f>
        <v/>
      </c>
      <c r="M1112" s="131" t="str">
        <f t="shared" si="17"/>
        <v/>
      </c>
      <c r="N1112" s="287">
        <f>IF(C1112="Sale",SUMIFS($D$4:D1112,$B$4:B1112,B1112,$C$4:C1112,"")+SUMIFS($D$4:D1112,$B$4:B1112,B1112,$C$4:C1112,"Purch")-SUMIFS($D$4:D1112,$B$4:B1112,B1112,$C$4:C1112,"Sale"),0)</f>
        <v>0</v>
      </c>
    </row>
    <row r="1113" spans="1:14" x14ac:dyDescent="0.2">
      <c r="A1113" s="152"/>
      <c r="B1113" s="132"/>
      <c r="C1113" s="132"/>
      <c r="D1113" s="277"/>
      <c r="E1113" s="132"/>
      <c r="F1113" s="170"/>
      <c r="G1113" s="150"/>
      <c r="H1113" s="152"/>
      <c r="I1113" s="204"/>
      <c r="J1113" s="285"/>
      <c r="K1113" s="251"/>
      <c r="L1113" s="133" t="str">
        <f>IF(AND(I1113&lt;&gt;"",ISERROR(IF(ISERROR(VLOOKUP(I1113*1,Summary!$C$8:$C$153,1,0)),VLOOKUP(I1113,Summary!$C$8:$C$153,1,0),VLOOKUP(I1113*1,Summary!$C$8:$C$153,1,0)))),"Add account Number to Summary","")</f>
        <v/>
      </c>
      <c r="M1113" s="131" t="str">
        <f t="shared" si="17"/>
        <v/>
      </c>
      <c r="N1113" s="287">
        <f>IF(C1113="Sale",SUMIFS($D$4:D1113,$B$4:B1113,B1113,$C$4:C1113,"")+SUMIFS($D$4:D1113,$B$4:B1113,B1113,$C$4:C1113,"Purch")-SUMIFS($D$4:D1113,$B$4:B1113,B1113,$C$4:C1113,"Sale"),0)</f>
        <v>0</v>
      </c>
    </row>
    <row r="1114" spans="1:14" x14ac:dyDescent="0.2">
      <c r="A1114" s="152"/>
      <c r="B1114" s="132"/>
      <c r="C1114" s="132"/>
      <c r="D1114" s="277"/>
      <c r="E1114" s="132"/>
      <c r="F1114" s="170"/>
      <c r="G1114" s="150"/>
      <c r="H1114" s="152"/>
      <c r="I1114" s="204"/>
      <c r="J1114" s="285"/>
      <c r="K1114" s="251"/>
      <c r="L1114" s="133" t="str">
        <f>IF(AND(I1114&lt;&gt;"",ISERROR(IF(ISERROR(VLOOKUP(I1114*1,Summary!$C$8:$C$153,1,0)),VLOOKUP(I1114,Summary!$C$8:$C$153,1,0),VLOOKUP(I1114*1,Summary!$C$8:$C$153,1,0)))),"Add account Number to Summary","")</f>
        <v/>
      </c>
      <c r="M1114" s="131" t="str">
        <f t="shared" si="17"/>
        <v/>
      </c>
      <c r="N1114" s="287">
        <f>IF(C1114="Sale",SUMIFS($D$4:D1114,$B$4:B1114,B1114,$C$4:C1114,"")+SUMIFS($D$4:D1114,$B$4:B1114,B1114,$C$4:C1114,"Purch")-SUMIFS($D$4:D1114,$B$4:B1114,B1114,$C$4:C1114,"Sale"),0)</f>
        <v>0</v>
      </c>
    </row>
    <row r="1115" spans="1:14" x14ac:dyDescent="0.2">
      <c r="A1115" s="152"/>
      <c r="B1115" s="132"/>
      <c r="C1115" s="132"/>
      <c r="D1115" s="277"/>
      <c r="E1115" s="132"/>
      <c r="F1115" s="170"/>
      <c r="G1115" s="150"/>
      <c r="H1115" s="152"/>
      <c r="I1115" s="204"/>
      <c r="J1115" s="285"/>
      <c r="K1115" s="251"/>
      <c r="L1115" s="133" t="str">
        <f>IF(AND(I1115&lt;&gt;"",ISERROR(IF(ISERROR(VLOOKUP(I1115*1,Summary!$C$8:$C$153,1,0)),VLOOKUP(I1115,Summary!$C$8:$C$153,1,0),VLOOKUP(I1115*1,Summary!$C$8:$C$153,1,0)))),"Add account Number to Summary","")</f>
        <v/>
      </c>
      <c r="M1115" s="131" t="str">
        <f t="shared" si="17"/>
        <v/>
      </c>
      <c r="N1115" s="287">
        <f>IF(C1115="Sale",SUMIFS($D$4:D1115,$B$4:B1115,B1115,$C$4:C1115,"")+SUMIFS($D$4:D1115,$B$4:B1115,B1115,$C$4:C1115,"Purch")-SUMIFS($D$4:D1115,$B$4:B1115,B1115,$C$4:C1115,"Sale"),0)</f>
        <v>0</v>
      </c>
    </row>
    <row r="1116" spans="1:14" x14ac:dyDescent="0.2">
      <c r="A1116" s="152"/>
      <c r="B1116" s="132"/>
      <c r="C1116" s="132"/>
      <c r="D1116" s="277"/>
      <c r="E1116" s="132"/>
      <c r="F1116" s="170"/>
      <c r="G1116" s="150"/>
      <c r="H1116" s="152"/>
      <c r="I1116" s="204"/>
      <c r="J1116" s="285"/>
      <c r="K1116" s="251"/>
      <c r="L1116" s="133" t="str">
        <f>IF(AND(I1116&lt;&gt;"",ISERROR(IF(ISERROR(VLOOKUP(I1116*1,Summary!$C$8:$C$153,1,0)),VLOOKUP(I1116,Summary!$C$8:$C$153,1,0),VLOOKUP(I1116*1,Summary!$C$8:$C$153,1,0)))),"Add account Number to Summary","")</f>
        <v/>
      </c>
      <c r="M1116" s="131" t="str">
        <f t="shared" si="17"/>
        <v/>
      </c>
      <c r="N1116" s="287">
        <f>IF(C1116="Sale",SUMIFS($D$4:D1116,$B$4:B1116,B1116,$C$4:C1116,"")+SUMIFS($D$4:D1116,$B$4:B1116,B1116,$C$4:C1116,"Purch")-SUMIFS($D$4:D1116,$B$4:B1116,B1116,$C$4:C1116,"Sale"),0)</f>
        <v>0</v>
      </c>
    </row>
    <row r="1117" spans="1:14" x14ac:dyDescent="0.2">
      <c r="A1117" s="152"/>
      <c r="B1117" s="132"/>
      <c r="C1117" s="132"/>
      <c r="D1117" s="277"/>
      <c r="E1117" s="132"/>
      <c r="F1117" s="170"/>
      <c r="G1117" s="150"/>
      <c r="H1117" s="152"/>
      <c r="I1117" s="204"/>
      <c r="J1117" s="285"/>
      <c r="K1117" s="251"/>
      <c r="L1117" s="133" t="str">
        <f>IF(AND(I1117&lt;&gt;"",ISERROR(IF(ISERROR(VLOOKUP(I1117*1,Summary!$C$8:$C$153,1,0)),VLOOKUP(I1117,Summary!$C$8:$C$153,1,0),VLOOKUP(I1117*1,Summary!$C$8:$C$153,1,0)))),"Add account Number to Summary","")</f>
        <v/>
      </c>
      <c r="M1117" s="131" t="str">
        <f t="shared" si="17"/>
        <v/>
      </c>
      <c r="N1117" s="287">
        <f>IF(C1117="Sale",SUMIFS($D$4:D1117,$B$4:B1117,B1117,$C$4:C1117,"")+SUMIFS($D$4:D1117,$B$4:B1117,B1117,$C$4:C1117,"Purch")-SUMIFS($D$4:D1117,$B$4:B1117,B1117,$C$4:C1117,"Sale"),0)</f>
        <v>0</v>
      </c>
    </row>
    <row r="1118" spans="1:14" x14ac:dyDescent="0.2">
      <c r="A1118" s="152"/>
      <c r="B1118" s="132"/>
      <c r="C1118" s="132"/>
      <c r="D1118" s="277"/>
      <c r="E1118" s="132"/>
      <c r="F1118" s="170"/>
      <c r="G1118" s="150"/>
      <c r="H1118" s="152"/>
      <c r="I1118" s="204"/>
      <c r="J1118" s="285"/>
      <c r="K1118" s="251"/>
      <c r="L1118" s="133" t="str">
        <f>IF(AND(I1118&lt;&gt;"",ISERROR(IF(ISERROR(VLOOKUP(I1118*1,Summary!$C$8:$C$153,1,0)),VLOOKUP(I1118,Summary!$C$8:$C$153,1,0),VLOOKUP(I1118*1,Summary!$C$8:$C$153,1,0)))),"Add account Number to Summary","")</f>
        <v/>
      </c>
      <c r="M1118" s="131" t="str">
        <f t="shared" si="17"/>
        <v/>
      </c>
      <c r="N1118" s="287">
        <f>IF(C1118="Sale",SUMIFS($D$4:D1118,$B$4:B1118,B1118,$C$4:C1118,"")+SUMIFS($D$4:D1118,$B$4:B1118,B1118,$C$4:C1118,"Purch")-SUMIFS($D$4:D1118,$B$4:B1118,B1118,$C$4:C1118,"Sale"),0)</f>
        <v>0</v>
      </c>
    </row>
    <row r="1119" spans="1:14" x14ac:dyDescent="0.2">
      <c r="A1119" s="152"/>
      <c r="B1119" s="132"/>
      <c r="C1119" s="132"/>
      <c r="D1119" s="277"/>
      <c r="E1119" s="132"/>
      <c r="F1119" s="170"/>
      <c r="G1119" s="150"/>
      <c r="H1119" s="152"/>
      <c r="I1119" s="204"/>
      <c r="J1119" s="285"/>
      <c r="K1119" s="251"/>
      <c r="L1119" s="133" t="str">
        <f>IF(AND(I1119&lt;&gt;"",ISERROR(IF(ISERROR(VLOOKUP(I1119*1,Summary!$C$8:$C$153,1,0)),VLOOKUP(I1119,Summary!$C$8:$C$153,1,0),VLOOKUP(I1119*1,Summary!$C$8:$C$153,1,0)))),"Add account Number to Summary","")</f>
        <v/>
      </c>
      <c r="M1119" s="131" t="str">
        <f t="shared" si="17"/>
        <v/>
      </c>
      <c r="N1119" s="287">
        <f>IF(C1119="Sale",SUMIFS($D$4:D1119,$B$4:B1119,B1119,$C$4:C1119,"")+SUMIFS($D$4:D1119,$B$4:B1119,B1119,$C$4:C1119,"Purch")-SUMIFS($D$4:D1119,$B$4:B1119,B1119,$C$4:C1119,"Sale"),0)</f>
        <v>0</v>
      </c>
    </row>
    <row r="1120" spans="1:14" x14ac:dyDescent="0.2">
      <c r="A1120" s="152"/>
      <c r="B1120" s="132"/>
      <c r="C1120" s="132"/>
      <c r="D1120" s="277"/>
      <c r="E1120" s="132"/>
      <c r="F1120" s="170"/>
      <c r="G1120" s="150"/>
      <c r="H1120" s="152"/>
      <c r="I1120" s="204"/>
      <c r="J1120" s="285"/>
      <c r="K1120" s="251"/>
      <c r="L1120" s="133" t="str">
        <f>IF(AND(I1120&lt;&gt;"",ISERROR(IF(ISERROR(VLOOKUP(I1120*1,Summary!$C$8:$C$153,1,0)),VLOOKUP(I1120,Summary!$C$8:$C$153,1,0),VLOOKUP(I1120*1,Summary!$C$8:$C$153,1,0)))),"Add account Number to Summary","")</f>
        <v/>
      </c>
      <c r="M1120" s="131" t="str">
        <f t="shared" si="17"/>
        <v/>
      </c>
      <c r="N1120" s="287">
        <f>IF(C1120="Sale",SUMIFS($D$4:D1120,$B$4:B1120,B1120,$C$4:C1120,"")+SUMIFS($D$4:D1120,$B$4:B1120,B1120,$C$4:C1120,"Purch")-SUMIFS($D$4:D1120,$B$4:B1120,B1120,$C$4:C1120,"Sale"),0)</f>
        <v>0</v>
      </c>
    </row>
    <row r="1121" spans="1:14" x14ac:dyDescent="0.2">
      <c r="A1121" s="152"/>
      <c r="B1121" s="132"/>
      <c r="C1121" s="132"/>
      <c r="D1121" s="277"/>
      <c r="E1121" s="132"/>
      <c r="F1121" s="170"/>
      <c r="G1121" s="150"/>
      <c r="H1121" s="152"/>
      <c r="I1121" s="204"/>
      <c r="J1121" s="285"/>
      <c r="K1121" s="251"/>
      <c r="L1121" s="133" t="str">
        <f>IF(AND(I1121&lt;&gt;"",ISERROR(IF(ISERROR(VLOOKUP(I1121*1,Summary!$C$8:$C$153,1,0)),VLOOKUP(I1121,Summary!$C$8:$C$153,1,0),VLOOKUP(I1121*1,Summary!$C$8:$C$153,1,0)))),"Add account Number to Summary","")</f>
        <v/>
      </c>
      <c r="M1121" s="131" t="str">
        <f t="shared" si="17"/>
        <v/>
      </c>
      <c r="N1121" s="287">
        <f>IF(C1121="Sale",SUMIFS($D$4:D1121,$B$4:B1121,B1121,$C$4:C1121,"")+SUMIFS($D$4:D1121,$B$4:B1121,B1121,$C$4:C1121,"Purch")-SUMIFS($D$4:D1121,$B$4:B1121,B1121,$C$4:C1121,"Sale"),0)</f>
        <v>0</v>
      </c>
    </row>
    <row r="1122" spans="1:14" x14ac:dyDescent="0.2">
      <c r="A1122" s="152"/>
      <c r="B1122" s="132"/>
      <c r="C1122" s="132"/>
      <c r="D1122" s="277"/>
      <c r="E1122" s="132"/>
      <c r="F1122" s="170"/>
      <c r="G1122" s="150"/>
      <c r="H1122" s="152"/>
      <c r="I1122" s="204"/>
      <c r="J1122" s="285"/>
      <c r="K1122" s="251"/>
      <c r="L1122" s="133" t="str">
        <f>IF(AND(I1122&lt;&gt;"",ISERROR(IF(ISERROR(VLOOKUP(I1122*1,Summary!$C$8:$C$153,1,0)),VLOOKUP(I1122,Summary!$C$8:$C$153,1,0),VLOOKUP(I1122*1,Summary!$C$8:$C$153,1,0)))),"Add account Number to Summary","")</f>
        <v/>
      </c>
      <c r="M1122" s="131" t="str">
        <f t="shared" si="17"/>
        <v/>
      </c>
      <c r="N1122" s="287">
        <f>IF(C1122="Sale",SUMIFS($D$4:D1122,$B$4:B1122,B1122,$C$4:C1122,"")+SUMIFS($D$4:D1122,$B$4:B1122,B1122,$C$4:C1122,"Purch")-SUMIFS($D$4:D1122,$B$4:B1122,B1122,$C$4:C1122,"Sale"),0)</f>
        <v>0</v>
      </c>
    </row>
    <row r="1123" spans="1:14" x14ac:dyDescent="0.2">
      <c r="A1123" s="152"/>
      <c r="B1123" s="132"/>
      <c r="C1123" s="132"/>
      <c r="D1123" s="277"/>
      <c r="E1123" s="132"/>
      <c r="F1123" s="170"/>
      <c r="G1123" s="150"/>
      <c r="H1123" s="152"/>
      <c r="I1123" s="204"/>
      <c r="J1123" s="285"/>
      <c r="K1123" s="251"/>
      <c r="L1123" s="133" t="str">
        <f>IF(AND(I1123&lt;&gt;"",ISERROR(IF(ISERROR(VLOOKUP(I1123*1,Summary!$C$8:$C$153,1,0)),VLOOKUP(I1123,Summary!$C$8:$C$153,1,0),VLOOKUP(I1123*1,Summary!$C$8:$C$153,1,0)))),"Add account Number to Summary","")</f>
        <v/>
      </c>
      <c r="M1123" s="131" t="str">
        <f t="shared" si="17"/>
        <v/>
      </c>
      <c r="N1123" s="287">
        <f>IF(C1123="Sale",SUMIFS($D$4:D1123,$B$4:B1123,B1123,$C$4:C1123,"")+SUMIFS($D$4:D1123,$B$4:B1123,B1123,$C$4:C1123,"Purch")-SUMIFS($D$4:D1123,$B$4:B1123,B1123,$C$4:C1123,"Sale"),0)</f>
        <v>0</v>
      </c>
    </row>
    <row r="1124" spans="1:14" x14ac:dyDescent="0.2">
      <c r="A1124" s="152"/>
      <c r="B1124" s="132"/>
      <c r="C1124" s="132"/>
      <c r="D1124" s="277"/>
      <c r="E1124" s="132"/>
      <c r="F1124" s="170"/>
      <c r="G1124" s="150"/>
      <c r="H1124" s="152"/>
      <c r="I1124" s="204"/>
      <c r="J1124" s="285"/>
      <c r="K1124" s="251"/>
      <c r="L1124" s="133" t="str">
        <f>IF(AND(I1124&lt;&gt;"",ISERROR(IF(ISERROR(VLOOKUP(I1124*1,Summary!$C$8:$C$153,1,0)),VLOOKUP(I1124,Summary!$C$8:$C$153,1,0),VLOOKUP(I1124*1,Summary!$C$8:$C$153,1,0)))),"Add account Number to Summary","")</f>
        <v/>
      </c>
      <c r="M1124" s="131" t="str">
        <f t="shared" si="17"/>
        <v/>
      </c>
      <c r="N1124" s="287">
        <f>IF(C1124="Sale",SUMIFS($D$4:D1124,$B$4:B1124,B1124,$C$4:C1124,"")+SUMIFS($D$4:D1124,$B$4:B1124,B1124,$C$4:C1124,"Purch")-SUMIFS($D$4:D1124,$B$4:B1124,B1124,$C$4:C1124,"Sale"),0)</f>
        <v>0</v>
      </c>
    </row>
    <row r="1125" spans="1:14" x14ac:dyDescent="0.2">
      <c r="A1125" s="152"/>
      <c r="B1125" s="132"/>
      <c r="C1125" s="132"/>
      <c r="D1125" s="277"/>
      <c r="E1125" s="132"/>
      <c r="F1125" s="170"/>
      <c r="G1125" s="150"/>
      <c r="H1125" s="152"/>
      <c r="I1125" s="204"/>
      <c r="J1125" s="285"/>
      <c r="K1125" s="251"/>
      <c r="L1125" s="133" t="str">
        <f>IF(AND(I1125&lt;&gt;"",ISERROR(IF(ISERROR(VLOOKUP(I1125*1,Summary!$C$8:$C$153,1,0)),VLOOKUP(I1125,Summary!$C$8:$C$153,1,0),VLOOKUP(I1125*1,Summary!$C$8:$C$153,1,0)))),"Add account Number to Summary","")</f>
        <v/>
      </c>
      <c r="M1125" s="131" t="str">
        <f t="shared" si="17"/>
        <v/>
      </c>
      <c r="N1125" s="287">
        <f>IF(C1125="Sale",SUMIFS($D$4:D1125,$B$4:B1125,B1125,$C$4:C1125,"")+SUMIFS($D$4:D1125,$B$4:B1125,B1125,$C$4:C1125,"Purch")-SUMIFS($D$4:D1125,$B$4:B1125,B1125,$C$4:C1125,"Sale"),0)</f>
        <v>0</v>
      </c>
    </row>
    <row r="1126" spans="1:14" x14ac:dyDescent="0.2">
      <c r="A1126" s="152"/>
      <c r="B1126" s="132"/>
      <c r="C1126" s="132"/>
      <c r="D1126" s="277"/>
      <c r="E1126" s="132"/>
      <c r="F1126" s="170"/>
      <c r="G1126" s="150"/>
      <c r="H1126" s="152"/>
      <c r="I1126" s="204"/>
      <c r="J1126" s="285"/>
      <c r="K1126" s="251"/>
      <c r="L1126" s="133" t="str">
        <f>IF(AND(I1126&lt;&gt;"",ISERROR(IF(ISERROR(VLOOKUP(I1126*1,Summary!$C$8:$C$153,1,0)),VLOOKUP(I1126,Summary!$C$8:$C$153,1,0),VLOOKUP(I1126*1,Summary!$C$8:$C$153,1,0)))),"Add account Number to Summary","")</f>
        <v/>
      </c>
      <c r="M1126" s="131" t="str">
        <f t="shared" si="17"/>
        <v/>
      </c>
      <c r="N1126" s="287">
        <f>IF(C1126="Sale",SUMIFS($D$4:D1126,$B$4:B1126,B1126,$C$4:C1126,"")+SUMIFS($D$4:D1126,$B$4:B1126,B1126,$C$4:C1126,"Purch")-SUMIFS($D$4:D1126,$B$4:B1126,B1126,$C$4:C1126,"Sale"),0)</f>
        <v>0</v>
      </c>
    </row>
    <row r="1127" spans="1:14" x14ac:dyDescent="0.2">
      <c r="A1127" s="152"/>
      <c r="B1127" s="132"/>
      <c r="C1127" s="132"/>
      <c r="D1127" s="277"/>
      <c r="E1127" s="132"/>
      <c r="F1127" s="170"/>
      <c r="G1127" s="150"/>
      <c r="H1127" s="152"/>
      <c r="I1127" s="204"/>
      <c r="J1127" s="285"/>
      <c r="K1127" s="251"/>
      <c r="L1127" s="133" t="str">
        <f>IF(AND(I1127&lt;&gt;"",ISERROR(IF(ISERROR(VLOOKUP(I1127*1,Summary!$C$8:$C$153,1,0)),VLOOKUP(I1127,Summary!$C$8:$C$153,1,0),VLOOKUP(I1127*1,Summary!$C$8:$C$153,1,0)))),"Add account Number to Summary","")</f>
        <v/>
      </c>
      <c r="M1127" s="131" t="str">
        <f t="shared" si="17"/>
        <v/>
      </c>
      <c r="N1127" s="287">
        <f>IF(C1127="Sale",SUMIFS($D$4:D1127,$B$4:B1127,B1127,$C$4:C1127,"")+SUMIFS($D$4:D1127,$B$4:B1127,B1127,$C$4:C1127,"Purch")-SUMIFS($D$4:D1127,$B$4:B1127,B1127,$C$4:C1127,"Sale"),0)</f>
        <v>0</v>
      </c>
    </row>
    <row r="1128" spans="1:14" x14ac:dyDescent="0.2">
      <c r="A1128" s="152"/>
      <c r="B1128" s="132"/>
      <c r="C1128" s="132"/>
      <c r="D1128" s="277"/>
      <c r="E1128" s="132"/>
      <c r="F1128" s="170"/>
      <c r="G1128" s="150"/>
      <c r="H1128" s="152"/>
      <c r="I1128" s="204"/>
      <c r="J1128" s="285"/>
      <c r="K1128" s="251"/>
      <c r="L1128" s="133" t="str">
        <f>IF(AND(I1128&lt;&gt;"",ISERROR(IF(ISERROR(VLOOKUP(I1128*1,Summary!$C$8:$C$153,1,0)),VLOOKUP(I1128,Summary!$C$8:$C$153,1,0),VLOOKUP(I1128*1,Summary!$C$8:$C$153,1,0)))),"Add account Number to Summary","")</f>
        <v/>
      </c>
      <c r="M1128" s="131" t="str">
        <f t="shared" si="17"/>
        <v/>
      </c>
      <c r="N1128" s="287">
        <f>IF(C1128="Sale",SUMIFS($D$4:D1128,$B$4:B1128,B1128,$C$4:C1128,"")+SUMIFS($D$4:D1128,$B$4:B1128,B1128,$C$4:C1128,"Purch")-SUMIFS($D$4:D1128,$B$4:B1128,B1128,$C$4:C1128,"Sale"),0)</f>
        <v>0</v>
      </c>
    </row>
    <row r="1129" spans="1:14" x14ac:dyDescent="0.2">
      <c r="A1129" s="152"/>
      <c r="B1129" s="132"/>
      <c r="C1129" s="132"/>
      <c r="D1129" s="277"/>
      <c r="E1129" s="132"/>
      <c r="F1129" s="170"/>
      <c r="G1129" s="150"/>
      <c r="H1129" s="152"/>
      <c r="I1129" s="204"/>
      <c r="J1129" s="285"/>
      <c r="K1129" s="251"/>
      <c r="L1129" s="133" t="str">
        <f>IF(AND(I1129&lt;&gt;"",ISERROR(IF(ISERROR(VLOOKUP(I1129*1,Summary!$C$8:$C$153,1,0)),VLOOKUP(I1129,Summary!$C$8:$C$153,1,0),VLOOKUP(I1129*1,Summary!$C$8:$C$153,1,0)))),"Add account Number to Summary","")</f>
        <v/>
      </c>
      <c r="M1129" s="131" t="str">
        <f t="shared" si="17"/>
        <v/>
      </c>
      <c r="N1129" s="287">
        <f>IF(C1129="Sale",SUMIFS($D$4:D1129,$B$4:B1129,B1129,$C$4:C1129,"")+SUMIFS($D$4:D1129,$B$4:B1129,B1129,$C$4:C1129,"Purch")-SUMIFS($D$4:D1129,$B$4:B1129,B1129,$C$4:C1129,"Sale"),0)</f>
        <v>0</v>
      </c>
    </row>
    <row r="1130" spans="1:14" x14ac:dyDescent="0.2">
      <c r="A1130" s="152"/>
      <c r="B1130" s="132"/>
      <c r="C1130" s="132"/>
      <c r="D1130" s="277"/>
      <c r="E1130" s="132"/>
      <c r="F1130" s="170"/>
      <c r="G1130" s="150"/>
      <c r="H1130" s="152"/>
      <c r="I1130" s="204"/>
      <c r="J1130" s="285"/>
      <c r="K1130" s="251"/>
      <c r="L1130" s="133" t="str">
        <f>IF(AND(I1130&lt;&gt;"",ISERROR(IF(ISERROR(VLOOKUP(I1130*1,Summary!$C$8:$C$153,1,0)),VLOOKUP(I1130,Summary!$C$8:$C$153,1,0),VLOOKUP(I1130*1,Summary!$C$8:$C$153,1,0)))),"Add account Number to Summary","")</f>
        <v/>
      </c>
      <c r="M1130" s="131" t="str">
        <f t="shared" si="17"/>
        <v/>
      </c>
      <c r="N1130" s="287">
        <f>IF(C1130="Sale",SUMIFS($D$4:D1130,$B$4:B1130,B1130,$C$4:C1130,"")+SUMIFS($D$4:D1130,$B$4:B1130,B1130,$C$4:C1130,"Purch")-SUMIFS($D$4:D1130,$B$4:B1130,B1130,$C$4:C1130,"Sale"),0)</f>
        <v>0</v>
      </c>
    </row>
    <row r="1131" spans="1:14" x14ac:dyDescent="0.2">
      <c r="A1131" s="152"/>
      <c r="B1131" s="132"/>
      <c r="C1131" s="132"/>
      <c r="D1131" s="277"/>
      <c r="E1131" s="132"/>
      <c r="F1131" s="170"/>
      <c r="G1131" s="150"/>
      <c r="H1131" s="152"/>
      <c r="I1131" s="204"/>
      <c r="J1131" s="285"/>
      <c r="K1131" s="251"/>
      <c r="L1131" s="133" t="str">
        <f>IF(AND(I1131&lt;&gt;"",ISERROR(IF(ISERROR(VLOOKUP(I1131*1,Summary!$C$8:$C$153,1,0)),VLOOKUP(I1131,Summary!$C$8:$C$153,1,0),VLOOKUP(I1131*1,Summary!$C$8:$C$153,1,0)))),"Add account Number to Summary","")</f>
        <v/>
      </c>
      <c r="M1131" s="131" t="str">
        <f t="shared" si="17"/>
        <v/>
      </c>
      <c r="N1131" s="287">
        <f>IF(C1131="Sale",SUMIFS($D$4:D1131,$B$4:B1131,B1131,$C$4:C1131,"")+SUMIFS($D$4:D1131,$B$4:B1131,B1131,$C$4:C1131,"Purch")-SUMIFS($D$4:D1131,$B$4:B1131,B1131,$C$4:C1131,"Sale"),0)</f>
        <v>0</v>
      </c>
    </row>
    <row r="1132" spans="1:14" x14ac:dyDescent="0.2">
      <c r="A1132" s="152"/>
      <c r="B1132" s="132"/>
      <c r="C1132" s="132"/>
      <c r="D1132" s="277"/>
      <c r="E1132" s="132"/>
      <c r="F1132" s="170"/>
      <c r="G1132" s="150"/>
      <c r="H1132" s="152"/>
      <c r="I1132" s="204"/>
      <c r="J1132" s="285"/>
      <c r="K1132" s="251"/>
      <c r="L1132" s="133" t="str">
        <f>IF(AND(I1132&lt;&gt;"",ISERROR(IF(ISERROR(VLOOKUP(I1132*1,Summary!$C$8:$C$153,1,0)),VLOOKUP(I1132,Summary!$C$8:$C$153,1,0),VLOOKUP(I1132*1,Summary!$C$8:$C$153,1,0)))),"Add account Number to Summary","")</f>
        <v/>
      </c>
      <c r="M1132" s="131" t="str">
        <f t="shared" ref="M1132:M1195" si="18">IF(K1132="Yes",IF(YEAR(A1132)&lt;&gt;YEAR(date),"Check Date",""),"")</f>
        <v/>
      </c>
      <c r="N1132" s="287">
        <f>IF(C1132="Sale",SUMIFS($D$4:D1132,$B$4:B1132,B1132,$C$4:C1132,"")+SUMIFS($D$4:D1132,$B$4:B1132,B1132,$C$4:C1132,"Purch")-SUMIFS($D$4:D1132,$B$4:B1132,B1132,$C$4:C1132,"Sale"),0)</f>
        <v>0</v>
      </c>
    </row>
    <row r="1133" spans="1:14" x14ac:dyDescent="0.2">
      <c r="A1133" s="152"/>
      <c r="B1133" s="132"/>
      <c r="C1133" s="132"/>
      <c r="D1133" s="277"/>
      <c r="E1133" s="132"/>
      <c r="F1133" s="170"/>
      <c r="G1133" s="150"/>
      <c r="H1133" s="152"/>
      <c r="I1133" s="204"/>
      <c r="J1133" s="285"/>
      <c r="K1133" s="251"/>
      <c r="L1133" s="133" t="str">
        <f>IF(AND(I1133&lt;&gt;"",ISERROR(IF(ISERROR(VLOOKUP(I1133*1,Summary!$C$8:$C$153,1,0)),VLOOKUP(I1133,Summary!$C$8:$C$153,1,0),VLOOKUP(I1133*1,Summary!$C$8:$C$153,1,0)))),"Add account Number to Summary","")</f>
        <v/>
      </c>
      <c r="M1133" s="131" t="str">
        <f t="shared" si="18"/>
        <v/>
      </c>
      <c r="N1133" s="287">
        <f>IF(C1133="Sale",SUMIFS($D$4:D1133,$B$4:B1133,B1133,$C$4:C1133,"")+SUMIFS($D$4:D1133,$B$4:B1133,B1133,$C$4:C1133,"Purch")-SUMIFS($D$4:D1133,$B$4:B1133,B1133,$C$4:C1133,"Sale"),0)</f>
        <v>0</v>
      </c>
    </row>
    <row r="1134" spans="1:14" x14ac:dyDescent="0.2">
      <c r="A1134" s="152"/>
      <c r="B1134" s="132"/>
      <c r="C1134" s="132"/>
      <c r="D1134" s="277"/>
      <c r="E1134" s="132"/>
      <c r="F1134" s="170"/>
      <c r="G1134" s="150"/>
      <c r="H1134" s="152"/>
      <c r="I1134" s="204"/>
      <c r="J1134" s="285"/>
      <c r="K1134" s="251"/>
      <c r="L1134" s="133" t="str">
        <f>IF(AND(I1134&lt;&gt;"",ISERROR(IF(ISERROR(VLOOKUP(I1134*1,Summary!$C$8:$C$153,1,0)),VLOOKUP(I1134,Summary!$C$8:$C$153,1,0),VLOOKUP(I1134*1,Summary!$C$8:$C$153,1,0)))),"Add account Number to Summary","")</f>
        <v/>
      </c>
      <c r="M1134" s="131" t="str">
        <f t="shared" si="18"/>
        <v/>
      </c>
      <c r="N1134" s="287">
        <f>IF(C1134="Sale",SUMIFS($D$4:D1134,$B$4:B1134,B1134,$C$4:C1134,"")+SUMIFS($D$4:D1134,$B$4:B1134,B1134,$C$4:C1134,"Purch")-SUMIFS($D$4:D1134,$B$4:B1134,B1134,$C$4:C1134,"Sale"),0)</f>
        <v>0</v>
      </c>
    </row>
    <row r="1135" spans="1:14" x14ac:dyDescent="0.2">
      <c r="A1135" s="152"/>
      <c r="B1135" s="132"/>
      <c r="C1135" s="132"/>
      <c r="D1135" s="277"/>
      <c r="E1135" s="132"/>
      <c r="F1135" s="170"/>
      <c r="G1135" s="150"/>
      <c r="H1135" s="152"/>
      <c r="I1135" s="204"/>
      <c r="J1135" s="285"/>
      <c r="K1135" s="251"/>
      <c r="L1135" s="133" t="str">
        <f>IF(AND(I1135&lt;&gt;"",ISERROR(IF(ISERROR(VLOOKUP(I1135*1,Summary!$C$8:$C$153,1,0)),VLOOKUP(I1135,Summary!$C$8:$C$153,1,0),VLOOKUP(I1135*1,Summary!$C$8:$C$153,1,0)))),"Add account Number to Summary","")</f>
        <v/>
      </c>
      <c r="M1135" s="131" t="str">
        <f t="shared" si="18"/>
        <v/>
      </c>
      <c r="N1135" s="287">
        <f>IF(C1135="Sale",SUMIFS($D$4:D1135,$B$4:B1135,B1135,$C$4:C1135,"")+SUMIFS($D$4:D1135,$B$4:B1135,B1135,$C$4:C1135,"Purch")-SUMIFS($D$4:D1135,$B$4:B1135,B1135,$C$4:C1135,"Sale"),0)</f>
        <v>0</v>
      </c>
    </row>
    <row r="1136" spans="1:14" x14ac:dyDescent="0.2">
      <c r="A1136" s="152"/>
      <c r="B1136" s="132"/>
      <c r="C1136" s="132"/>
      <c r="D1136" s="277"/>
      <c r="E1136" s="132"/>
      <c r="F1136" s="170"/>
      <c r="G1136" s="150"/>
      <c r="H1136" s="152"/>
      <c r="I1136" s="204"/>
      <c r="J1136" s="285"/>
      <c r="K1136" s="251"/>
      <c r="L1136" s="133" t="str">
        <f>IF(AND(I1136&lt;&gt;"",ISERROR(IF(ISERROR(VLOOKUP(I1136*1,Summary!$C$8:$C$153,1,0)),VLOOKUP(I1136,Summary!$C$8:$C$153,1,0),VLOOKUP(I1136*1,Summary!$C$8:$C$153,1,0)))),"Add account Number to Summary","")</f>
        <v/>
      </c>
      <c r="M1136" s="131" t="str">
        <f t="shared" si="18"/>
        <v/>
      </c>
      <c r="N1136" s="287">
        <f>IF(C1136="Sale",SUMIFS($D$4:D1136,$B$4:B1136,B1136,$C$4:C1136,"")+SUMIFS($D$4:D1136,$B$4:B1136,B1136,$C$4:C1136,"Purch")-SUMIFS($D$4:D1136,$B$4:B1136,B1136,$C$4:C1136,"Sale"),0)</f>
        <v>0</v>
      </c>
    </row>
    <row r="1137" spans="1:14" x14ac:dyDescent="0.2">
      <c r="A1137" s="152"/>
      <c r="B1137" s="132"/>
      <c r="C1137" s="132"/>
      <c r="D1137" s="277"/>
      <c r="E1137" s="132"/>
      <c r="F1137" s="170"/>
      <c r="G1137" s="150"/>
      <c r="H1137" s="152"/>
      <c r="I1137" s="204"/>
      <c r="J1137" s="285"/>
      <c r="K1137" s="251"/>
      <c r="L1137" s="133" t="str">
        <f>IF(AND(I1137&lt;&gt;"",ISERROR(IF(ISERROR(VLOOKUP(I1137*1,Summary!$C$8:$C$153,1,0)),VLOOKUP(I1137,Summary!$C$8:$C$153,1,0),VLOOKUP(I1137*1,Summary!$C$8:$C$153,1,0)))),"Add account Number to Summary","")</f>
        <v/>
      </c>
      <c r="M1137" s="131" t="str">
        <f t="shared" si="18"/>
        <v/>
      </c>
      <c r="N1137" s="287">
        <f>IF(C1137="Sale",SUMIFS($D$4:D1137,$B$4:B1137,B1137,$C$4:C1137,"")+SUMIFS($D$4:D1137,$B$4:B1137,B1137,$C$4:C1137,"Purch")-SUMIFS($D$4:D1137,$B$4:B1137,B1137,$C$4:C1137,"Sale"),0)</f>
        <v>0</v>
      </c>
    </row>
    <row r="1138" spans="1:14" x14ac:dyDescent="0.2">
      <c r="A1138" s="152"/>
      <c r="B1138" s="132"/>
      <c r="C1138" s="132"/>
      <c r="D1138" s="277"/>
      <c r="E1138" s="132"/>
      <c r="F1138" s="170"/>
      <c r="G1138" s="150"/>
      <c r="H1138" s="152"/>
      <c r="I1138" s="204"/>
      <c r="J1138" s="285"/>
      <c r="K1138" s="251"/>
      <c r="L1138" s="133" t="str">
        <f>IF(AND(I1138&lt;&gt;"",ISERROR(IF(ISERROR(VLOOKUP(I1138*1,Summary!$C$8:$C$153,1,0)),VLOOKUP(I1138,Summary!$C$8:$C$153,1,0),VLOOKUP(I1138*1,Summary!$C$8:$C$153,1,0)))),"Add account Number to Summary","")</f>
        <v/>
      </c>
      <c r="M1138" s="131" t="str">
        <f t="shared" si="18"/>
        <v/>
      </c>
      <c r="N1138" s="287">
        <f>IF(C1138="Sale",SUMIFS($D$4:D1138,$B$4:B1138,B1138,$C$4:C1138,"")+SUMIFS($D$4:D1138,$B$4:B1138,B1138,$C$4:C1138,"Purch")-SUMIFS($D$4:D1138,$B$4:B1138,B1138,$C$4:C1138,"Sale"),0)</f>
        <v>0</v>
      </c>
    </row>
    <row r="1139" spans="1:14" x14ac:dyDescent="0.2">
      <c r="A1139" s="152"/>
      <c r="B1139" s="132"/>
      <c r="C1139" s="132"/>
      <c r="D1139" s="277"/>
      <c r="E1139" s="132"/>
      <c r="F1139" s="170"/>
      <c r="G1139" s="150"/>
      <c r="H1139" s="152"/>
      <c r="I1139" s="204"/>
      <c r="J1139" s="285"/>
      <c r="K1139" s="251"/>
      <c r="L1139" s="133" t="str">
        <f>IF(AND(I1139&lt;&gt;"",ISERROR(IF(ISERROR(VLOOKUP(I1139*1,Summary!$C$8:$C$153,1,0)),VLOOKUP(I1139,Summary!$C$8:$C$153,1,0),VLOOKUP(I1139*1,Summary!$C$8:$C$153,1,0)))),"Add account Number to Summary","")</f>
        <v/>
      </c>
      <c r="M1139" s="131" t="str">
        <f t="shared" si="18"/>
        <v/>
      </c>
      <c r="N1139" s="287">
        <f>IF(C1139="Sale",SUMIFS($D$4:D1139,$B$4:B1139,B1139,$C$4:C1139,"")+SUMIFS($D$4:D1139,$B$4:B1139,B1139,$C$4:C1139,"Purch")-SUMIFS($D$4:D1139,$B$4:B1139,B1139,$C$4:C1139,"Sale"),0)</f>
        <v>0</v>
      </c>
    </row>
    <row r="1140" spans="1:14" x14ac:dyDescent="0.2">
      <c r="A1140" s="152"/>
      <c r="B1140" s="132"/>
      <c r="C1140" s="132"/>
      <c r="D1140" s="277"/>
      <c r="E1140" s="132"/>
      <c r="F1140" s="170"/>
      <c r="G1140" s="150"/>
      <c r="H1140" s="152"/>
      <c r="I1140" s="204"/>
      <c r="J1140" s="285"/>
      <c r="K1140" s="251"/>
      <c r="L1140" s="133" t="str">
        <f>IF(AND(I1140&lt;&gt;"",ISERROR(IF(ISERROR(VLOOKUP(I1140*1,Summary!$C$8:$C$153,1,0)),VLOOKUP(I1140,Summary!$C$8:$C$153,1,0),VLOOKUP(I1140*1,Summary!$C$8:$C$153,1,0)))),"Add account Number to Summary","")</f>
        <v/>
      </c>
      <c r="M1140" s="131" t="str">
        <f t="shared" si="18"/>
        <v/>
      </c>
      <c r="N1140" s="287">
        <f>IF(C1140="Sale",SUMIFS($D$4:D1140,$B$4:B1140,B1140,$C$4:C1140,"")+SUMIFS($D$4:D1140,$B$4:B1140,B1140,$C$4:C1140,"Purch")-SUMIFS($D$4:D1140,$B$4:B1140,B1140,$C$4:C1140,"Sale"),0)</f>
        <v>0</v>
      </c>
    </row>
    <row r="1141" spans="1:14" x14ac:dyDescent="0.2">
      <c r="A1141" s="152"/>
      <c r="B1141" s="132"/>
      <c r="C1141" s="132"/>
      <c r="D1141" s="277"/>
      <c r="E1141" s="132"/>
      <c r="F1141" s="170"/>
      <c r="G1141" s="150"/>
      <c r="H1141" s="152"/>
      <c r="I1141" s="204"/>
      <c r="J1141" s="285"/>
      <c r="K1141" s="251"/>
      <c r="L1141" s="133" t="str">
        <f>IF(AND(I1141&lt;&gt;"",ISERROR(IF(ISERROR(VLOOKUP(I1141*1,Summary!$C$8:$C$153,1,0)),VLOOKUP(I1141,Summary!$C$8:$C$153,1,0),VLOOKUP(I1141*1,Summary!$C$8:$C$153,1,0)))),"Add account Number to Summary","")</f>
        <v/>
      </c>
      <c r="M1141" s="131" t="str">
        <f t="shared" si="18"/>
        <v/>
      </c>
      <c r="N1141" s="287">
        <f>IF(C1141="Sale",SUMIFS($D$4:D1141,$B$4:B1141,B1141,$C$4:C1141,"")+SUMIFS($D$4:D1141,$B$4:B1141,B1141,$C$4:C1141,"Purch")-SUMIFS($D$4:D1141,$B$4:B1141,B1141,$C$4:C1141,"Sale"),0)</f>
        <v>0</v>
      </c>
    </row>
    <row r="1142" spans="1:14" x14ac:dyDescent="0.2">
      <c r="A1142" s="152"/>
      <c r="B1142" s="132"/>
      <c r="C1142" s="132"/>
      <c r="D1142" s="277"/>
      <c r="E1142" s="132"/>
      <c r="F1142" s="170"/>
      <c r="G1142" s="150"/>
      <c r="H1142" s="152"/>
      <c r="I1142" s="204"/>
      <c r="J1142" s="285"/>
      <c r="K1142" s="251"/>
      <c r="L1142" s="133" t="str">
        <f>IF(AND(I1142&lt;&gt;"",ISERROR(IF(ISERROR(VLOOKUP(I1142*1,Summary!$C$8:$C$153,1,0)),VLOOKUP(I1142,Summary!$C$8:$C$153,1,0),VLOOKUP(I1142*1,Summary!$C$8:$C$153,1,0)))),"Add account Number to Summary","")</f>
        <v/>
      </c>
      <c r="M1142" s="131" t="str">
        <f t="shared" si="18"/>
        <v/>
      </c>
      <c r="N1142" s="287">
        <f>IF(C1142="Sale",SUMIFS($D$4:D1142,$B$4:B1142,B1142,$C$4:C1142,"")+SUMIFS($D$4:D1142,$B$4:B1142,B1142,$C$4:C1142,"Purch")-SUMIFS($D$4:D1142,$B$4:B1142,B1142,$C$4:C1142,"Sale"),0)</f>
        <v>0</v>
      </c>
    </row>
    <row r="1143" spans="1:14" x14ac:dyDescent="0.2">
      <c r="A1143" s="152"/>
      <c r="B1143" s="132"/>
      <c r="C1143" s="132"/>
      <c r="D1143" s="277"/>
      <c r="E1143" s="132"/>
      <c r="F1143" s="170"/>
      <c r="G1143" s="150"/>
      <c r="H1143" s="152"/>
      <c r="I1143" s="204"/>
      <c r="J1143" s="285"/>
      <c r="K1143" s="251"/>
      <c r="L1143" s="133" t="str">
        <f>IF(AND(I1143&lt;&gt;"",ISERROR(IF(ISERROR(VLOOKUP(I1143*1,Summary!$C$8:$C$153,1,0)),VLOOKUP(I1143,Summary!$C$8:$C$153,1,0),VLOOKUP(I1143*1,Summary!$C$8:$C$153,1,0)))),"Add account Number to Summary","")</f>
        <v/>
      </c>
      <c r="M1143" s="131" t="str">
        <f t="shared" si="18"/>
        <v/>
      </c>
      <c r="N1143" s="287">
        <f>IF(C1143="Sale",SUMIFS($D$4:D1143,$B$4:B1143,B1143,$C$4:C1143,"")+SUMIFS($D$4:D1143,$B$4:B1143,B1143,$C$4:C1143,"Purch")-SUMIFS($D$4:D1143,$B$4:B1143,B1143,$C$4:C1143,"Sale"),0)</f>
        <v>0</v>
      </c>
    </row>
    <row r="1144" spans="1:14" x14ac:dyDescent="0.2">
      <c r="A1144" s="152"/>
      <c r="B1144" s="132"/>
      <c r="C1144" s="132"/>
      <c r="D1144" s="277"/>
      <c r="E1144" s="132"/>
      <c r="F1144" s="170"/>
      <c r="G1144" s="150"/>
      <c r="H1144" s="152"/>
      <c r="I1144" s="204"/>
      <c r="J1144" s="285"/>
      <c r="K1144" s="251"/>
      <c r="L1144" s="133" t="str">
        <f>IF(AND(I1144&lt;&gt;"",ISERROR(IF(ISERROR(VLOOKUP(I1144*1,Summary!$C$8:$C$153,1,0)),VLOOKUP(I1144,Summary!$C$8:$C$153,1,0),VLOOKUP(I1144*1,Summary!$C$8:$C$153,1,0)))),"Add account Number to Summary","")</f>
        <v/>
      </c>
      <c r="M1144" s="131" t="str">
        <f t="shared" si="18"/>
        <v/>
      </c>
      <c r="N1144" s="287">
        <f>IF(C1144="Sale",SUMIFS($D$4:D1144,$B$4:B1144,B1144,$C$4:C1144,"")+SUMIFS($D$4:D1144,$B$4:B1144,B1144,$C$4:C1144,"Purch")-SUMIFS($D$4:D1144,$B$4:B1144,B1144,$C$4:C1144,"Sale"),0)</f>
        <v>0</v>
      </c>
    </row>
    <row r="1145" spans="1:14" x14ac:dyDescent="0.2">
      <c r="A1145" s="152"/>
      <c r="B1145" s="132"/>
      <c r="C1145" s="132"/>
      <c r="D1145" s="277"/>
      <c r="E1145" s="132"/>
      <c r="F1145" s="170"/>
      <c r="G1145" s="150"/>
      <c r="H1145" s="152"/>
      <c r="I1145" s="204"/>
      <c r="J1145" s="285"/>
      <c r="K1145" s="251"/>
      <c r="L1145" s="133" t="str">
        <f>IF(AND(I1145&lt;&gt;"",ISERROR(IF(ISERROR(VLOOKUP(I1145*1,Summary!$C$8:$C$153,1,0)),VLOOKUP(I1145,Summary!$C$8:$C$153,1,0),VLOOKUP(I1145*1,Summary!$C$8:$C$153,1,0)))),"Add account Number to Summary","")</f>
        <v/>
      </c>
      <c r="M1145" s="131" t="str">
        <f t="shared" si="18"/>
        <v/>
      </c>
      <c r="N1145" s="287">
        <f>IF(C1145="Sale",SUMIFS($D$4:D1145,$B$4:B1145,B1145,$C$4:C1145,"")+SUMIFS($D$4:D1145,$B$4:B1145,B1145,$C$4:C1145,"Purch")-SUMIFS($D$4:D1145,$B$4:B1145,B1145,$C$4:C1145,"Sale"),0)</f>
        <v>0</v>
      </c>
    </row>
    <row r="1146" spans="1:14" x14ac:dyDescent="0.2">
      <c r="A1146" s="152"/>
      <c r="B1146" s="132"/>
      <c r="C1146" s="132"/>
      <c r="D1146" s="277"/>
      <c r="E1146" s="132"/>
      <c r="F1146" s="170"/>
      <c r="G1146" s="150"/>
      <c r="H1146" s="152"/>
      <c r="I1146" s="204"/>
      <c r="J1146" s="285"/>
      <c r="K1146" s="251"/>
      <c r="L1146" s="133" t="str">
        <f>IF(AND(I1146&lt;&gt;"",ISERROR(IF(ISERROR(VLOOKUP(I1146*1,Summary!$C$8:$C$153,1,0)),VLOOKUP(I1146,Summary!$C$8:$C$153,1,0),VLOOKUP(I1146*1,Summary!$C$8:$C$153,1,0)))),"Add account Number to Summary","")</f>
        <v/>
      </c>
      <c r="M1146" s="131" t="str">
        <f t="shared" si="18"/>
        <v/>
      </c>
      <c r="N1146" s="287">
        <f>IF(C1146="Sale",SUMIFS($D$4:D1146,$B$4:B1146,B1146,$C$4:C1146,"")+SUMIFS($D$4:D1146,$B$4:B1146,B1146,$C$4:C1146,"Purch")-SUMIFS($D$4:D1146,$B$4:B1146,B1146,$C$4:C1146,"Sale"),0)</f>
        <v>0</v>
      </c>
    </row>
    <row r="1147" spans="1:14" x14ac:dyDescent="0.2">
      <c r="A1147" s="152"/>
      <c r="B1147" s="132"/>
      <c r="C1147" s="132"/>
      <c r="D1147" s="277"/>
      <c r="E1147" s="132"/>
      <c r="F1147" s="170"/>
      <c r="G1147" s="150"/>
      <c r="H1147" s="152"/>
      <c r="I1147" s="204"/>
      <c r="J1147" s="285"/>
      <c r="K1147" s="251"/>
      <c r="L1147" s="133" t="str">
        <f>IF(AND(I1147&lt;&gt;"",ISERROR(IF(ISERROR(VLOOKUP(I1147*1,Summary!$C$8:$C$153,1,0)),VLOOKUP(I1147,Summary!$C$8:$C$153,1,0),VLOOKUP(I1147*1,Summary!$C$8:$C$153,1,0)))),"Add account Number to Summary","")</f>
        <v/>
      </c>
      <c r="M1147" s="131" t="str">
        <f t="shared" si="18"/>
        <v/>
      </c>
      <c r="N1147" s="287">
        <f>IF(C1147="Sale",SUMIFS($D$4:D1147,$B$4:B1147,B1147,$C$4:C1147,"")+SUMIFS($D$4:D1147,$B$4:B1147,B1147,$C$4:C1147,"Purch")-SUMIFS($D$4:D1147,$B$4:B1147,B1147,$C$4:C1147,"Sale"),0)</f>
        <v>0</v>
      </c>
    </row>
    <row r="1148" spans="1:14" x14ac:dyDescent="0.2">
      <c r="A1148" s="152"/>
      <c r="B1148" s="132"/>
      <c r="C1148" s="132"/>
      <c r="D1148" s="277"/>
      <c r="E1148" s="132"/>
      <c r="F1148" s="170"/>
      <c r="G1148" s="150"/>
      <c r="H1148" s="152"/>
      <c r="I1148" s="204"/>
      <c r="J1148" s="285"/>
      <c r="K1148" s="251"/>
      <c r="L1148" s="133" t="str">
        <f>IF(AND(I1148&lt;&gt;"",ISERROR(IF(ISERROR(VLOOKUP(I1148*1,Summary!$C$8:$C$153,1,0)),VLOOKUP(I1148,Summary!$C$8:$C$153,1,0),VLOOKUP(I1148*1,Summary!$C$8:$C$153,1,0)))),"Add account Number to Summary","")</f>
        <v/>
      </c>
      <c r="M1148" s="131" t="str">
        <f t="shared" si="18"/>
        <v/>
      </c>
      <c r="N1148" s="287">
        <f>IF(C1148="Sale",SUMIFS($D$4:D1148,$B$4:B1148,B1148,$C$4:C1148,"")+SUMIFS($D$4:D1148,$B$4:B1148,B1148,$C$4:C1148,"Purch")-SUMIFS($D$4:D1148,$B$4:B1148,B1148,$C$4:C1148,"Sale"),0)</f>
        <v>0</v>
      </c>
    </row>
    <row r="1149" spans="1:14" x14ac:dyDescent="0.2">
      <c r="A1149" s="152"/>
      <c r="B1149" s="132"/>
      <c r="C1149" s="132"/>
      <c r="D1149" s="277"/>
      <c r="E1149" s="132"/>
      <c r="F1149" s="170"/>
      <c r="G1149" s="150"/>
      <c r="H1149" s="152"/>
      <c r="I1149" s="204"/>
      <c r="J1149" s="285"/>
      <c r="K1149" s="251"/>
      <c r="L1149" s="133" t="str">
        <f>IF(AND(I1149&lt;&gt;"",ISERROR(IF(ISERROR(VLOOKUP(I1149*1,Summary!$C$8:$C$153,1,0)),VLOOKUP(I1149,Summary!$C$8:$C$153,1,0),VLOOKUP(I1149*1,Summary!$C$8:$C$153,1,0)))),"Add account Number to Summary","")</f>
        <v/>
      </c>
      <c r="M1149" s="131" t="str">
        <f t="shared" si="18"/>
        <v/>
      </c>
      <c r="N1149" s="287">
        <f>IF(C1149="Sale",SUMIFS($D$4:D1149,$B$4:B1149,B1149,$C$4:C1149,"")+SUMIFS($D$4:D1149,$B$4:B1149,B1149,$C$4:C1149,"Purch")-SUMIFS($D$4:D1149,$B$4:B1149,B1149,$C$4:C1149,"Sale"),0)</f>
        <v>0</v>
      </c>
    </row>
    <row r="1150" spans="1:14" x14ac:dyDescent="0.2">
      <c r="A1150" s="152"/>
      <c r="B1150" s="132"/>
      <c r="C1150" s="132"/>
      <c r="D1150" s="277"/>
      <c r="E1150" s="132"/>
      <c r="F1150" s="170"/>
      <c r="G1150" s="150"/>
      <c r="H1150" s="152"/>
      <c r="I1150" s="204"/>
      <c r="J1150" s="285"/>
      <c r="K1150" s="251"/>
      <c r="L1150" s="133" t="str">
        <f>IF(AND(I1150&lt;&gt;"",ISERROR(IF(ISERROR(VLOOKUP(I1150*1,Summary!$C$8:$C$153,1,0)),VLOOKUP(I1150,Summary!$C$8:$C$153,1,0),VLOOKUP(I1150*1,Summary!$C$8:$C$153,1,0)))),"Add account Number to Summary","")</f>
        <v/>
      </c>
      <c r="M1150" s="131" t="str">
        <f t="shared" si="18"/>
        <v/>
      </c>
      <c r="N1150" s="287">
        <f>IF(C1150="Sale",SUMIFS($D$4:D1150,$B$4:B1150,B1150,$C$4:C1150,"")+SUMIFS($D$4:D1150,$B$4:B1150,B1150,$C$4:C1150,"Purch")-SUMIFS($D$4:D1150,$B$4:B1150,B1150,$C$4:C1150,"Sale"),0)</f>
        <v>0</v>
      </c>
    </row>
    <row r="1151" spans="1:14" x14ac:dyDescent="0.2">
      <c r="A1151" s="152"/>
      <c r="B1151" s="132"/>
      <c r="C1151" s="132"/>
      <c r="D1151" s="277"/>
      <c r="E1151" s="132"/>
      <c r="F1151" s="170"/>
      <c r="G1151" s="150"/>
      <c r="H1151" s="152"/>
      <c r="I1151" s="204"/>
      <c r="J1151" s="285"/>
      <c r="K1151" s="251"/>
      <c r="L1151" s="133" t="str">
        <f>IF(AND(I1151&lt;&gt;"",ISERROR(IF(ISERROR(VLOOKUP(I1151*1,Summary!$C$8:$C$153,1,0)),VLOOKUP(I1151,Summary!$C$8:$C$153,1,0),VLOOKUP(I1151*1,Summary!$C$8:$C$153,1,0)))),"Add account Number to Summary","")</f>
        <v/>
      </c>
      <c r="M1151" s="131" t="str">
        <f t="shared" si="18"/>
        <v/>
      </c>
      <c r="N1151" s="287">
        <f>IF(C1151="Sale",SUMIFS($D$4:D1151,$B$4:B1151,B1151,$C$4:C1151,"")+SUMIFS($D$4:D1151,$B$4:B1151,B1151,$C$4:C1151,"Purch")-SUMIFS($D$4:D1151,$B$4:B1151,B1151,$C$4:C1151,"Sale"),0)</f>
        <v>0</v>
      </c>
    </row>
    <row r="1152" spans="1:14" x14ac:dyDescent="0.2">
      <c r="A1152" s="152"/>
      <c r="B1152" s="132"/>
      <c r="C1152" s="132"/>
      <c r="D1152" s="277"/>
      <c r="E1152" s="132"/>
      <c r="F1152" s="170"/>
      <c r="G1152" s="150"/>
      <c r="H1152" s="152"/>
      <c r="I1152" s="204"/>
      <c r="J1152" s="285"/>
      <c r="K1152" s="251"/>
      <c r="L1152" s="133" t="str">
        <f>IF(AND(I1152&lt;&gt;"",ISERROR(IF(ISERROR(VLOOKUP(I1152*1,Summary!$C$8:$C$153,1,0)),VLOOKUP(I1152,Summary!$C$8:$C$153,1,0),VLOOKUP(I1152*1,Summary!$C$8:$C$153,1,0)))),"Add account Number to Summary","")</f>
        <v/>
      </c>
      <c r="M1152" s="131" t="str">
        <f t="shared" si="18"/>
        <v/>
      </c>
      <c r="N1152" s="287">
        <f>IF(C1152="Sale",SUMIFS($D$4:D1152,$B$4:B1152,B1152,$C$4:C1152,"")+SUMIFS($D$4:D1152,$B$4:B1152,B1152,$C$4:C1152,"Purch")-SUMIFS($D$4:D1152,$B$4:B1152,B1152,$C$4:C1152,"Sale"),0)</f>
        <v>0</v>
      </c>
    </row>
    <row r="1153" spans="1:14" x14ac:dyDescent="0.2">
      <c r="A1153" s="152"/>
      <c r="B1153" s="132"/>
      <c r="C1153" s="132"/>
      <c r="D1153" s="277"/>
      <c r="E1153" s="132"/>
      <c r="F1153" s="170"/>
      <c r="G1153" s="150"/>
      <c r="H1153" s="152"/>
      <c r="I1153" s="204"/>
      <c r="J1153" s="285"/>
      <c r="K1153" s="251"/>
      <c r="L1153" s="133" t="str">
        <f>IF(AND(I1153&lt;&gt;"",ISERROR(IF(ISERROR(VLOOKUP(I1153*1,Summary!$C$8:$C$153,1,0)),VLOOKUP(I1153,Summary!$C$8:$C$153,1,0),VLOOKUP(I1153*1,Summary!$C$8:$C$153,1,0)))),"Add account Number to Summary","")</f>
        <v/>
      </c>
      <c r="M1153" s="131" t="str">
        <f t="shared" si="18"/>
        <v/>
      </c>
      <c r="N1153" s="287">
        <f>IF(C1153="Sale",SUMIFS($D$4:D1153,$B$4:B1153,B1153,$C$4:C1153,"")+SUMIFS($D$4:D1153,$B$4:B1153,B1153,$C$4:C1153,"Purch")-SUMIFS($D$4:D1153,$B$4:B1153,B1153,$C$4:C1153,"Sale"),0)</f>
        <v>0</v>
      </c>
    </row>
    <row r="1154" spans="1:14" x14ac:dyDescent="0.2">
      <c r="A1154" s="152"/>
      <c r="B1154" s="132"/>
      <c r="C1154" s="132"/>
      <c r="D1154" s="277"/>
      <c r="E1154" s="132"/>
      <c r="F1154" s="170"/>
      <c r="G1154" s="150"/>
      <c r="H1154" s="152"/>
      <c r="I1154" s="204"/>
      <c r="J1154" s="285"/>
      <c r="K1154" s="251"/>
      <c r="L1154" s="133" t="str">
        <f>IF(AND(I1154&lt;&gt;"",ISERROR(IF(ISERROR(VLOOKUP(I1154*1,Summary!$C$8:$C$153,1,0)),VLOOKUP(I1154,Summary!$C$8:$C$153,1,0),VLOOKUP(I1154*1,Summary!$C$8:$C$153,1,0)))),"Add account Number to Summary","")</f>
        <v/>
      </c>
      <c r="M1154" s="131" t="str">
        <f t="shared" si="18"/>
        <v/>
      </c>
      <c r="N1154" s="287">
        <f>IF(C1154="Sale",SUMIFS($D$4:D1154,$B$4:B1154,B1154,$C$4:C1154,"")+SUMIFS($D$4:D1154,$B$4:B1154,B1154,$C$4:C1154,"Purch")-SUMIFS($D$4:D1154,$B$4:B1154,B1154,$C$4:C1154,"Sale"),0)</f>
        <v>0</v>
      </c>
    </row>
    <row r="1155" spans="1:14" x14ac:dyDescent="0.2">
      <c r="A1155" s="152"/>
      <c r="B1155" s="132"/>
      <c r="C1155" s="132"/>
      <c r="D1155" s="277"/>
      <c r="E1155" s="132"/>
      <c r="F1155" s="170"/>
      <c r="G1155" s="150"/>
      <c r="H1155" s="152"/>
      <c r="I1155" s="204"/>
      <c r="J1155" s="285"/>
      <c r="K1155" s="251"/>
      <c r="L1155" s="133" t="str">
        <f>IF(AND(I1155&lt;&gt;"",ISERROR(IF(ISERROR(VLOOKUP(I1155*1,Summary!$C$8:$C$153,1,0)),VLOOKUP(I1155,Summary!$C$8:$C$153,1,0),VLOOKUP(I1155*1,Summary!$C$8:$C$153,1,0)))),"Add account Number to Summary","")</f>
        <v/>
      </c>
      <c r="M1155" s="131" t="str">
        <f t="shared" si="18"/>
        <v/>
      </c>
      <c r="N1155" s="287">
        <f>IF(C1155="Sale",SUMIFS($D$4:D1155,$B$4:B1155,B1155,$C$4:C1155,"")+SUMIFS($D$4:D1155,$B$4:B1155,B1155,$C$4:C1155,"Purch")-SUMIFS($D$4:D1155,$B$4:B1155,B1155,$C$4:C1155,"Sale"),0)</f>
        <v>0</v>
      </c>
    </row>
    <row r="1156" spans="1:14" x14ac:dyDescent="0.2">
      <c r="A1156" s="152"/>
      <c r="B1156" s="132"/>
      <c r="C1156" s="132"/>
      <c r="D1156" s="277"/>
      <c r="E1156" s="132"/>
      <c r="F1156" s="170"/>
      <c r="G1156" s="150"/>
      <c r="H1156" s="152"/>
      <c r="I1156" s="204"/>
      <c r="J1156" s="285"/>
      <c r="K1156" s="251"/>
      <c r="L1156" s="133" t="str">
        <f>IF(AND(I1156&lt;&gt;"",ISERROR(IF(ISERROR(VLOOKUP(I1156*1,Summary!$C$8:$C$153,1,0)),VLOOKUP(I1156,Summary!$C$8:$C$153,1,0),VLOOKUP(I1156*1,Summary!$C$8:$C$153,1,0)))),"Add account Number to Summary","")</f>
        <v/>
      </c>
      <c r="M1156" s="131" t="str">
        <f t="shared" si="18"/>
        <v/>
      </c>
      <c r="N1156" s="287">
        <f>IF(C1156="Sale",SUMIFS($D$4:D1156,$B$4:B1156,B1156,$C$4:C1156,"")+SUMIFS($D$4:D1156,$B$4:B1156,B1156,$C$4:C1156,"Purch")-SUMIFS($D$4:D1156,$B$4:B1156,B1156,$C$4:C1156,"Sale"),0)</f>
        <v>0</v>
      </c>
    </row>
    <row r="1157" spans="1:14" x14ac:dyDescent="0.2">
      <c r="A1157" s="152"/>
      <c r="B1157" s="132"/>
      <c r="C1157" s="132"/>
      <c r="D1157" s="277"/>
      <c r="E1157" s="132"/>
      <c r="F1157" s="170"/>
      <c r="G1157" s="150"/>
      <c r="H1157" s="152"/>
      <c r="I1157" s="204"/>
      <c r="J1157" s="285"/>
      <c r="K1157" s="251"/>
      <c r="L1157" s="133" t="str">
        <f>IF(AND(I1157&lt;&gt;"",ISERROR(IF(ISERROR(VLOOKUP(I1157*1,Summary!$C$8:$C$153,1,0)),VLOOKUP(I1157,Summary!$C$8:$C$153,1,0),VLOOKUP(I1157*1,Summary!$C$8:$C$153,1,0)))),"Add account Number to Summary","")</f>
        <v/>
      </c>
      <c r="M1157" s="131" t="str">
        <f t="shared" si="18"/>
        <v/>
      </c>
      <c r="N1157" s="287">
        <f>IF(C1157="Sale",SUMIFS($D$4:D1157,$B$4:B1157,B1157,$C$4:C1157,"")+SUMIFS($D$4:D1157,$B$4:B1157,B1157,$C$4:C1157,"Purch")-SUMIFS($D$4:D1157,$B$4:B1157,B1157,$C$4:C1157,"Sale"),0)</f>
        <v>0</v>
      </c>
    </row>
    <row r="1158" spans="1:14" x14ac:dyDescent="0.2">
      <c r="A1158" s="152"/>
      <c r="B1158" s="132"/>
      <c r="C1158" s="132"/>
      <c r="D1158" s="277"/>
      <c r="E1158" s="132"/>
      <c r="F1158" s="170"/>
      <c r="G1158" s="150"/>
      <c r="H1158" s="152"/>
      <c r="I1158" s="204"/>
      <c r="J1158" s="285"/>
      <c r="K1158" s="251"/>
      <c r="L1158" s="133" t="str">
        <f>IF(AND(I1158&lt;&gt;"",ISERROR(IF(ISERROR(VLOOKUP(I1158*1,Summary!$C$8:$C$153,1,0)),VLOOKUP(I1158,Summary!$C$8:$C$153,1,0),VLOOKUP(I1158*1,Summary!$C$8:$C$153,1,0)))),"Add account Number to Summary","")</f>
        <v/>
      </c>
      <c r="M1158" s="131" t="str">
        <f t="shared" si="18"/>
        <v/>
      </c>
      <c r="N1158" s="287">
        <f>IF(C1158="Sale",SUMIFS($D$4:D1158,$B$4:B1158,B1158,$C$4:C1158,"")+SUMIFS($D$4:D1158,$B$4:B1158,B1158,$C$4:C1158,"Purch")-SUMIFS($D$4:D1158,$B$4:B1158,B1158,$C$4:C1158,"Sale"),0)</f>
        <v>0</v>
      </c>
    </row>
    <row r="1159" spans="1:14" x14ac:dyDescent="0.2">
      <c r="A1159" s="152"/>
      <c r="B1159" s="132"/>
      <c r="C1159" s="132"/>
      <c r="D1159" s="277"/>
      <c r="E1159" s="132"/>
      <c r="F1159" s="170"/>
      <c r="G1159" s="150"/>
      <c r="H1159" s="152"/>
      <c r="I1159" s="204"/>
      <c r="J1159" s="285"/>
      <c r="K1159" s="251"/>
      <c r="L1159" s="133" t="str">
        <f>IF(AND(I1159&lt;&gt;"",ISERROR(IF(ISERROR(VLOOKUP(I1159*1,Summary!$C$8:$C$153,1,0)),VLOOKUP(I1159,Summary!$C$8:$C$153,1,0),VLOOKUP(I1159*1,Summary!$C$8:$C$153,1,0)))),"Add account Number to Summary","")</f>
        <v/>
      </c>
      <c r="M1159" s="131" t="str">
        <f t="shared" si="18"/>
        <v/>
      </c>
      <c r="N1159" s="287">
        <f>IF(C1159="Sale",SUMIFS($D$4:D1159,$B$4:B1159,B1159,$C$4:C1159,"")+SUMIFS($D$4:D1159,$B$4:B1159,B1159,$C$4:C1159,"Purch")-SUMIFS($D$4:D1159,$B$4:B1159,B1159,$C$4:C1159,"Sale"),0)</f>
        <v>0</v>
      </c>
    </row>
    <row r="1160" spans="1:14" x14ac:dyDescent="0.2">
      <c r="A1160" s="152"/>
      <c r="B1160" s="132"/>
      <c r="C1160" s="132"/>
      <c r="D1160" s="277"/>
      <c r="E1160" s="132"/>
      <c r="F1160" s="170"/>
      <c r="G1160" s="150"/>
      <c r="H1160" s="152"/>
      <c r="I1160" s="204"/>
      <c r="J1160" s="285"/>
      <c r="K1160" s="251"/>
      <c r="L1160" s="133" t="str">
        <f>IF(AND(I1160&lt;&gt;"",ISERROR(IF(ISERROR(VLOOKUP(I1160*1,Summary!$C$8:$C$153,1,0)),VLOOKUP(I1160,Summary!$C$8:$C$153,1,0),VLOOKUP(I1160*1,Summary!$C$8:$C$153,1,0)))),"Add account Number to Summary","")</f>
        <v/>
      </c>
      <c r="M1160" s="131" t="str">
        <f t="shared" si="18"/>
        <v/>
      </c>
      <c r="N1160" s="287">
        <f>IF(C1160="Sale",SUMIFS($D$4:D1160,$B$4:B1160,B1160,$C$4:C1160,"")+SUMIFS($D$4:D1160,$B$4:B1160,B1160,$C$4:C1160,"Purch")-SUMIFS($D$4:D1160,$B$4:B1160,B1160,$C$4:C1160,"Sale"),0)</f>
        <v>0</v>
      </c>
    </row>
    <row r="1161" spans="1:14" x14ac:dyDescent="0.2">
      <c r="A1161" s="152"/>
      <c r="B1161" s="132"/>
      <c r="C1161" s="132"/>
      <c r="D1161" s="277"/>
      <c r="E1161" s="132"/>
      <c r="F1161" s="170"/>
      <c r="G1161" s="150"/>
      <c r="H1161" s="152"/>
      <c r="I1161" s="204"/>
      <c r="J1161" s="285"/>
      <c r="K1161" s="251"/>
      <c r="L1161" s="133" t="str">
        <f>IF(AND(I1161&lt;&gt;"",ISERROR(IF(ISERROR(VLOOKUP(I1161*1,Summary!$C$8:$C$153,1,0)),VLOOKUP(I1161,Summary!$C$8:$C$153,1,0),VLOOKUP(I1161*1,Summary!$C$8:$C$153,1,0)))),"Add account Number to Summary","")</f>
        <v/>
      </c>
      <c r="M1161" s="131" t="str">
        <f t="shared" si="18"/>
        <v/>
      </c>
      <c r="N1161" s="287">
        <f>IF(C1161="Sale",SUMIFS($D$4:D1161,$B$4:B1161,B1161,$C$4:C1161,"")+SUMIFS($D$4:D1161,$B$4:B1161,B1161,$C$4:C1161,"Purch")-SUMIFS($D$4:D1161,$B$4:B1161,B1161,$C$4:C1161,"Sale"),0)</f>
        <v>0</v>
      </c>
    </row>
    <row r="1162" spans="1:14" x14ac:dyDescent="0.2">
      <c r="A1162" s="152"/>
      <c r="B1162" s="132"/>
      <c r="C1162" s="132"/>
      <c r="D1162" s="277"/>
      <c r="E1162" s="132"/>
      <c r="F1162" s="170"/>
      <c r="G1162" s="150"/>
      <c r="H1162" s="152"/>
      <c r="I1162" s="204"/>
      <c r="J1162" s="285"/>
      <c r="K1162" s="251"/>
      <c r="L1162" s="133" t="str">
        <f>IF(AND(I1162&lt;&gt;"",ISERROR(IF(ISERROR(VLOOKUP(I1162*1,Summary!$C$8:$C$153,1,0)),VLOOKUP(I1162,Summary!$C$8:$C$153,1,0),VLOOKUP(I1162*1,Summary!$C$8:$C$153,1,0)))),"Add account Number to Summary","")</f>
        <v/>
      </c>
      <c r="M1162" s="131" t="str">
        <f t="shared" si="18"/>
        <v/>
      </c>
      <c r="N1162" s="287">
        <f>IF(C1162="Sale",SUMIFS($D$4:D1162,$B$4:B1162,B1162,$C$4:C1162,"")+SUMIFS($D$4:D1162,$B$4:B1162,B1162,$C$4:C1162,"Purch")-SUMIFS($D$4:D1162,$B$4:B1162,B1162,$C$4:C1162,"Sale"),0)</f>
        <v>0</v>
      </c>
    </row>
    <row r="1163" spans="1:14" x14ac:dyDescent="0.2">
      <c r="A1163" s="152"/>
      <c r="B1163" s="132"/>
      <c r="C1163" s="132"/>
      <c r="D1163" s="277"/>
      <c r="E1163" s="132"/>
      <c r="F1163" s="170"/>
      <c r="G1163" s="150"/>
      <c r="H1163" s="152"/>
      <c r="I1163" s="204"/>
      <c r="J1163" s="285"/>
      <c r="K1163" s="251"/>
      <c r="L1163" s="133" t="str">
        <f>IF(AND(I1163&lt;&gt;"",ISERROR(IF(ISERROR(VLOOKUP(I1163*1,Summary!$C$8:$C$153,1,0)),VLOOKUP(I1163,Summary!$C$8:$C$153,1,0),VLOOKUP(I1163*1,Summary!$C$8:$C$153,1,0)))),"Add account Number to Summary","")</f>
        <v/>
      </c>
      <c r="M1163" s="131" t="str">
        <f t="shared" si="18"/>
        <v/>
      </c>
      <c r="N1163" s="287">
        <f>IF(C1163="Sale",SUMIFS($D$4:D1163,$B$4:B1163,B1163,$C$4:C1163,"")+SUMIFS($D$4:D1163,$B$4:B1163,B1163,$C$4:C1163,"Purch")-SUMIFS($D$4:D1163,$B$4:B1163,B1163,$C$4:C1163,"Sale"),0)</f>
        <v>0</v>
      </c>
    </row>
    <row r="1164" spans="1:14" x14ac:dyDescent="0.2">
      <c r="A1164" s="152"/>
      <c r="B1164" s="132"/>
      <c r="C1164" s="132"/>
      <c r="D1164" s="277"/>
      <c r="E1164" s="132"/>
      <c r="F1164" s="170"/>
      <c r="G1164" s="150"/>
      <c r="H1164" s="152"/>
      <c r="I1164" s="204"/>
      <c r="J1164" s="285"/>
      <c r="K1164" s="251"/>
      <c r="L1164" s="133" t="str">
        <f>IF(AND(I1164&lt;&gt;"",ISERROR(IF(ISERROR(VLOOKUP(I1164*1,Summary!$C$8:$C$153,1,0)),VLOOKUP(I1164,Summary!$C$8:$C$153,1,0),VLOOKUP(I1164*1,Summary!$C$8:$C$153,1,0)))),"Add account Number to Summary","")</f>
        <v/>
      </c>
      <c r="M1164" s="131" t="str">
        <f t="shared" si="18"/>
        <v/>
      </c>
      <c r="N1164" s="287">
        <f>IF(C1164="Sale",SUMIFS($D$4:D1164,$B$4:B1164,B1164,$C$4:C1164,"")+SUMIFS($D$4:D1164,$B$4:B1164,B1164,$C$4:C1164,"Purch")-SUMIFS($D$4:D1164,$B$4:B1164,B1164,$C$4:C1164,"Sale"),0)</f>
        <v>0</v>
      </c>
    </row>
    <row r="1165" spans="1:14" x14ac:dyDescent="0.2">
      <c r="A1165" s="152"/>
      <c r="B1165" s="132"/>
      <c r="C1165" s="132"/>
      <c r="D1165" s="277"/>
      <c r="E1165" s="132"/>
      <c r="F1165" s="170"/>
      <c r="G1165" s="150"/>
      <c r="H1165" s="152"/>
      <c r="I1165" s="204"/>
      <c r="J1165" s="285"/>
      <c r="K1165" s="251"/>
      <c r="L1165" s="133" t="str">
        <f>IF(AND(I1165&lt;&gt;"",ISERROR(IF(ISERROR(VLOOKUP(I1165*1,Summary!$C$8:$C$153,1,0)),VLOOKUP(I1165,Summary!$C$8:$C$153,1,0),VLOOKUP(I1165*1,Summary!$C$8:$C$153,1,0)))),"Add account Number to Summary","")</f>
        <v/>
      </c>
      <c r="M1165" s="131" t="str">
        <f t="shared" si="18"/>
        <v/>
      </c>
      <c r="N1165" s="287">
        <f>IF(C1165="Sale",SUMIFS($D$4:D1165,$B$4:B1165,B1165,$C$4:C1165,"")+SUMIFS($D$4:D1165,$B$4:B1165,B1165,$C$4:C1165,"Purch")-SUMIFS($D$4:D1165,$B$4:B1165,B1165,$C$4:C1165,"Sale"),0)</f>
        <v>0</v>
      </c>
    </row>
    <row r="1166" spans="1:14" x14ac:dyDescent="0.2">
      <c r="A1166" s="152"/>
      <c r="B1166" s="132"/>
      <c r="C1166" s="132"/>
      <c r="D1166" s="277"/>
      <c r="E1166" s="132"/>
      <c r="F1166" s="170"/>
      <c r="G1166" s="150"/>
      <c r="H1166" s="152"/>
      <c r="I1166" s="204"/>
      <c r="J1166" s="285"/>
      <c r="K1166" s="251"/>
      <c r="L1166" s="133" t="str">
        <f>IF(AND(I1166&lt;&gt;"",ISERROR(IF(ISERROR(VLOOKUP(I1166*1,Summary!$C$8:$C$153,1,0)),VLOOKUP(I1166,Summary!$C$8:$C$153,1,0),VLOOKUP(I1166*1,Summary!$C$8:$C$153,1,0)))),"Add account Number to Summary","")</f>
        <v/>
      </c>
      <c r="M1166" s="131" t="str">
        <f t="shared" si="18"/>
        <v/>
      </c>
      <c r="N1166" s="287">
        <f>IF(C1166="Sale",SUMIFS($D$4:D1166,$B$4:B1166,B1166,$C$4:C1166,"")+SUMIFS($D$4:D1166,$B$4:B1166,B1166,$C$4:C1166,"Purch")-SUMIFS($D$4:D1166,$B$4:B1166,B1166,$C$4:C1166,"Sale"),0)</f>
        <v>0</v>
      </c>
    </row>
    <row r="1167" spans="1:14" x14ac:dyDescent="0.2">
      <c r="A1167" s="152"/>
      <c r="B1167" s="132"/>
      <c r="C1167" s="132"/>
      <c r="D1167" s="277"/>
      <c r="E1167" s="132"/>
      <c r="F1167" s="170"/>
      <c r="G1167" s="150"/>
      <c r="H1167" s="152"/>
      <c r="I1167" s="204"/>
      <c r="J1167" s="285"/>
      <c r="K1167" s="251"/>
      <c r="L1167" s="133" t="str">
        <f>IF(AND(I1167&lt;&gt;"",ISERROR(IF(ISERROR(VLOOKUP(I1167*1,Summary!$C$8:$C$153,1,0)),VLOOKUP(I1167,Summary!$C$8:$C$153,1,0),VLOOKUP(I1167*1,Summary!$C$8:$C$153,1,0)))),"Add account Number to Summary","")</f>
        <v/>
      </c>
      <c r="M1167" s="131" t="str">
        <f t="shared" si="18"/>
        <v/>
      </c>
      <c r="N1167" s="287">
        <f>IF(C1167="Sale",SUMIFS($D$4:D1167,$B$4:B1167,B1167,$C$4:C1167,"")+SUMIFS($D$4:D1167,$B$4:B1167,B1167,$C$4:C1167,"Purch")-SUMIFS($D$4:D1167,$B$4:B1167,B1167,$C$4:C1167,"Sale"),0)</f>
        <v>0</v>
      </c>
    </row>
    <row r="1168" spans="1:14" x14ac:dyDescent="0.2">
      <c r="A1168" s="152"/>
      <c r="B1168" s="132"/>
      <c r="C1168" s="132"/>
      <c r="D1168" s="277"/>
      <c r="E1168" s="132"/>
      <c r="F1168" s="170"/>
      <c r="G1168" s="150"/>
      <c r="H1168" s="152"/>
      <c r="I1168" s="204"/>
      <c r="J1168" s="285"/>
      <c r="K1168" s="251"/>
      <c r="L1168" s="133" t="str">
        <f>IF(AND(I1168&lt;&gt;"",ISERROR(IF(ISERROR(VLOOKUP(I1168*1,Summary!$C$8:$C$153,1,0)),VLOOKUP(I1168,Summary!$C$8:$C$153,1,0),VLOOKUP(I1168*1,Summary!$C$8:$C$153,1,0)))),"Add account Number to Summary","")</f>
        <v/>
      </c>
      <c r="M1168" s="131" t="str">
        <f t="shared" si="18"/>
        <v/>
      </c>
      <c r="N1168" s="287">
        <f>IF(C1168="Sale",SUMIFS($D$4:D1168,$B$4:B1168,B1168,$C$4:C1168,"")+SUMIFS($D$4:D1168,$B$4:B1168,B1168,$C$4:C1168,"Purch")-SUMIFS($D$4:D1168,$B$4:B1168,B1168,$C$4:C1168,"Sale"),0)</f>
        <v>0</v>
      </c>
    </row>
    <row r="1169" spans="1:14" x14ac:dyDescent="0.2">
      <c r="A1169" s="152"/>
      <c r="B1169" s="132"/>
      <c r="C1169" s="132"/>
      <c r="D1169" s="277"/>
      <c r="E1169" s="132"/>
      <c r="F1169" s="170"/>
      <c r="G1169" s="150"/>
      <c r="H1169" s="152"/>
      <c r="I1169" s="204"/>
      <c r="J1169" s="285"/>
      <c r="K1169" s="251"/>
      <c r="L1169" s="133" t="str">
        <f>IF(AND(I1169&lt;&gt;"",ISERROR(IF(ISERROR(VLOOKUP(I1169*1,Summary!$C$8:$C$153,1,0)),VLOOKUP(I1169,Summary!$C$8:$C$153,1,0),VLOOKUP(I1169*1,Summary!$C$8:$C$153,1,0)))),"Add account Number to Summary","")</f>
        <v/>
      </c>
      <c r="M1169" s="131" t="str">
        <f t="shared" si="18"/>
        <v/>
      </c>
      <c r="N1169" s="287">
        <f>IF(C1169="Sale",SUMIFS($D$4:D1169,$B$4:B1169,B1169,$C$4:C1169,"")+SUMIFS($D$4:D1169,$B$4:B1169,B1169,$C$4:C1169,"Purch")-SUMIFS($D$4:D1169,$B$4:B1169,B1169,$C$4:C1169,"Sale"),0)</f>
        <v>0</v>
      </c>
    </row>
    <row r="1170" spans="1:14" x14ac:dyDescent="0.2">
      <c r="A1170" s="152"/>
      <c r="B1170" s="132"/>
      <c r="C1170" s="132"/>
      <c r="D1170" s="277"/>
      <c r="E1170" s="132"/>
      <c r="F1170" s="170"/>
      <c r="G1170" s="150"/>
      <c r="H1170" s="152"/>
      <c r="I1170" s="204"/>
      <c r="J1170" s="285"/>
      <c r="K1170" s="251"/>
      <c r="L1170" s="133" t="str">
        <f>IF(AND(I1170&lt;&gt;"",ISERROR(IF(ISERROR(VLOOKUP(I1170*1,Summary!$C$8:$C$153,1,0)),VLOOKUP(I1170,Summary!$C$8:$C$153,1,0),VLOOKUP(I1170*1,Summary!$C$8:$C$153,1,0)))),"Add account Number to Summary","")</f>
        <v/>
      </c>
      <c r="M1170" s="131" t="str">
        <f t="shared" si="18"/>
        <v/>
      </c>
      <c r="N1170" s="287">
        <f>IF(C1170="Sale",SUMIFS($D$4:D1170,$B$4:B1170,B1170,$C$4:C1170,"")+SUMIFS($D$4:D1170,$B$4:B1170,B1170,$C$4:C1170,"Purch")-SUMIFS($D$4:D1170,$B$4:B1170,B1170,$C$4:C1170,"Sale"),0)</f>
        <v>0</v>
      </c>
    </row>
    <row r="1171" spans="1:14" x14ac:dyDescent="0.2">
      <c r="A1171" s="152"/>
      <c r="B1171" s="132"/>
      <c r="C1171" s="132"/>
      <c r="D1171" s="277"/>
      <c r="E1171" s="132"/>
      <c r="F1171" s="170"/>
      <c r="G1171" s="150"/>
      <c r="H1171" s="152"/>
      <c r="I1171" s="204"/>
      <c r="J1171" s="285"/>
      <c r="K1171" s="251"/>
      <c r="L1171" s="133" t="str">
        <f>IF(AND(I1171&lt;&gt;"",ISERROR(IF(ISERROR(VLOOKUP(I1171*1,Summary!$C$8:$C$153,1,0)),VLOOKUP(I1171,Summary!$C$8:$C$153,1,0),VLOOKUP(I1171*1,Summary!$C$8:$C$153,1,0)))),"Add account Number to Summary","")</f>
        <v/>
      </c>
      <c r="M1171" s="131" t="str">
        <f t="shared" si="18"/>
        <v/>
      </c>
      <c r="N1171" s="287">
        <f>IF(C1171="Sale",SUMIFS($D$4:D1171,$B$4:B1171,B1171,$C$4:C1171,"")+SUMIFS($D$4:D1171,$B$4:B1171,B1171,$C$4:C1171,"Purch")-SUMIFS($D$4:D1171,$B$4:B1171,B1171,$C$4:C1171,"Sale"),0)</f>
        <v>0</v>
      </c>
    </row>
    <row r="1172" spans="1:14" x14ac:dyDescent="0.2">
      <c r="A1172" s="152"/>
      <c r="B1172" s="132"/>
      <c r="C1172" s="132"/>
      <c r="D1172" s="277"/>
      <c r="E1172" s="132"/>
      <c r="F1172" s="170"/>
      <c r="G1172" s="150"/>
      <c r="H1172" s="152"/>
      <c r="I1172" s="204"/>
      <c r="J1172" s="285"/>
      <c r="K1172" s="251"/>
      <c r="L1172" s="133" t="str">
        <f>IF(AND(I1172&lt;&gt;"",ISERROR(IF(ISERROR(VLOOKUP(I1172*1,Summary!$C$8:$C$153,1,0)),VLOOKUP(I1172,Summary!$C$8:$C$153,1,0),VLOOKUP(I1172*1,Summary!$C$8:$C$153,1,0)))),"Add account Number to Summary","")</f>
        <v/>
      </c>
      <c r="M1172" s="131" t="str">
        <f t="shared" si="18"/>
        <v/>
      </c>
      <c r="N1172" s="287">
        <f>IF(C1172="Sale",SUMIFS($D$4:D1172,$B$4:B1172,B1172,$C$4:C1172,"")+SUMIFS($D$4:D1172,$B$4:B1172,B1172,$C$4:C1172,"Purch")-SUMIFS($D$4:D1172,$B$4:B1172,B1172,$C$4:C1172,"Sale"),0)</f>
        <v>0</v>
      </c>
    </row>
    <row r="1173" spans="1:14" x14ac:dyDescent="0.2">
      <c r="A1173" s="152"/>
      <c r="B1173" s="132"/>
      <c r="C1173" s="132"/>
      <c r="D1173" s="277"/>
      <c r="E1173" s="132"/>
      <c r="F1173" s="170"/>
      <c r="G1173" s="150"/>
      <c r="H1173" s="152"/>
      <c r="I1173" s="204"/>
      <c r="J1173" s="285"/>
      <c r="K1173" s="251"/>
      <c r="L1173" s="133" t="str">
        <f>IF(AND(I1173&lt;&gt;"",ISERROR(IF(ISERROR(VLOOKUP(I1173*1,Summary!$C$8:$C$153,1,0)),VLOOKUP(I1173,Summary!$C$8:$C$153,1,0),VLOOKUP(I1173*1,Summary!$C$8:$C$153,1,0)))),"Add account Number to Summary","")</f>
        <v/>
      </c>
      <c r="M1173" s="131" t="str">
        <f t="shared" si="18"/>
        <v/>
      </c>
      <c r="N1173" s="287">
        <f>IF(C1173="Sale",SUMIFS($D$4:D1173,$B$4:B1173,B1173,$C$4:C1173,"")+SUMIFS($D$4:D1173,$B$4:B1173,B1173,$C$4:C1173,"Purch")-SUMIFS($D$4:D1173,$B$4:B1173,B1173,$C$4:C1173,"Sale"),0)</f>
        <v>0</v>
      </c>
    </row>
    <row r="1174" spans="1:14" x14ac:dyDescent="0.2">
      <c r="A1174" s="152"/>
      <c r="B1174" s="132"/>
      <c r="C1174" s="132"/>
      <c r="D1174" s="277"/>
      <c r="E1174" s="132"/>
      <c r="F1174" s="170"/>
      <c r="G1174" s="150"/>
      <c r="H1174" s="152"/>
      <c r="I1174" s="204"/>
      <c r="J1174" s="285"/>
      <c r="K1174" s="251"/>
      <c r="L1174" s="133" t="str">
        <f>IF(AND(I1174&lt;&gt;"",ISERROR(IF(ISERROR(VLOOKUP(I1174*1,Summary!$C$8:$C$153,1,0)),VLOOKUP(I1174,Summary!$C$8:$C$153,1,0),VLOOKUP(I1174*1,Summary!$C$8:$C$153,1,0)))),"Add account Number to Summary","")</f>
        <v/>
      </c>
      <c r="M1174" s="131" t="str">
        <f t="shared" si="18"/>
        <v/>
      </c>
      <c r="N1174" s="287">
        <f>IF(C1174="Sale",SUMIFS($D$4:D1174,$B$4:B1174,B1174,$C$4:C1174,"")+SUMIFS($D$4:D1174,$B$4:B1174,B1174,$C$4:C1174,"Purch")-SUMIFS($D$4:D1174,$B$4:B1174,B1174,$C$4:C1174,"Sale"),0)</f>
        <v>0</v>
      </c>
    </row>
    <row r="1175" spans="1:14" x14ac:dyDescent="0.2">
      <c r="A1175" s="152"/>
      <c r="B1175" s="132"/>
      <c r="C1175" s="132"/>
      <c r="D1175" s="277"/>
      <c r="E1175" s="132"/>
      <c r="F1175" s="170"/>
      <c r="G1175" s="150"/>
      <c r="H1175" s="152"/>
      <c r="I1175" s="204"/>
      <c r="J1175" s="285"/>
      <c r="K1175" s="251"/>
      <c r="L1175" s="133" t="str">
        <f>IF(AND(I1175&lt;&gt;"",ISERROR(IF(ISERROR(VLOOKUP(I1175*1,Summary!$C$8:$C$153,1,0)),VLOOKUP(I1175,Summary!$C$8:$C$153,1,0),VLOOKUP(I1175*1,Summary!$C$8:$C$153,1,0)))),"Add account Number to Summary","")</f>
        <v/>
      </c>
      <c r="M1175" s="131" t="str">
        <f t="shared" si="18"/>
        <v/>
      </c>
      <c r="N1175" s="287">
        <f>IF(C1175="Sale",SUMIFS($D$4:D1175,$B$4:B1175,B1175,$C$4:C1175,"")+SUMIFS($D$4:D1175,$B$4:B1175,B1175,$C$4:C1175,"Purch")-SUMIFS($D$4:D1175,$B$4:B1175,B1175,$C$4:C1175,"Sale"),0)</f>
        <v>0</v>
      </c>
    </row>
    <row r="1176" spans="1:14" x14ac:dyDescent="0.2">
      <c r="A1176" s="152"/>
      <c r="B1176" s="132"/>
      <c r="C1176" s="132"/>
      <c r="D1176" s="277"/>
      <c r="E1176" s="132"/>
      <c r="F1176" s="170"/>
      <c r="G1176" s="150"/>
      <c r="H1176" s="152"/>
      <c r="I1176" s="204"/>
      <c r="J1176" s="285"/>
      <c r="K1176" s="251"/>
      <c r="L1176" s="133" t="str">
        <f>IF(AND(I1176&lt;&gt;"",ISERROR(IF(ISERROR(VLOOKUP(I1176*1,Summary!$C$8:$C$153,1,0)),VLOOKUP(I1176,Summary!$C$8:$C$153,1,0),VLOOKUP(I1176*1,Summary!$C$8:$C$153,1,0)))),"Add account Number to Summary","")</f>
        <v/>
      </c>
      <c r="M1176" s="131" t="str">
        <f t="shared" si="18"/>
        <v/>
      </c>
      <c r="N1176" s="287">
        <f>IF(C1176="Sale",SUMIFS($D$4:D1176,$B$4:B1176,B1176,$C$4:C1176,"")+SUMIFS($D$4:D1176,$B$4:B1176,B1176,$C$4:C1176,"Purch")-SUMIFS($D$4:D1176,$B$4:B1176,B1176,$C$4:C1176,"Sale"),0)</f>
        <v>0</v>
      </c>
    </row>
    <row r="1177" spans="1:14" x14ac:dyDescent="0.2">
      <c r="A1177" s="152"/>
      <c r="B1177" s="132"/>
      <c r="C1177" s="132"/>
      <c r="D1177" s="277"/>
      <c r="E1177" s="132"/>
      <c r="F1177" s="170"/>
      <c r="G1177" s="150"/>
      <c r="H1177" s="152"/>
      <c r="I1177" s="204"/>
      <c r="J1177" s="285"/>
      <c r="K1177" s="251"/>
      <c r="L1177" s="133" t="str">
        <f>IF(AND(I1177&lt;&gt;"",ISERROR(IF(ISERROR(VLOOKUP(I1177*1,Summary!$C$8:$C$153,1,0)),VLOOKUP(I1177,Summary!$C$8:$C$153,1,0),VLOOKUP(I1177*1,Summary!$C$8:$C$153,1,0)))),"Add account Number to Summary","")</f>
        <v/>
      </c>
      <c r="M1177" s="131" t="str">
        <f t="shared" si="18"/>
        <v/>
      </c>
      <c r="N1177" s="287">
        <f>IF(C1177="Sale",SUMIFS($D$4:D1177,$B$4:B1177,B1177,$C$4:C1177,"")+SUMIFS($D$4:D1177,$B$4:B1177,B1177,$C$4:C1177,"Purch")-SUMIFS($D$4:D1177,$B$4:B1177,B1177,$C$4:C1177,"Sale"),0)</f>
        <v>0</v>
      </c>
    </row>
    <row r="1178" spans="1:14" x14ac:dyDescent="0.2">
      <c r="A1178" s="152"/>
      <c r="B1178" s="132"/>
      <c r="C1178" s="132"/>
      <c r="D1178" s="277"/>
      <c r="E1178" s="132"/>
      <c r="F1178" s="170"/>
      <c r="G1178" s="150"/>
      <c r="H1178" s="152"/>
      <c r="I1178" s="204"/>
      <c r="J1178" s="285"/>
      <c r="K1178" s="251"/>
      <c r="L1178" s="133" t="str">
        <f>IF(AND(I1178&lt;&gt;"",ISERROR(IF(ISERROR(VLOOKUP(I1178*1,Summary!$C$8:$C$153,1,0)),VLOOKUP(I1178,Summary!$C$8:$C$153,1,0),VLOOKUP(I1178*1,Summary!$C$8:$C$153,1,0)))),"Add account Number to Summary","")</f>
        <v/>
      </c>
      <c r="M1178" s="131" t="str">
        <f t="shared" si="18"/>
        <v/>
      </c>
      <c r="N1178" s="287">
        <f>IF(C1178="Sale",SUMIFS($D$4:D1178,$B$4:B1178,B1178,$C$4:C1178,"")+SUMIFS($D$4:D1178,$B$4:B1178,B1178,$C$4:C1178,"Purch")-SUMIFS($D$4:D1178,$B$4:B1178,B1178,$C$4:C1178,"Sale"),0)</f>
        <v>0</v>
      </c>
    </row>
    <row r="1179" spans="1:14" x14ac:dyDescent="0.2">
      <c r="A1179" s="152"/>
      <c r="B1179" s="132"/>
      <c r="C1179" s="132"/>
      <c r="D1179" s="277"/>
      <c r="E1179" s="132"/>
      <c r="F1179" s="170"/>
      <c r="G1179" s="150"/>
      <c r="H1179" s="152"/>
      <c r="I1179" s="204"/>
      <c r="J1179" s="285"/>
      <c r="K1179" s="251"/>
      <c r="L1179" s="133" t="str">
        <f>IF(AND(I1179&lt;&gt;"",ISERROR(IF(ISERROR(VLOOKUP(I1179*1,Summary!$C$8:$C$153,1,0)),VLOOKUP(I1179,Summary!$C$8:$C$153,1,0),VLOOKUP(I1179*1,Summary!$C$8:$C$153,1,0)))),"Add account Number to Summary","")</f>
        <v/>
      </c>
      <c r="M1179" s="131" t="str">
        <f t="shared" si="18"/>
        <v/>
      </c>
      <c r="N1179" s="287">
        <f>IF(C1179="Sale",SUMIFS($D$4:D1179,$B$4:B1179,B1179,$C$4:C1179,"")+SUMIFS($D$4:D1179,$B$4:B1179,B1179,$C$4:C1179,"Purch")-SUMIFS($D$4:D1179,$B$4:B1179,B1179,$C$4:C1179,"Sale"),0)</f>
        <v>0</v>
      </c>
    </row>
    <row r="1180" spans="1:14" x14ac:dyDescent="0.2">
      <c r="A1180" s="152"/>
      <c r="B1180" s="132"/>
      <c r="C1180" s="132"/>
      <c r="D1180" s="277"/>
      <c r="E1180" s="132"/>
      <c r="F1180" s="170"/>
      <c r="G1180" s="150"/>
      <c r="H1180" s="152"/>
      <c r="I1180" s="204"/>
      <c r="J1180" s="285"/>
      <c r="K1180" s="251"/>
      <c r="L1180" s="133" t="str">
        <f>IF(AND(I1180&lt;&gt;"",ISERROR(IF(ISERROR(VLOOKUP(I1180*1,Summary!$C$8:$C$153,1,0)),VLOOKUP(I1180,Summary!$C$8:$C$153,1,0),VLOOKUP(I1180*1,Summary!$C$8:$C$153,1,0)))),"Add account Number to Summary","")</f>
        <v/>
      </c>
      <c r="M1180" s="131" t="str">
        <f t="shared" si="18"/>
        <v/>
      </c>
      <c r="N1180" s="287">
        <f>IF(C1180="Sale",SUMIFS($D$4:D1180,$B$4:B1180,B1180,$C$4:C1180,"")+SUMIFS($D$4:D1180,$B$4:B1180,B1180,$C$4:C1180,"Purch")-SUMIFS($D$4:D1180,$B$4:B1180,B1180,$C$4:C1180,"Sale"),0)</f>
        <v>0</v>
      </c>
    </row>
    <row r="1181" spans="1:14" x14ac:dyDescent="0.2">
      <c r="A1181" s="152"/>
      <c r="B1181" s="132"/>
      <c r="C1181" s="132"/>
      <c r="D1181" s="277"/>
      <c r="E1181" s="132"/>
      <c r="F1181" s="170"/>
      <c r="G1181" s="150"/>
      <c r="H1181" s="152"/>
      <c r="I1181" s="204"/>
      <c r="J1181" s="285"/>
      <c r="K1181" s="251"/>
      <c r="L1181" s="133" t="str">
        <f>IF(AND(I1181&lt;&gt;"",ISERROR(IF(ISERROR(VLOOKUP(I1181*1,Summary!$C$8:$C$153,1,0)),VLOOKUP(I1181,Summary!$C$8:$C$153,1,0),VLOOKUP(I1181*1,Summary!$C$8:$C$153,1,0)))),"Add account Number to Summary","")</f>
        <v/>
      </c>
      <c r="M1181" s="131" t="str">
        <f t="shared" si="18"/>
        <v/>
      </c>
      <c r="N1181" s="287">
        <f>IF(C1181="Sale",SUMIFS($D$4:D1181,$B$4:B1181,B1181,$C$4:C1181,"")+SUMIFS($D$4:D1181,$B$4:B1181,B1181,$C$4:C1181,"Purch")-SUMIFS($D$4:D1181,$B$4:B1181,B1181,$C$4:C1181,"Sale"),0)</f>
        <v>0</v>
      </c>
    </row>
    <row r="1182" spans="1:14" x14ac:dyDescent="0.2">
      <c r="A1182" s="152"/>
      <c r="B1182" s="132"/>
      <c r="C1182" s="132"/>
      <c r="D1182" s="277"/>
      <c r="E1182" s="132"/>
      <c r="F1182" s="170"/>
      <c r="G1182" s="150"/>
      <c r="H1182" s="152"/>
      <c r="I1182" s="204"/>
      <c r="J1182" s="285"/>
      <c r="K1182" s="251"/>
      <c r="L1182" s="133" t="str">
        <f>IF(AND(I1182&lt;&gt;"",ISERROR(IF(ISERROR(VLOOKUP(I1182*1,Summary!$C$8:$C$153,1,0)),VLOOKUP(I1182,Summary!$C$8:$C$153,1,0),VLOOKUP(I1182*1,Summary!$C$8:$C$153,1,0)))),"Add account Number to Summary","")</f>
        <v/>
      </c>
      <c r="M1182" s="131" t="str">
        <f t="shared" si="18"/>
        <v/>
      </c>
      <c r="N1182" s="287">
        <f>IF(C1182="Sale",SUMIFS($D$4:D1182,$B$4:B1182,B1182,$C$4:C1182,"")+SUMIFS($D$4:D1182,$B$4:B1182,B1182,$C$4:C1182,"Purch")-SUMIFS($D$4:D1182,$B$4:B1182,B1182,$C$4:C1182,"Sale"),0)</f>
        <v>0</v>
      </c>
    </row>
    <row r="1183" spans="1:14" x14ac:dyDescent="0.2">
      <c r="A1183" s="152"/>
      <c r="B1183" s="132"/>
      <c r="C1183" s="132"/>
      <c r="D1183" s="277"/>
      <c r="E1183" s="132"/>
      <c r="F1183" s="170"/>
      <c r="G1183" s="150"/>
      <c r="H1183" s="152"/>
      <c r="I1183" s="204"/>
      <c r="J1183" s="285"/>
      <c r="K1183" s="251"/>
      <c r="L1183" s="133" t="str">
        <f>IF(AND(I1183&lt;&gt;"",ISERROR(IF(ISERROR(VLOOKUP(I1183*1,Summary!$C$8:$C$153,1,0)),VLOOKUP(I1183,Summary!$C$8:$C$153,1,0),VLOOKUP(I1183*1,Summary!$C$8:$C$153,1,0)))),"Add account Number to Summary","")</f>
        <v/>
      </c>
      <c r="M1183" s="131" t="str">
        <f t="shared" si="18"/>
        <v/>
      </c>
      <c r="N1183" s="287">
        <f>IF(C1183="Sale",SUMIFS($D$4:D1183,$B$4:B1183,B1183,$C$4:C1183,"")+SUMIFS($D$4:D1183,$B$4:B1183,B1183,$C$4:C1183,"Purch")-SUMIFS($D$4:D1183,$B$4:B1183,B1183,$C$4:C1183,"Sale"),0)</f>
        <v>0</v>
      </c>
    </row>
    <row r="1184" spans="1:14" x14ac:dyDescent="0.2">
      <c r="A1184" s="152"/>
      <c r="B1184" s="132"/>
      <c r="C1184" s="132"/>
      <c r="D1184" s="277"/>
      <c r="E1184" s="132"/>
      <c r="F1184" s="170"/>
      <c r="G1184" s="150"/>
      <c r="H1184" s="152"/>
      <c r="I1184" s="204"/>
      <c r="J1184" s="285"/>
      <c r="K1184" s="251"/>
      <c r="L1184" s="133" t="str">
        <f>IF(AND(I1184&lt;&gt;"",ISERROR(IF(ISERROR(VLOOKUP(I1184*1,Summary!$C$8:$C$153,1,0)),VLOOKUP(I1184,Summary!$C$8:$C$153,1,0),VLOOKUP(I1184*1,Summary!$C$8:$C$153,1,0)))),"Add account Number to Summary","")</f>
        <v/>
      </c>
      <c r="M1184" s="131" t="str">
        <f t="shared" si="18"/>
        <v/>
      </c>
      <c r="N1184" s="287">
        <f>IF(C1184="Sale",SUMIFS($D$4:D1184,$B$4:B1184,B1184,$C$4:C1184,"")+SUMIFS($D$4:D1184,$B$4:B1184,B1184,$C$4:C1184,"Purch")-SUMIFS($D$4:D1184,$B$4:B1184,B1184,$C$4:C1184,"Sale"),0)</f>
        <v>0</v>
      </c>
    </row>
    <row r="1185" spans="1:14" x14ac:dyDescent="0.2">
      <c r="A1185" s="152"/>
      <c r="B1185" s="132"/>
      <c r="C1185" s="132"/>
      <c r="D1185" s="277"/>
      <c r="E1185" s="132"/>
      <c r="F1185" s="170"/>
      <c r="G1185" s="150"/>
      <c r="H1185" s="152"/>
      <c r="I1185" s="204"/>
      <c r="J1185" s="285"/>
      <c r="K1185" s="251"/>
      <c r="L1185" s="133" t="str">
        <f>IF(AND(I1185&lt;&gt;"",ISERROR(IF(ISERROR(VLOOKUP(I1185*1,Summary!$C$8:$C$153,1,0)),VLOOKUP(I1185,Summary!$C$8:$C$153,1,0),VLOOKUP(I1185*1,Summary!$C$8:$C$153,1,0)))),"Add account Number to Summary","")</f>
        <v/>
      </c>
      <c r="M1185" s="131" t="str">
        <f t="shared" si="18"/>
        <v/>
      </c>
      <c r="N1185" s="287">
        <f>IF(C1185="Sale",SUMIFS($D$4:D1185,$B$4:B1185,B1185,$C$4:C1185,"")+SUMIFS($D$4:D1185,$B$4:B1185,B1185,$C$4:C1185,"Purch")-SUMIFS($D$4:D1185,$B$4:B1185,B1185,$C$4:C1185,"Sale"),0)</f>
        <v>0</v>
      </c>
    </row>
    <row r="1186" spans="1:14" x14ac:dyDescent="0.2">
      <c r="A1186" s="152"/>
      <c r="B1186" s="132"/>
      <c r="C1186" s="132"/>
      <c r="D1186" s="277"/>
      <c r="E1186" s="132"/>
      <c r="F1186" s="170"/>
      <c r="G1186" s="150"/>
      <c r="H1186" s="152"/>
      <c r="I1186" s="204"/>
      <c r="J1186" s="285"/>
      <c r="K1186" s="251"/>
      <c r="L1186" s="133" t="str">
        <f>IF(AND(I1186&lt;&gt;"",ISERROR(IF(ISERROR(VLOOKUP(I1186*1,Summary!$C$8:$C$153,1,0)),VLOOKUP(I1186,Summary!$C$8:$C$153,1,0),VLOOKUP(I1186*1,Summary!$C$8:$C$153,1,0)))),"Add account Number to Summary","")</f>
        <v/>
      </c>
      <c r="M1186" s="131" t="str">
        <f t="shared" si="18"/>
        <v/>
      </c>
      <c r="N1186" s="287">
        <f>IF(C1186="Sale",SUMIFS($D$4:D1186,$B$4:B1186,B1186,$C$4:C1186,"")+SUMIFS($D$4:D1186,$B$4:B1186,B1186,$C$4:C1186,"Purch")-SUMIFS($D$4:D1186,$B$4:B1186,B1186,$C$4:C1186,"Sale"),0)</f>
        <v>0</v>
      </c>
    </row>
    <row r="1187" spans="1:14" x14ac:dyDescent="0.2">
      <c r="A1187" s="152"/>
      <c r="B1187" s="132"/>
      <c r="C1187" s="132"/>
      <c r="D1187" s="277"/>
      <c r="E1187" s="132"/>
      <c r="F1187" s="170"/>
      <c r="G1187" s="150"/>
      <c r="H1187" s="152"/>
      <c r="I1187" s="204"/>
      <c r="J1187" s="285"/>
      <c r="K1187" s="251"/>
      <c r="L1187" s="133" t="str">
        <f>IF(AND(I1187&lt;&gt;"",ISERROR(IF(ISERROR(VLOOKUP(I1187*1,Summary!$C$8:$C$153,1,0)),VLOOKUP(I1187,Summary!$C$8:$C$153,1,0),VLOOKUP(I1187*1,Summary!$C$8:$C$153,1,0)))),"Add account Number to Summary","")</f>
        <v/>
      </c>
      <c r="M1187" s="131" t="str">
        <f t="shared" si="18"/>
        <v/>
      </c>
      <c r="N1187" s="287">
        <f>IF(C1187="Sale",SUMIFS($D$4:D1187,$B$4:B1187,B1187,$C$4:C1187,"")+SUMIFS($D$4:D1187,$B$4:B1187,B1187,$C$4:C1187,"Purch")-SUMIFS($D$4:D1187,$B$4:B1187,B1187,$C$4:C1187,"Sale"),0)</f>
        <v>0</v>
      </c>
    </row>
    <row r="1188" spans="1:14" x14ac:dyDescent="0.2">
      <c r="A1188" s="152"/>
      <c r="B1188" s="132"/>
      <c r="C1188" s="132"/>
      <c r="D1188" s="277"/>
      <c r="E1188" s="132"/>
      <c r="F1188" s="170"/>
      <c r="G1188" s="150"/>
      <c r="H1188" s="152"/>
      <c r="I1188" s="204"/>
      <c r="J1188" s="285"/>
      <c r="K1188" s="251"/>
      <c r="L1188" s="133" t="str">
        <f>IF(AND(I1188&lt;&gt;"",ISERROR(IF(ISERROR(VLOOKUP(I1188*1,Summary!$C$8:$C$153,1,0)),VLOOKUP(I1188,Summary!$C$8:$C$153,1,0),VLOOKUP(I1188*1,Summary!$C$8:$C$153,1,0)))),"Add account Number to Summary","")</f>
        <v/>
      </c>
      <c r="M1188" s="131" t="str">
        <f t="shared" si="18"/>
        <v/>
      </c>
      <c r="N1188" s="287">
        <f>IF(C1188="Sale",SUMIFS($D$4:D1188,$B$4:B1188,B1188,$C$4:C1188,"")+SUMIFS($D$4:D1188,$B$4:B1188,B1188,$C$4:C1188,"Purch")-SUMIFS($D$4:D1188,$B$4:B1188,B1188,$C$4:C1188,"Sale"),0)</f>
        <v>0</v>
      </c>
    </row>
    <row r="1189" spans="1:14" x14ac:dyDescent="0.2">
      <c r="A1189" s="152"/>
      <c r="B1189" s="132"/>
      <c r="C1189" s="132"/>
      <c r="D1189" s="277"/>
      <c r="E1189" s="132"/>
      <c r="F1189" s="170"/>
      <c r="G1189" s="150"/>
      <c r="H1189" s="152"/>
      <c r="I1189" s="204"/>
      <c r="J1189" s="285"/>
      <c r="K1189" s="251"/>
      <c r="L1189" s="133" t="str">
        <f>IF(AND(I1189&lt;&gt;"",ISERROR(IF(ISERROR(VLOOKUP(I1189*1,Summary!$C$8:$C$153,1,0)),VLOOKUP(I1189,Summary!$C$8:$C$153,1,0),VLOOKUP(I1189*1,Summary!$C$8:$C$153,1,0)))),"Add account Number to Summary","")</f>
        <v/>
      </c>
      <c r="M1189" s="131" t="str">
        <f t="shared" si="18"/>
        <v/>
      </c>
      <c r="N1189" s="287">
        <f>IF(C1189="Sale",SUMIFS($D$4:D1189,$B$4:B1189,B1189,$C$4:C1189,"")+SUMIFS($D$4:D1189,$B$4:B1189,B1189,$C$4:C1189,"Purch")-SUMIFS($D$4:D1189,$B$4:B1189,B1189,$C$4:C1189,"Sale"),0)</f>
        <v>0</v>
      </c>
    </row>
    <row r="1190" spans="1:14" x14ac:dyDescent="0.2">
      <c r="A1190" s="152"/>
      <c r="B1190" s="132"/>
      <c r="C1190" s="132"/>
      <c r="D1190" s="277"/>
      <c r="E1190" s="132"/>
      <c r="F1190" s="170"/>
      <c r="G1190" s="150"/>
      <c r="H1190" s="152"/>
      <c r="I1190" s="204"/>
      <c r="J1190" s="285"/>
      <c r="K1190" s="251"/>
      <c r="L1190" s="133" t="str">
        <f>IF(AND(I1190&lt;&gt;"",ISERROR(IF(ISERROR(VLOOKUP(I1190*1,Summary!$C$8:$C$153,1,0)),VLOOKUP(I1190,Summary!$C$8:$C$153,1,0),VLOOKUP(I1190*1,Summary!$C$8:$C$153,1,0)))),"Add account Number to Summary","")</f>
        <v/>
      </c>
      <c r="M1190" s="131" t="str">
        <f t="shared" si="18"/>
        <v/>
      </c>
      <c r="N1190" s="287">
        <f>IF(C1190="Sale",SUMIFS($D$4:D1190,$B$4:B1190,B1190,$C$4:C1190,"")+SUMIFS($D$4:D1190,$B$4:B1190,B1190,$C$4:C1190,"Purch")-SUMIFS($D$4:D1190,$B$4:B1190,B1190,$C$4:C1190,"Sale"),0)</f>
        <v>0</v>
      </c>
    </row>
    <row r="1191" spans="1:14" x14ac:dyDescent="0.2">
      <c r="A1191" s="152"/>
      <c r="B1191" s="132"/>
      <c r="C1191" s="132"/>
      <c r="D1191" s="277"/>
      <c r="E1191" s="132"/>
      <c r="F1191" s="170"/>
      <c r="G1191" s="150"/>
      <c r="H1191" s="152"/>
      <c r="I1191" s="204"/>
      <c r="J1191" s="285"/>
      <c r="K1191" s="251"/>
      <c r="L1191" s="133" t="str">
        <f>IF(AND(I1191&lt;&gt;"",ISERROR(IF(ISERROR(VLOOKUP(I1191*1,Summary!$C$8:$C$153,1,0)),VLOOKUP(I1191,Summary!$C$8:$C$153,1,0),VLOOKUP(I1191*1,Summary!$C$8:$C$153,1,0)))),"Add account Number to Summary","")</f>
        <v/>
      </c>
      <c r="M1191" s="131" t="str">
        <f t="shared" si="18"/>
        <v/>
      </c>
      <c r="N1191" s="287">
        <f>IF(C1191="Sale",SUMIFS($D$4:D1191,$B$4:B1191,B1191,$C$4:C1191,"")+SUMIFS($D$4:D1191,$B$4:B1191,B1191,$C$4:C1191,"Purch")-SUMIFS($D$4:D1191,$B$4:B1191,B1191,$C$4:C1191,"Sale"),0)</f>
        <v>0</v>
      </c>
    </row>
    <row r="1192" spans="1:14" x14ac:dyDescent="0.2">
      <c r="A1192" s="152"/>
      <c r="B1192" s="132"/>
      <c r="C1192" s="132"/>
      <c r="D1192" s="277"/>
      <c r="E1192" s="132"/>
      <c r="F1192" s="170"/>
      <c r="G1192" s="150"/>
      <c r="H1192" s="152"/>
      <c r="I1192" s="204"/>
      <c r="J1192" s="285"/>
      <c r="K1192" s="251"/>
      <c r="L1192" s="133" t="str">
        <f>IF(AND(I1192&lt;&gt;"",ISERROR(IF(ISERROR(VLOOKUP(I1192*1,Summary!$C$8:$C$153,1,0)),VLOOKUP(I1192,Summary!$C$8:$C$153,1,0),VLOOKUP(I1192*1,Summary!$C$8:$C$153,1,0)))),"Add account Number to Summary","")</f>
        <v/>
      </c>
      <c r="M1192" s="131" t="str">
        <f t="shared" si="18"/>
        <v/>
      </c>
      <c r="N1192" s="287">
        <f>IF(C1192="Sale",SUMIFS($D$4:D1192,$B$4:B1192,B1192,$C$4:C1192,"")+SUMIFS($D$4:D1192,$B$4:B1192,B1192,$C$4:C1192,"Purch")-SUMIFS($D$4:D1192,$B$4:B1192,B1192,$C$4:C1192,"Sale"),0)</f>
        <v>0</v>
      </c>
    </row>
    <row r="1193" spans="1:14" x14ac:dyDescent="0.2">
      <c r="A1193" s="152"/>
      <c r="B1193" s="132"/>
      <c r="C1193" s="132"/>
      <c r="D1193" s="277"/>
      <c r="E1193" s="132"/>
      <c r="F1193" s="170"/>
      <c r="G1193" s="150"/>
      <c r="H1193" s="152"/>
      <c r="I1193" s="204"/>
      <c r="J1193" s="285"/>
      <c r="K1193" s="251"/>
      <c r="L1193" s="133" t="str">
        <f>IF(AND(I1193&lt;&gt;"",ISERROR(IF(ISERROR(VLOOKUP(I1193*1,Summary!$C$8:$C$153,1,0)),VLOOKUP(I1193,Summary!$C$8:$C$153,1,0),VLOOKUP(I1193*1,Summary!$C$8:$C$153,1,0)))),"Add account Number to Summary","")</f>
        <v/>
      </c>
      <c r="M1193" s="131" t="str">
        <f t="shared" si="18"/>
        <v/>
      </c>
      <c r="N1193" s="287">
        <f>IF(C1193="Sale",SUMIFS($D$4:D1193,$B$4:B1193,B1193,$C$4:C1193,"")+SUMIFS($D$4:D1193,$B$4:B1193,B1193,$C$4:C1193,"Purch")-SUMIFS($D$4:D1193,$B$4:B1193,B1193,$C$4:C1193,"Sale"),0)</f>
        <v>0</v>
      </c>
    </row>
    <row r="1194" spans="1:14" x14ac:dyDescent="0.2">
      <c r="A1194" s="152"/>
      <c r="B1194" s="132"/>
      <c r="C1194" s="132"/>
      <c r="D1194" s="277"/>
      <c r="E1194" s="132"/>
      <c r="F1194" s="170"/>
      <c r="G1194" s="150"/>
      <c r="H1194" s="152"/>
      <c r="I1194" s="204"/>
      <c r="J1194" s="285"/>
      <c r="K1194" s="251"/>
      <c r="L1194" s="133" t="str">
        <f>IF(AND(I1194&lt;&gt;"",ISERROR(IF(ISERROR(VLOOKUP(I1194*1,Summary!$C$8:$C$153,1,0)),VLOOKUP(I1194,Summary!$C$8:$C$153,1,0),VLOOKUP(I1194*1,Summary!$C$8:$C$153,1,0)))),"Add account Number to Summary","")</f>
        <v/>
      </c>
      <c r="M1194" s="131" t="str">
        <f t="shared" si="18"/>
        <v/>
      </c>
      <c r="N1194" s="287">
        <f>IF(C1194="Sale",SUMIFS($D$4:D1194,$B$4:B1194,B1194,$C$4:C1194,"")+SUMIFS($D$4:D1194,$B$4:B1194,B1194,$C$4:C1194,"Purch")-SUMIFS($D$4:D1194,$B$4:B1194,B1194,$C$4:C1194,"Sale"),0)</f>
        <v>0</v>
      </c>
    </row>
    <row r="1195" spans="1:14" x14ac:dyDescent="0.2">
      <c r="A1195" s="152"/>
      <c r="B1195" s="132"/>
      <c r="C1195" s="132"/>
      <c r="D1195" s="277"/>
      <c r="E1195" s="132"/>
      <c r="F1195" s="170"/>
      <c r="G1195" s="150"/>
      <c r="H1195" s="152"/>
      <c r="I1195" s="204"/>
      <c r="J1195" s="285"/>
      <c r="K1195" s="251"/>
      <c r="L1195" s="133" t="str">
        <f>IF(AND(I1195&lt;&gt;"",ISERROR(IF(ISERROR(VLOOKUP(I1195*1,Summary!$C$8:$C$153,1,0)),VLOOKUP(I1195,Summary!$C$8:$C$153,1,0),VLOOKUP(I1195*1,Summary!$C$8:$C$153,1,0)))),"Add account Number to Summary","")</f>
        <v/>
      </c>
      <c r="M1195" s="131" t="str">
        <f t="shared" si="18"/>
        <v/>
      </c>
      <c r="N1195" s="287">
        <f>IF(C1195="Sale",SUMIFS($D$4:D1195,$B$4:B1195,B1195,$C$4:C1195,"")+SUMIFS($D$4:D1195,$B$4:B1195,B1195,$C$4:C1195,"Purch")-SUMIFS($D$4:D1195,$B$4:B1195,B1195,$C$4:C1195,"Sale"),0)</f>
        <v>0</v>
      </c>
    </row>
    <row r="1196" spans="1:14" x14ac:dyDescent="0.2">
      <c r="A1196" s="152"/>
      <c r="B1196" s="132"/>
      <c r="C1196" s="132"/>
      <c r="D1196" s="277"/>
      <c r="E1196" s="132"/>
      <c r="F1196" s="170"/>
      <c r="G1196" s="150"/>
      <c r="H1196" s="152"/>
      <c r="I1196" s="204"/>
      <c r="J1196" s="285"/>
      <c r="K1196" s="251"/>
      <c r="L1196" s="133" t="str">
        <f>IF(AND(I1196&lt;&gt;"",ISERROR(IF(ISERROR(VLOOKUP(I1196*1,Summary!$C$8:$C$153,1,0)),VLOOKUP(I1196,Summary!$C$8:$C$153,1,0),VLOOKUP(I1196*1,Summary!$C$8:$C$153,1,0)))),"Add account Number to Summary","")</f>
        <v/>
      </c>
      <c r="M1196" s="131" t="str">
        <f t="shared" ref="M1196:M1259" si="19">IF(K1196="Yes",IF(YEAR(A1196)&lt;&gt;YEAR(date),"Check Date",""),"")</f>
        <v/>
      </c>
      <c r="N1196" s="287">
        <f>IF(C1196="Sale",SUMIFS($D$4:D1196,$B$4:B1196,B1196,$C$4:C1196,"")+SUMIFS($D$4:D1196,$B$4:B1196,B1196,$C$4:C1196,"Purch")-SUMIFS($D$4:D1196,$B$4:B1196,B1196,$C$4:C1196,"Sale"),0)</f>
        <v>0</v>
      </c>
    </row>
    <row r="1197" spans="1:14" x14ac:dyDescent="0.2">
      <c r="A1197" s="152"/>
      <c r="B1197" s="132"/>
      <c r="C1197" s="132"/>
      <c r="D1197" s="277"/>
      <c r="E1197" s="132"/>
      <c r="F1197" s="170"/>
      <c r="G1197" s="150"/>
      <c r="H1197" s="152"/>
      <c r="I1197" s="204"/>
      <c r="J1197" s="285"/>
      <c r="K1197" s="251"/>
      <c r="L1197" s="133" t="str">
        <f>IF(AND(I1197&lt;&gt;"",ISERROR(IF(ISERROR(VLOOKUP(I1197*1,Summary!$C$8:$C$153,1,0)),VLOOKUP(I1197,Summary!$C$8:$C$153,1,0),VLOOKUP(I1197*1,Summary!$C$8:$C$153,1,0)))),"Add account Number to Summary","")</f>
        <v/>
      </c>
      <c r="M1197" s="131" t="str">
        <f t="shared" si="19"/>
        <v/>
      </c>
      <c r="N1197" s="287">
        <f>IF(C1197="Sale",SUMIFS($D$4:D1197,$B$4:B1197,B1197,$C$4:C1197,"")+SUMIFS($D$4:D1197,$B$4:B1197,B1197,$C$4:C1197,"Purch")-SUMIFS($D$4:D1197,$B$4:B1197,B1197,$C$4:C1197,"Sale"),0)</f>
        <v>0</v>
      </c>
    </row>
    <row r="1198" spans="1:14" x14ac:dyDescent="0.2">
      <c r="A1198" s="152"/>
      <c r="B1198" s="132"/>
      <c r="C1198" s="132"/>
      <c r="D1198" s="277"/>
      <c r="E1198" s="132"/>
      <c r="F1198" s="170"/>
      <c r="G1198" s="150"/>
      <c r="H1198" s="152"/>
      <c r="I1198" s="204"/>
      <c r="J1198" s="285"/>
      <c r="K1198" s="251"/>
      <c r="L1198" s="133" t="str">
        <f>IF(AND(I1198&lt;&gt;"",ISERROR(IF(ISERROR(VLOOKUP(I1198*1,Summary!$C$8:$C$153,1,0)),VLOOKUP(I1198,Summary!$C$8:$C$153,1,0),VLOOKUP(I1198*1,Summary!$C$8:$C$153,1,0)))),"Add account Number to Summary","")</f>
        <v/>
      </c>
      <c r="M1198" s="131" t="str">
        <f t="shared" si="19"/>
        <v/>
      </c>
      <c r="N1198" s="287">
        <f>IF(C1198="Sale",SUMIFS($D$4:D1198,$B$4:B1198,B1198,$C$4:C1198,"")+SUMIFS($D$4:D1198,$B$4:B1198,B1198,$C$4:C1198,"Purch")-SUMIFS($D$4:D1198,$B$4:B1198,B1198,$C$4:C1198,"Sale"),0)</f>
        <v>0</v>
      </c>
    </row>
    <row r="1199" spans="1:14" x14ac:dyDescent="0.2">
      <c r="A1199" s="152"/>
      <c r="B1199" s="132"/>
      <c r="C1199" s="132"/>
      <c r="D1199" s="277"/>
      <c r="E1199" s="132"/>
      <c r="F1199" s="170"/>
      <c r="G1199" s="150"/>
      <c r="H1199" s="152"/>
      <c r="I1199" s="204"/>
      <c r="J1199" s="285"/>
      <c r="K1199" s="251"/>
      <c r="L1199" s="133" t="str">
        <f>IF(AND(I1199&lt;&gt;"",ISERROR(IF(ISERROR(VLOOKUP(I1199*1,Summary!$C$8:$C$153,1,0)),VLOOKUP(I1199,Summary!$C$8:$C$153,1,0),VLOOKUP(I1199*1,Summary!$C$8:$C$153,1,0)))),"Add account Number to Summary","")</f>
        <v/>
      </c>
      <c r="M1199" s="131" t="str">
        <f t="shared" si="19"/>
        <v/>
      </c>
      <c r="N1199" s="287">
        <f>IF(C1199="Sale",SUMIFS($D$4:D1199,$B$4:B1199,B1199,$C$4:C1199,"")+SUMIFS($D$4:D1199,$B$4:B1199,B1199,$C$4:C1199,"Purch")-SUMIFS($D$4:D1199,$B$4:B1199,B1199,$C$4:C1199,"Sale"),0)</f>
        <v>0</v>
      </c>
    </row>
    <row r="1200" spans="1:14" x14ac:dyDescent="0.2">
      <c r="A1200" s="152"/>
      <c r="B1200" s="132"/>
      <c r="C1200" s="132"/>
      <c r="D1200" s="277"/>
      <c r="E1200" s="132"/>
      <c r="F1200" s="170"/>
      <c r="G1200" s="150"/>
      <c r="H1200" s="152"/>
      <c r="I1200" s="204"/>
      <c r="J1200" s="285"/>
      <c r="K1200" s="251"/>
      <c r="L1200" s="133" t="str">
        <f>IF(AND(I1200&lt;&gt;"",ISERROR(IF(ISERROR(VLOOKUP(I1200*1,Summary!$C$8:$C$153,1,0)),VLOOKUP(I1200,Summary!$C$8:$C$153,1,0),VLOOKUP(I1200*1,Summary!$C$8:$C$153,1,0)))),"Add account Number to Summary","")</f>
        <v/>
      </c>
      <c r="M1200" s="131" t="str">
        <f t="shared" si="19"/>
        <v/>
      </c>
      <c r="N1200" s="287">
        <f>IF(C1200="Sale",SUMIFS($D$4:D1200,$B$4:B1200,B1200,$C$4:C1200,"")+SUMIFS($D$4:D1200,$B$4:B1200,B1200,$C$4:C1200,"Purch")-SUMIFS($D$4:D1200,$B$4:B1200,B1200,$C$4:C1200,"Sale"),0)</f>
        <v>0</v>
      </c>
    </row>
    <row r="1201" spans="1:14" x14ac:dyDescent="0.2">
      <c r="A1201" s="152"/>
      <c r="B1201" s="132"/>
      <c r="C1201" s="132"/>
      <c r="D1201" s="277"/>
      <c r="E1201" s="132"/>
      <c r="F1201" s="170"/>
      <c r="G1201" s="150"/>
      <c r="H1201" s="152"/>
      <c r="I1201" s="204"/>
      <c r="J1201" s="285"/>
      <c r="K1201" s="251"/>
      <c r="L1201" s="133" t="str">
        <f>IF(AND(I1201&lt;&gt;"",ISERROR(IF(ISERROR(VLOOKUP(I1201*1,Summary!$C$8:$C$153,1,0)),VLOOKUP(I1201,Summary!$C$8:$C$153,1,0),VLOOKUP(I1201*1,Summary!$C$8:$C$153,1,0)))),"Add account Number to Summary","")</f>
        <v/>
      </c>
      <c r="M1201" s="131" t="str">
        <f t="shared" si="19"/>
        <v/>
      </c>
      <c r="N1201" s="287">
        <f>IF(C1201="Sale",SUMIFS($D$4:D1201,$B$4:B1201,B1201,$C$4:C1201,"")+SUMIFS($D$4:D1201,$B$4:B1201,B1201,$C$4:C1201,"Purch")-SUMIFS($D$4:D1201,$B$4:B1201,B1201,$C$4:C1201,"Sale"),0)</f>
        <v>0</v>
      </c>
    </row>
    <row r="1202" spans="1:14" x14ac:dyDescent="0.2">
      <c r="A1202" s="152"/>
      <c r="B1202" s="132"/>
      <c r="C1202" s="132"/>
      <c r="D1202" s="277"/>
      <c r="E1202" s="132"/>
      <c r="F1202" s="170"/>
      <c r="G1202" s="150"/>
      <c r="H1202" s="152"/>
      <c r="I1202" s="204"/>
      <c r="J1202" s="285"/>
      <c r="K1202" s="251"/>
      <c r="L1202" s="133" t="str">
        <f>IF(AND(I1202&lt;&gt;"",ISERROR(IF(ISERROR(VLOOKUP(I1202*1,Summary!$C$8:$C$153,1,0)),VLOOKUP(I1202,Summary!$C$8:$C$153,1,0),VLOOKUP(I1202*1,Summary!$C$8:$C$153,1,0)))),"Add account Number to Summary","")</f>
        <v/>
      </c>
      <c r="M1202" s="131" t="str">
        <f t="shared" si="19"/>
        <v/>
      </c>
      <c r="N1202" s="287">
        <f>IF(C1202="Sale",SUMIFS($D$4:D1202,$B$4:B1202,B1202,$C$4:C1202,"")+SUMIFS($D$4:D1202,$B$4:B1202,B1202,$C$4:C1202,"Purch")-SUMIFS($D$4:D1202,$B$4:B1202,B1202,$C$4:C1202,"Sale"),0)</f>
        <v>0</v>
      </c>
    </row>
    <row r="1203" spans="1:14" x14ac:dyDescent="0.2">
      <c r="A1203" s="152"/>
      <c r="B1203" s="132"/>
      <c r="C1203" s="132"/>
      <c r="D1203" s="277"/>
      <c r="E1203" s="132"/>
      <c r="F1203" s="170"/>
      <c r="G1203" s="150"/>
      <c r="H1203" s="152"/>
      <c r="I1203" s="204"/>
      <c r="J1203" s="285"/>
      <c r="K1203" s="251"/>
      <c r="L1203" s="133" t="str">
        <f>IF(AND(I1203&lt;&gt;"",ISERROR(IF(ISERROR(VLOOKUP(I1203*1,Summary!$C$8:$C$153,1,0)),VLOOKUP(I1203,Summary!$C$8:$C$153,1,0),VLOOKUP(I1203*1,Summary!$C$8:$C$153,1,0)))),"Add account Number to Summary","")</f>
        <v/>
      </c>
      <c r="M1203" s="131" t="str">
        <f t="shared" si="19"/>
        <v/>
      </c>
      <c r="N1203" s="287">
        <f>IF(C1203="Sale",SUMIFS($D$4:D1203,$B$4:B1203,B1203,$C$4:C1203,"")+SUMIFS($D$4:D1203,$B$4:B1203,B1203,$C$4:C1203,"Purch")-SUMIFS($D$4:D1203,$B$4:B1203,B1203,$C$4:C1203,"Sale"),0)</f>
        <v>0</v>
      </c>
    </row>
    <row r="1204" spans="1:14" x14ac:dyDescent="0.2">
      <c r="A1204" s="152"/>
      <c r="B1204" s="132"/>
      <c r="C1204" s="132"/>
      <c r="D1204" s="277"/>
      <c r="E1204" s="132"/>
      <c r="F1204" s="170"/>
      <c r="G1204" s="150"/>
      <c r="H1204" s="152"/>
      <c r="I1204" s="204"/>
      <c r="J1204" s="285"/>
      <c r="K1204" s="251"/>
      <c r="L1204" s="133" t="str">
        <f>IF(AND(I1204&lt;&gt;"",ISERROR(IF(ISERROR(VLOOKUP(I1204*1,Summary!$C$8:$C$153,1,0)),VLOOKUP(I1204,Summary!$C$8:$C$153,1,0),VLOOKUP(I1204*1,Summary!$C$8:$C$153,1,0)))),"Add account Number to Summary","")</f>
        <v/>
      </c>
      <c r="M1204" s="131" t="str">
        <f t="shared" si="19"/>
        <v/>
      </c>
      <c r="N1204" s="287">
        <f>IF(C1204="Sale",SUMIFS($D$4:D1204,$B$4:B1204,B1204,$C$4:C1204,"")+SUMIFS($D$4:D1204,$B$4:B1204,B1204,$C$4:C1204,"Purch")-SUMIFS($D$4:D1204,$B$4:B1204,B1204,$C$4:C1204,"Sale"),0)</f>
        <v>0</v>
      </c>
    </row>
    <row r="1205" spans="1:14" x14ac:dyDescent="0.2">
      <c r="A1205" s="152"/>
      <c r="B1205" s="132"/>
      <c r="C1205" s="132"/>
      <c r="D1205" s="277"/>
      <c r="E1205" s="132"/>
      <c r="F1205" s="170"/>
      <c r="G1205" s="150"/>
      <c r="H1205" s="152"/>
      <c r="I1205" s="204"/>
      <c r="J1205" s="285"/>
      <c r="K1205" s="251"/>
      <c r="L1205" s="133" t="str">
        <f>IF(AND(I1205&lt;&gt;"",ISERROR(IF(ISERROR(VLOOKUP(I1205*1,Summary!$C$8:$C$153,1,0)),VLOOKUP(I1205,Summary!$C$8:$C$153,1,0),VLOOKUP(I1205*1,Summary!$C$8:$C$153,1,0)))),"Add account Number to Summary","")</f>
        <v/>
      </c>
      <c r="M1205" s="131" t="str">
        <f t="shared" si="19"/>
        <v/>
      </c>
      <c r="N1205" s="287">
        <f>IF(C1205="Sale",SUMIFS($D$4:D1205,$B$4:B1205,B1205,$C$4:C1205,"")+SUMIFS($D$4:D1205,$B$4:B1205,B1205,$C$4:C1205,"Purch")-SUMIFS($D$4:D1205,$B$4:B1205,B1205,$C$4:C1205,"Sale"),0)</f>
        <v>0</v>
      </c>
    </row>
    <row r="1206" spans="1:14" x14ac:dyDescent="0.2">
      <c r="A1206" s="152"/>
      <c r="B1206" s="132"/>
      <c r="C1206" s="132"/>
      <c r="D1206" s="277"/>
      <c r="E1206" s="132"/>
      <c r="F1206" s="170"/>
      <c r="G1206" s="150"/>
      <c r="H1206" s="152"/>
      <c r="I1206" s="204"/>
      <c r="J1206" s="285"/>
      <c r="K1206" s="251"/>
      <c r="L1206" s="133" t="str">
        <f>IF(AND(I1206&lt;&gt;"",ISERROR(IF(ISERROR(VLOOKUP(I1206*1,Summary!$C$8:$C$153,1,0)),VLOOKUP(I1206,Summary!$C$8:$C$153,1,0),VLOOKUP(I1206*1,Summary!$C$8:$C$153,1,0)))),"Add account Number to Summary","")</f>
        <v/>
      </c>
      <c r="M1206" s="131" t="str">
        <f t="shared" si="19"/>
        <v/>
      </c>
      <c r="N1206" s="287">
        <f>IF(C1206="Sale",SUMIFS($D$4:D1206,$B$4:B1206,B1206,$C$4:C1206,"")+SUMIFS($D$4:D1206,$B$4:B1206,B1206,$C$4:C1206,"Purch")-SUMIFS($D$4:D1206,$B$4:B1206,B1206,$C$4:C1206,"Sale"),0)</f>
        <v>0</v>
      </c>
    </row>
    <row r="1207" spans="1:14" x14ac:dyDescent="0.2">
      <c r="A1207" s="152"/>
      <c r="B1207" s="132"/>
      <c r="C1207" s="132"/>
      <c r="D1207" s="277"/>
      <c r="E1207" s="132"/>
      <c r="F1207" s="170"/>
      <c r="G1207" s="150"/>
      <c r="H1207" s="152"/>
      <c r="I1207" s="204"/>
      <c r="J1207" s="285"/>
      <c r="K1207" s="251"/>
      <c r="L1207" s="133" t="str">
        <f>IF(AND(I1207&lt;&gt;"",ISERROR(IF(ISERROR(VLOOKUP(I1207*1,Summary!$C$8:$C$153,1,0)),VLOOKUP(I1207,Summary!$C$8:$C$153,1,0),VLOOKUP(I1207*1,Summary!$C$8:$C$153,1,0)))),"Add account Number to Summary","")</f>
        <v/>
      </c>
      <c r="M1207" s="131" t="str">
        <f t="shared" si="19"/>
        <v/>
      </c>
      <c r="N1207" s="287">
        <f>IF(C1207="Sale",SUMIFS($D$4:D1207,$B$4:B1207,B1207,$C$4:C1207,"")+SUMIFS($D$4:D1207,$B$4:B1207,B1207,$C$4:C1207,"Purch")-SUMIFS($D$4:D1207,$B$4:B1207,B1207,$C$4:C1207,"Sale"),0)</f>
        <v>0</v>
      </c>
    </row>
    <row r="1208" spans="1:14" x14ac:dyDescent="0.2">
      <c r="A1208" s="152"/>
      <c r="B1208" s="132"/>
      <c r="C1208" s="132"/>
      <c r="D1208" s="277"/>
      <c r="E1208" s="132"/>
      <c r="F1208" s="170"/>
      <c r="G1208" s="150"/>
      <c r="H1208" s="152"/>
      <c r="I1208" s="204"/>
      <c r="J1208" s="285"/>
      <c r="K1208" s="251"/>
      <c r="L1208" s="133" t="str">
        <f>IF(AND(I1208&lt;&gt;"",ISERROR(IF(ISERROR(VLOOKUP(I1208*1,Summary!$C$8:$C$153,1,0)),VLOOKUP(I1208,Summary!$C$8:$C$153,1,0),VLOOKUP(I1208*1,Summary!$C$8:$C$153,1,0)))),"Add account Number to Summary","")</f>
        <v/>
      </c>
      <c r="M1208" s="131" t="str">
        <f t="shared" si="19"/>
        <v/>
      </c>
      <c r="N1208" s="287">
        <f>IF(C1208="Sale",SUMIFS($D$4:D1208,$B$4:B1208,B1208,$C$4:C1208,"")+SUMIFS($D$4:D1208,$B$4:B1208,B1208,$C$4:C1208,"Purch")-SUMIFS($D$4:D1208,$B$4:B1208,B1208,$C$4:C1208,"Sale"),0)</f>
        <v>0</v>
      </c>
    </row>
    <row r="1209" spans="1:14" x14ac:dyDescent="0.2">
      <c r="A1209" s="152"/>
      <c r="B1209" s="132"/>
      <c r="C1209" s="132"/>
      <c r="D1209" s="277"/>
      <c r="E1209" s="132"/>
      <c r="F1209" s="170"/>
      <c r="G1209" s="150"/>
      <c r="H1209" s="152"/>
      <c r="I1209" s="204"/>
      <c r="J1209" s="285"/>
      <c r="K1209" s="251"/>
      <c r="L1209" s="133" t="str">
        <f>IF(AND(I1209&lt;&gt;"",ISERROR(IF(ISERROR(VLOOKUP(I1209*1,Summary!$C$8:$C$153,1,0)),VLOOKUP(I1209,Summary!$C$8:$C$153,1,0),VLOOKUP(I1209*1,Summary!$C$8:$C$153,1,0)))),"Add account Number to Summary","")</f>
        <v/>
      </c>
      <c r="M1209" s="131" t="str">
        <f t="shared" si="19"/>
        <v/>
      </c>
      <c r="N1209" s="287">
        <f>IF(C1209="Sale",SUMIFS($D$4:D1209,$B$4:B1209,B1209,$C$4:C1209,"")+SUMIFS($D$4:D1209,$B$4:B1209,B1209,$C$4:C1209,"Purch")-SUMIFS($D$4:D1209,$B$4:B1209,B1209,$C$4:C1209,"Sale"),0)</f>
        <v>0</v>
      </c>
    </row>
    <row r="1210" spans="1:14" x14ac:dyDescent="0.2">
      <c r="A1210" s="152"/>
      <c r="B1210" s="132"/>
      <c r="C1210" s="132"/>
      <c r="D1210" s="277"/>
      <c r="E1210" s="132"/>
      <c r="F1210" s="170"/>
      <c r="G1210" s="150"/>
      <c r="H1210" s="152"/>
      <c r="I1210" s="204"/>
      <c r="J1210" s="285"/>
      <c r="K1210" s="251"/>
      <c r="L1210" s="133" t="str">
        <f>IF(AND(I1210&lt;&gt;"",ISERROR(IF(ISERROR(VLOOKUP(I1210*1,Summary!$C$8:$C$153,1,0)),VLOOKUP(I1210,Summary!$C$8:$C$153,1,0),VLOOKUP(I1210*1,Summary!$C$8:$C$153,1,0)))),"Add account Number to Summary","")</f>
        <v/>
      </c>
      <c r="M1210" s="131" t="str">
        <f t="shared" si="19"/>
        <v/>
      </c>
      <c r="N1210" s="287">
        <f>IF(C1210="Sale",SUMIFS($D$4:D1210,$B$4:B1210,B1210,$C$4:C1210,"")+SUMIFS($D$4:D1210,$B$4:B1210,B1210,$C$4:C1210,"Purch")-SUMIFS($D$4:D1210,$B$4:B1210,B1210,$C$4:C1210,"Sale"),0)</f>
        <v>0</v>
      </c>
    </row>
    <row r="1211" spans="1:14" x14ac:dyDescent="0.2">
      <c r="A1211" s="152"/>
      <c r="B1211" s="132"/>
      <c r="C1211" s="132"/>
      <c r="D1211" s="277"/>
      <c r="E1211" s="132"/>
      <c r="F1211" s="170"/>
      <c r="G1211" s="150"/>
      <c r="H1211" s="152"/>
      <c r="I1211" s="204"/>
      <c r="J1211" s="285"/>
      <c r="K1211" s="251"/>
      <c r="L1211" s="133" t="str">
        <f>IF(AND(I1211&lt;&gt;"",ISERROR(IF(ISERROR(VLOOKUP(I1211*1,Summary!$C$8:$C$153,1,0)),VLOOKUP(I1211,Summary!$C$8:$C$153,1,0),VLOOKUP(I1211*1,Summary!$C$8:$C$153,1,0)))),"Add account Number to Summary","")</f>
        <v/>
      </c>
      <c r="M1211" s="131" t="str">
        <f t="shared" si="19"/>
        <v/>
      </c>
      <c r="N1211" s="287">
        <f>IF(C1211="Sale",SUMIFS($D$4:D1211,$B$4:B1211,B1211,$C$4:C1211,"")+SUMIFS($D$4:D1211,$B$4:B1211,B1211,$C$4:C1211,"Purch")-SUMIFS($D$4:D1211,$B$4:B1211,B1211,$C$4:C1211,"Sale"),0)</f>
        <v>0</v>
      </c>
    </row>
    <row r="1212" spans="1:14" x14ac:dyDescent="0.2">
      <c r="A1212" s="152"/>
      <c r="B1212" s="132"/>
      <c r="C1212" s="132"/>
      <c r="D1212" s="277"/>
      <c r="E1212" s="132"/>
      <c r="F1212" s="170"/>
      <c r="G1212" s="150"/>
      <c r="H1212" s="152"/>
      <c r="I1212" s="204"/>
      <c r="J1212" s="285"/>
      <c r="K1212" s="251"/>
      <c r="L1212" s="133" t="str">
        <f>IF(AND(I1212&lt;&gt;"",ISERROR(IF(ISERROR(VLOOKUP(I1212*1,Summary!$C$8:$C$153,1,0)),VLOOKUP(I1212,Summary!$C$8:$C$153,1,0),VLOOKUP(I1212*1,Summary!$C$8:$C$153,1,0)))),"Add account Number to Summary","")</f>
        <v/>
      </c>
      <c r="M1212" s="131" t="str">
        <f t="shared" si="19"/>
        <v/>
      </c>
      <c r="N1212" s="287">
        <f>IF(C1212="Sale",SUMIFS($D$4:D1212,$B$4:B1212,B1212,$C$4:C1212,"")+SUMIFS($D$4:D1212,$B$4:B1212,B1212,$C$4:C1212,"Purch")-SUMIFS($D$4:D1212,$B$4:B1212,B1212,$C$4:C1212,"Sale"),0)</f>
        <v>0</v>
      </c>
    </row>
    <row r="1213" spans="1:14" x14ac:dyDescent="0.2">
      <c r="A1213" s="152"/>
      <c r="B1213" s="132"/>
      <c r="C1213" s="132"/>
      <c r="D1213" s="277"/>
      <c r="E1213" s="132"/>
      <c r="F1213" s="170"/>
      <c r="G1213" s="150"/>
      <c r="H1213" s="152"/>
      <c r="I1213" s="204"/>
      <c r="J1213" s="285"/>
      <c r="K1213" s="251"/>
      <c r="L1213" s="133" t="str">
        <f>IF(AND(I1213&lt;&gt;"",ISERROR(IF(ISERROR(VLOOKUP(I1213*1,Summary!$C$8:$C$153,1,0)),VLOOKUP(I1213,Summary!$C$8:$C$153,1,0),VLOOKUP(I1213*1,Summary!$C$8:$C$153,1,0)))),"Add account Number to Summary","")</f>
        <v/>
      </c>
      <c r="M1213" s="131" t="str">
        <f t="shared" si="19"/>
        <v/>
      </c>
      <c r="N1213" s="287">
        <f>IF(C1213="Sale",SUMIFS($D$4:D1213,$B$4:B1213,B1213,$C$4:C1213,"")+SUMIFS($D$4:D1213,$B$4:B1213,B1213,$C$4:C1213,"Purch")-SUMIFS($D$4:D1213,$B$4:B1213,B1213,$C$4:C1213,"Sale"),0)</f>
        <v>0</v>
      </c>
    </row>
    <row r="1214" spans="1:14" x14ac:dyDescent="0.2">
      <c r="A1214" s="152"/>
      <c r="B1214" s="132"/>
      <c r="C1214" s="132"/>
      <c r="D1214" s="277"/>
      <c r="E1214" s="132"/>
      <c r="F1214" s="170"/>
      <c r="G1214" s="150"/>
      <c r="H1214" s="152"/>
      <c r="I1214" s="204"/>
      <c r="J1214" s="285"/>
      <c r="K1214" s="251"/>
      <c r="L1214" s="133" t="str">
        <f>IF(AND(I1214&lt;&gt;"",ISERROR(IF(ISERROR(VLOOKUP(I1214*1,Summary!$C$8:$C$153,1,0)),VLOOKUP(I1214,Summary!$C$8:$C$153,1,0),VLOOKUP(I1214*1,Summary!$C$8:$C$153,1,0)))),"Add account Number to Summary","")</f>
        <v/>
      </c>
      <c r="M1214" s="131" t="str">
        <f t="shared" si="19"/>
        <v/>
      </c>
      <c r="N1214" s="287">
        <f>IF(C1214="Sale",SUMIFS($D$4:D1214,$B$4:B1214,B1214,$C$4:C1214,"")+SUMIFS($D$4:D1214,$B$4:B1214,B1214,$C$4:C1214,"Purch")-SUMIFS($D$4:D1214,$B$4:B1214,B1214,$C$4:C1214,"Sale"),0)</f>
        <v>0</v>
      </c>
    </row>
    <row r="1215" spans="1:14" x14ac:dyDescent="0.2">
      <c r="A1215" s="152"/>
      <c r="B1215" s="132"/>
      <c r="C1215" s="132"/>
      <c r="D1215" s="277"/>
      <c r="E1215" s="132"/>
      <c r="F1215" s="170"/>
      <c r="G1215" s="150"/>
      <c r="H1215" s="152"/>
      <c r="I1215" s="204"/>
      <c r="J1215" s="285"/>
      <c r="K1215" s="251"/>
      <c r="L1215" s="133" t="str">
        <f>IF(AND(I1215&lt;&gt;"",ISERROR(IF(ISERROR(VLOOKUP(I1215*1,Summary!$C$8:$C$153,1,0)),VLOOKUP(I1215,Summary!$C$8:$C$153,1,0),VLOOKUP(I1215*1,Summary!$C$8:$C$153,1,0)))),"Add account Number to Summary","")</f>
        <v/>
      </c>
      <c r="M1215" s="131" t="str">
        <f t="shared" si="19"/>
        <v/>
      </c>
      <c r="N1215" s="287">
        <f>IF(C1215="Sale",SUMIFS($D$4:D1215,$B$4:B1215,B1215,$C$4:C1215,"")+SUMIFS($D$4:D1215,$B$4:B1215,B1215,$C$4:C1215,"Purch")-SUMIFS($D$4:D1215,$B$4:B1215,B1215,$C$4:C1215,"Sale"),0)</f>
        <v>0</v>
      </c>
    </row>
    <row r="1216" spans="1:14" x14ac:dyDescent="0.2">
      <c r="A1216" s="152"/>
      <c r="B1216" s="132"/>
      <c r="C1216" s="132"/>
      <c r="D1216" s="277"/>
      <c r="E1216" s="132"/>
      <c r="F1216" s="170"/>
      <c r="G1216" s="150"/>
      <c r="H1216" s="152"/>
      <c r="I1216" s="204"/>
      <c r="J1216" s="285"/>
      <c r="K1216" s="251"/>
      <c r="L1216" s="133" t="str">
        <f>IF(AND(I1216&lt;&gt;"",ISERROR(IF(ISERROR(VLOOKUP(I1216*1,Summary!$C$8:$C$153,1,0)),VLOOKUP(I1216,Summary!$C$8:$C$153,1,0),VLOOKUP(I1216*1,Summary!$C$8:$C$153,1,0)))),"Add account Number to Summary","")</f>
        <v/>
      </c>
      <c r="M1216" s="131" t="str">
        <f t="shared" si="19"/>
        <v/>
      </c>
      <c r="N1216" s="287">
        <f>IF(C1216="Sale",SUMIFS($D$4:D1216,$B$4:B1216,B1216,$C$4:C1216,"")+SUMIFS($D$4:D1216,$B$4:B1216,B1216,$C$4:C1216,"Purch")-SUMIFS($D$4:D1216,$B$4:B1216,B1216,$C$4:C1216,"Sale"),0)</f>
        <v>0</v>
      </c>
    </row>
    <row r="1217" spans="1:14" x14ac:dyDescent="0.2">
      <c r="A1217" s="152"/>
      <c r="B1217" s="132"/>
      <c r="C1217" s="132"/>
      <c r="D1217" s="277"/>
      <c r="E1217" s="132"/>
      <c r="F1217" s="170"/>
      <c r="G1217" s="150"/>
      <c r="H1217" s="152"/>
      <c r="I1217" s="204"/>
      <c r="J1217" s="285"/>
      <c r="K1217" s="251"/>
      <c r="L1217" s="133" t="str">
        <f>IF(AND(I1217&lt;&gt;"",ISERROR(IF(ISERROR(VLOOKUP(I1217*1,Summary!$C$8:$C$153,1,0)),VLOOKUP(I1217,Summary!$C$8:$C$153,1,0),VLOOKUP(I1217*1,Summary!$C$8:$C$153,1,0)))),"Add account Number to Summary","")</f>
        <v/>
      </c>
      <c r="M1217" s="131" t="str">
        <f t="shared" si="19"/>
        <v/>
      </c>
      <c r="N1217" s="287">
        <f>IF(C1217="Sale",SUMIFS($D$4:D1217,$B$4:B1217,B1217,$C$4:C1217,"")+SUMIFS($D$4:D1217,$B$4:B1217,B1217,$C$4:C1217,"Purch")-SUMIFS($D$4:D1217,$B$4:B1217,B1217,$C$4:C1217,"Sale"),0)</f>
        <v>0</v>
      </c>
    </row>
    <row r="1218" spans="1:14" x14ac:dyDescent="0.2">
      <c r="A1218" s="152"/>
      <c r="B1218" s="132"/>
      <c r="C1218" s="132"/>
      <c r="D1218" s="277"/>
      <c r="E1218" s="132"/>
      <c r="F1218" s="170"/>
      <c r="G1218" s="150"/>
      <c r="H1218" s="152"/>
      <c r="I1218" s="204"/>
      <c r="J1218" s="285"/>
      <c r="K1218" s="251"/>
      <c r="L1218" s="133" t="str">
        <f>IF(AND(I1218&lt;&gt;"",ISERROR(IF(ISERROR(VLOOKUP(I1218*1,Summary!$C$8:$C$153,1,0)),VLOOKUP(I1218,Summary!$C$8:$C$153,1,0),VLOOKUP(I1218*1,Summary!$C$8:$C$153,1,0)))),"Add account Number to Summary","")</f>
        <v/>
      </c>
      <c r="M1218" s="131" t="str">
        <f t="shared" si="19"/>
        <v/>
      </c>
      <c r="N1218" s="287">
        <f>IF(C1218="Sale",SUMIFS($D$4:D1218,$B$4:B1218,B1218,$C$4:C1218,"")+SUMIFS($D$4:D1218,$B$4:B1218,B1218,$C$4:C1218,"Purch")-SUMIFS($D$4:D1218,$B$4:B1218,B1218,$C$4:C1218,"Sale"),0)</f>
        <v>0</v>
      </c>
    </row>
    <row r="1219" spans="1:14" x14ac:dyDescent="0.2">
      <c r="A1219" s="152"/>
      <c r="B1219" s="132"/>
      <c r="C1219" s="132"/>
      <c r="D1219" s="277"/>
      <c r="E1219" s="132"/>
      <c r="F1219" s="170"/>
      <c r="G1219" s="150"/>
      <c r="H1219" s="152"/>
      <c r="I1219" s="204"/>
      <c r="J1219" s="285"/>
      <c r="K1219" s="251"/>
      <c r="L1219" s="133" t="str">
        <f>IF(AND(I1219&lt;&gt;"",ISERROR(IF(ISERROR(VLOOKUP(I1219*1,Summary!$C$8:$C$153,1,0)),VLOOKUP(I1219,Summary!$C$8:$C$153,1,0),VLOOKUP(I1219*1,Summary!$C$8:$C$153,1,0)))),"Add account Number to Summary","")</f>
        <v/>
      </c>
      <c r="M1219" s="131" t="str">
        <f t="shared" si="19"/>
        <v/>
      </c>
      <c r="N1219" s="287">
        <f>IF(C1219="Sale",SUMIFS($D$4:D1219,$B$4:B1219,B1219,$C$4:C1219,"")+SUMIFS($D$4:D1219,$B$4:B1219,B1219,$C$4:C1219,"Purch")-SUMIFS($D$4:D1219,$B$4:B1219,B1219,$C$4:C1219,"Sale"),0)</f>
        <v>0</v>
      </c>
    </row>
    <row r="1220" spans="1:14" x14ac:dyDescent="0.2">
      <c r="A1220" s="152"/>
      <c r="B1220" s="132"/>
      <c r="C1220" s="132"/>
      <c r="D1220" s="277"/>
      <c r="E1220" s="132"/>
      <c r="F1220" s="170"/>
      <c r="G1220" s="150"/>
      <c r="H1220" s="152"/>
      <c r="I1220" s="204"/>
      <c r="J1220" s="285"/>
      <c r="K1220" s="251"/>
      <c r="L1220" s="133" t="str">
        <f>IF(AND(I1220&lt;&gt;"",ISERROR(IF(ISERROR(VLOOKUP(I1220*1,Summary!$C$8:$C$153,1,0)),VLOOKUP(I1220,Summary!$C$8:$C$153,1,0),VLOOKUP(I1220*1,Summary!$C$8:$C$153,1,0)))),"Add account Number to Summary","")</f>
        <v/>
      </c>
      <c r="M1220" s="131" t="str">
        <f t="shared" si="19"/>
        <v/>
      </c>
      <c r="N1220" s="287">
        <f>IF(C1220="Sale",SUMIFS($D$4:D1220,$B$4:B1220,B1220,$C$4:C1220,"")+SUMIFS($D$4:D1220,$B$4:B1220,B1220,$C$4:C1220,"Purch")-SUMIFS($D$4:D1220,$B$4:B1220,B1220,$C$4:C1220,"Sale"),0)</f>
        <v>0</v>
      </c>
    </row>
    <row r="1221" spans="1:14" x14ac:dyDescent="0.2">
      <c r="A1221" s="152"/>
      <c r="B1221" s="132"/>
      <c r="C1221" s="132"/>
      <c r="D1221" s="277"/>
      <c r="E1221" s="132"/>
      <c r="F1221" s="170"/>
      <c r="G1221" s="150"/>
      <c r="H1221" s="152"/>
      <c r="I1221" s="204"/>
      <c r="J1221" s="285"/>
      <c r="K1221" s="251"/>
      <c r="L1221" s="133" t="str">
        <f>IF(AND(I1221&lt;&gt;"",ISERROR(IF(ISERROR(VLOOKUP(I1221*1,Summary!$C$8:$C$153,1,0)),VLOOKUP(I1221,Summary!$C$8:$C$153,1,0),VLOOKUP(I1221*1,Summary!$C$8:$C$153,1,0)))),"Add account Number to Summary","")</f>
        <v/>
      </c>
      <c r="M1221" s="131" t="str">
        <f t="shared" si="19"/>
        <v/>
      </c>
      <c r="N1221" s="287">
        <f>IF(C1221="Sale",SUMIFS($D$4:D1221,$B$4:B1221,B1221,$C$4:C1221,"")+SUMIFS($D$4:D1221,$B$4:B1221,B1221,$C$4:C1221,"Purch")-SUMIFS($D$4:D1221,$B$4:B1221,B1221,$C$4:C1221,"Sale"),0)</f>
        <v>0</v>
      </c>
    </row>
    <row r="1222" spans="1:14" x14ac:dyDescent="0.2">
      <c r="A1222" s="152"/>
      <c r="B1222" s="132"/>
      <c r="C1222" s="132"/>
      <c r="D1222" s="277"/>
      <c r="E1222" s="132"/>
      <c r="F1222" s="170"/>
      <c r="G1222" s="150"/>
      <c r="H1222" s="152"/>
      <c r="I1222" s="204"/>
      <c r="J1222" s="285"/>
      <c r="K1222" s="251"/>
      <c r="L1222" s="133" t="str">
        <f>IF(AND(I1222&lt;&gt;"",ISERROR(IF(ISERROR(VLOOKUP(I1222*1,Summary!$C$8:$C$153,1,0)),VLOOKUP(I1222,Summary!$C$8:$C$153,1,0),VLOOKUP(I1222*1,Summary!$C$8:$C$153,1,0)))),"Add account Number to Summary","")</f>
        <v/>
      </c>
      <c r="M1222" s="131" t="str">
        <f t="shared" si="19"/>
        <v/>
      </c>
      <c r="N1222" s="287">
        <f>IF(C1222="Sale",SUMIFS($D$4:D1222,$B$4:B1222,B1222,$C$4:C1222,"")+SUMIFS($D$4:D1222,$B$4:B1222,B1222,$C$4:C1222,"Purch")-SUMIFS($D$4:D1222,$B$4:B1222,B1222,$C$4:C1222,"Sale"),0)</f>
        <v>0</v>
      </c>
    </row>
    <row r="1223" spans="1:14" x14ac:dyDescent="0.2">
      <c r="A1223" s="152"/>
      <c r="B1223" s="132"/>
      <c r="C1223" s="132"/>
      <c r="D1223" s="277"/>
      <c r="E1223" s="132"/>
      <c r="F1223" s="170"/>
      <c r="G1223" s="150"/>
      <c r="H1223" s="152"/>
      <c r="I1223" s="204"/>
      <c r="J1223" s="285"/>
      <c r="K1223" s="251"/>
      <c r="L1223" s="133" t="str">
        <f>IF(AND(I1223&lt;&gt;"",ISERROR(IF(ISERROR(VLOOKUP(I1223*1,Summary!$C$8:$C$153,1,0)),VLOOKUP(I1223,Summary!$C$8:$C$153,1,0),VLOOKUP(I1223*1,Summary!$C$8:$C$153,1,0)))),"Add account Number to Summary","")</f>
        <v/>
      </c>
      <c r="M1223" s="131" t="str">
        <f t="shared" si="19"/>
        <v/>
      </c>
      <c r="N1223" s="287">
        <f>IF(C1223="Sale",SUMIFS($D$4:D1223,$B$4:B1223,B1223,$C$4:C1223,"")+SUMIFS($D$4:D1223,$B$4:B1223,B1223,$C$4:C1223,"Purch")-SUMIFS($D$4:D1223,$B$4:B1223,B1223,$C$4:C1223,"Sale"),0)</f>
        <v>0</v>
      </c>
    </row>
    <row r="1224" spans="1:14" x14ac:dyDescent="0.2">
      <c r="A1224" s="152"/>
      <c r="B1224" s="132"/>
      <c r="C1224" s="132"/>
      <c r="D1224" s="277"/>
      <c r="E1224" s="132"/>
      <c r="F1224" s="170"/>
      <c r="G1224" s="150"/>
      <c r="H1224" s="152"/>
      <c r="I1224" s="204"/>
      <c r="J1224" s="285"/>
      <c r="K1224" s="251"/>
      <c r="L1224" s="133" t="str">
        <f>IF(AND(I1224&lt;&gt;"",ISERROR(IF(ISERROR(VLOOKUP(I1224*1,Summary!$C$8:$C$153,1,0)),VLOOKUP(I1224,Summary!$C$8:$C$153,1,0),VLOOKUP(I1224*1,Summary!$C$8:$C$153,1,0)))),"Add account Number to Summary","")</f>
        <v/>
      </c>
      <c r="M1224" s="131" t="str">
        <f t="shared" si="19"/>
        <v/>
      </c>
      <c r="N1224" s="287">
        <f>IF(C1224="Sale",SUMIFS($D$4:D1224,$B$4:B1224,B1224,$C$4:C1224,"")+SUMIFS($D$4:D1224,$B$4:B1224,B1224,$C$4:C1224,"Purch")-SUMIFS($D$4:D1224,$B$4:B1224,B1224,$C$4:C1224,"Sale"),0)</f>
        <v>0</v>
      </c>
    </row>
    <row r="1225" spans="1:14" x14ac:dyDescent="0.2">
      <c r="A1225" s="152"/>
      <c r="B1225" s="132"/>
      <c r="C1225" s="132"/>
      <c r="D1225" s="277"/>
      <c r="E1225" s="132"/>
      <c r="F1225" s="170"/>
      <c r="G1225" s="150"/>
      <c r="H1225" s="152"/>
      <c r="I1225" s="204"/>
      <c r="J1225" s="285"/>
      <c r="K1225" s="251"/>
      <c r="L1225" s="133" t="str">
        <f>IF(AND(I1225&lt;&gt;"",ISERROR(IF(ISERROR(VLOOKUP(I1225*1,Summary!$C$8:$C$153,1,0)),VLOOKUP(I1225,Summary!$C$8:$C$153,1,0),VLOOKUP(I1225*1,Summary!$C$8:$C$153,1,0)))),"Add account Number to Summary","")</f>
        <v/>
      </c>
      <c r="M1225" s="131" t="str">
        <f t="shared" si="19"/>
        <v/>
      </c>
      <c r="N1225" s="287">
        <f>IF(C1225="Sale",SUMIFS($D$4:D1225,$B$4:B1225,B1225,$C$4:C1225,"")+SUMIFS($D$4:D1225,$B$4:B1225,B1225,$C$4:C1225,"Purch")-SUMIFS($D$4:D1225,$B$4:B1225,B1225,$C$4:C1225,"Sale"),0)</f>
        <v>0</v>
      </c>
    </row>
    <row r="1226" spans="1:14" x14ac:dyDescent="0.2">
      <c r="A1226" s="152"/>
      <c r="B1226" s="132"/>
      <c r="C1226" s="132"/>
      <c r="D1226" s="277"/>
      <c r="E1226" s="132"/>
      <c r="F1226" s="170"/>
      <c r="G1226" s="150"/>
      <c r="H1226" s="152"/>
      <c r="I1226" s="204"/>
      <c r="J1226" s="285"/>
      <c r="K1226" s="251"/>
      <c r="L1226" s="133" t="str">
        <f>IF(AND(I1226&lt;&gt;"",ISERROR(IF(ISERROR(VLOOKUP(I1226*1,Summary!$C$8:$C$153,1,0)),VLOOKUP(I1226,Summary!$C$8:$C$153,1,0),VLOOKUP(I1226*1,Summary!$C$8:$C$153,1,0)))),"Add account Number to Summary","")</f>
        <v/>
      </c>
      <c r="M1226" s="131" t="str">
        <f t="shared" si="19"/>
        <v/>
      </c>
      <c r="N1226" s="287">
        <f>IF(C1226="Sale",SUMIFS($D$4:D1226,$B$4:B1226,B1226,$C$4:C1226,"")+SUMIFS($D$4:D1226,$B$4:B1226,B1226,$C$4:C1226,"Purch")-SUMIFS($D$4:D1226,$B$4:B1226,B1226,$C$4:C1226,"Sale"),0)</f>
        <v>0</v>
      </c>
    </row>
    <row r="1227" spans="1:14" x14ac:dyDescent="0.2">
      <c r="A1227" s="152"/>
      <c r="B1227" s="132"/>
      <c r="C1227" s="132"/>
      <c r="D1227" s="277"/>
      <c r="E1227" s="132"/>
      <c r="F1227" s="170"/>
      <c r="G1227" s="150"/>
      <c r="H1227" s="152"/>
      <c r="I1227" s="204"/>
      <c r="J1227" s="285"/>
      <c r="K1227" s="251"/>
      <c r="L1227" s="133" t="str">
        <f>IF(AND(I1227&lt;&gt;"",ISERROR(IF(ISERROR(VLOOKUP(I1227*1,Summary!$C$8:$C$153,1,0)),VLOOKUP(I1227,Summary!$C$8:$C$153,1,0),VLOOKUP(I1227*1,Summary!$C$8:$C$153,1,0)))),"Add account Number to Summary","")</f>
        <v/>
      </c>
      <c r="M1227" s="131" t="str">
        <f t="shared" si="19"/>
        <v/>
      </c>
      <c r="N1227" s="287">
        <f>IF(C1227="Sale",SUMIFS($D$4:D1227,$B$4:B1227,B1227,$C$4:C1227,"")+SUMIFS($D$4:D1227,$B$4:B1227,B1227,$C$4:C1227,"Purch")-SUMIFS($D$4:D1227,$B$4:B1227,B1227,$C$4:C1227,"Sale"),0)</f>
        <v>0</v>
      </c>
    </row>
    <row r="1228" spans="1:14" x14ac:dyDescent="0.2">
      <c r="A1228" s="152"/>
      <c r="B1228" s="132"/>
      <c r="C1228" s="132"/>
      <c r="D1228" s="277"/>
      <c r="E1228" s="132"/>
      <c r="F1228" s="170"/>
      <c r="G1228" s="150"/>
      <c r="H1228" s="152"/>
      <c r="I1228" s="204"/>
      <c r="J1228" s="285"/>
      <c r="K1228" s="251"/>
      <c r="L1228" s="133" t="str">
        <f>IF(AND(I1228&lt;&gt;"",ISERROR(IF(ISERROR(VLOOKUP(I1228*1,Summary!$C$8:$C$153,1,0)),VLOOKUP(I1228,Summary!$C$8:$C$153,1,0),VLOOKUP(I1228*1,Summary!$C$8:$C$153,1,0)))),"Add account Number to Summary","")</f>
        <v/>
      </c>
      <c r="M1228" s="131" t="str">
        <f t="shared" si="19"/>
        <v/>
      </c>
      <c r="N1228" s="287">
        <f>IF(C1228="Sale",SUMIFS($D$4:D1228,$B$4:B1228,B1228,$C$4:C1228,"")+SUMIFS($D$4:D1228,$B$4:B1228,B1228,$C$4:C1228,"Purch")-SUMIFS($D$4:D1228,$B$4:B1228,B1228,$C$4:C1228,"Sale"),0)</f>
        <v>0</v>
      </c>
    </row>
    <row r="1229" spans="1:14" x14ac:dyDescent="0.2">
      <c r="A1229" s="152"/>
      <c r="B1229" s="132"/>
      <c r="C1229" s="132"/>
      <c r="D1229" s="277"/>
      <c r="E1229" s="132"/>
      <c r="F1229" s="170"/>
      <c r="G1229" s="150"/>
      <c r="H1229" s="152"/>
      <c r="I1229" s="204"/>
      <c r="J1229" s="285"/>
      <c r="K1229" s="251"/>
      <c r="L1229" s="133" t="str">
        <f>IF(AND(I1229&lt;&gt;"",ISERROR(IF(ISERROR(VLOOKUP(I1229*1,Summary!$C$8:$C$153,1,0)),VLOOKUP(I1229,Summary!$C$8:$C$153,1,0),VLOOKUP(I1229*1,Summary!$C$8:$C$153,1,0)))),"Add account Number to Summary","")</f>
        <v/>
      </c>
      <c r="M1229" s="131" t="str">
        <f t="shared" si="19"/>
        <v/>
      </c>
      <c r="N1229" s="287">
        <f>IF(C1229="Sale",SUMIFS($D$4:D1229,$B$4:B1229,B1229,$C$4:C1229,"")+SUMIFS($D$4:D1229,$B$4:B1229,B1229,$C$4:C1229,"Purch")-SUMIFS($D$4:D1229,$B$4:B1229,B1229,$C$4:C1229,"Sale"),0)</f>
        <v>0</v>
      </c>
    </row>
    <row r="1230" spans="1:14" x14ac:dyDescent="0.2">
      <c r="A1230" s="152"/>
      <c r="B1230" s="132"/>
      <c r="C1230" s="132"/>
      <c r="D1230" s="277"/>
      <c r="E1230" s="132"/>
      <c r="F1230" s="170"/>
      <c r="G1230" s="150"/>
      <c r="H1230" s="152"/>
      <c r="I1230" s="204"/>
      <c r="J1230" s="285"/>
      <c r="K1230" s="251"/>
      <c r="L1230" s="133" t="str">
        <f>IF(AND(I1230&lt;&gt;"",ISERROR(IF(ISERROR(VLOOKUP(I1230*1,Summary!$C$8:$C$153,1,0)),VLOOKUP(I1230,Summary!$C$8:$C$153,1,0),VLOOKUP(I1230*1,Summary!$C$8:$C$153,1,0)))),"Add account Number to Summary","")</f>
        <v/>
      </c>
      <c r="M1230" s="131" t="str">
        <f t="shared" si="19"/>
        <v/>
      </c>
      <c r="N1230" s="287">
        <f>IF(C1230="Sale",SUMIFS($D$4:D1230,$B$4:B1230,B1230,$C$4:C1230,"")+SUMIFS($D$4:D1230,$B$4:B1230,B1230,$C$4:C1230,"Purch")-SUMIFS($D$4:D1230,$B$4:B1230,B1230,$C$4:C1230,"Sale"),0)</f>
        <v>0</v>
      </c>
    </row>
    <row r="1231" spans="1:14" x14ac:dyDescent="0.2">
      <c r="A1231" s="152"/>
      <c r="B1231" s="132"/>
      <c r="C1231" s="132"/>
      <c r="D1231" s="277"/>
      <c r="E1231" s="132"/>
      <c r="F1231" s="170"/>
      <c r="G1231" s="150"/>
      <c r="H1231" s="152"/>
      <c r="I1231" s="204"/>
      <c r="J1231" s="285"/>
      <c r="K1231" s="251"/>
      <c r="L1231" s="133" t="str">
        <f>IF(AND(I1231&lt;&gt;"",ISERROR(IF(ISERROR(VLOOKUP(I1231*1,Summary!$C$8:$C$153,1,0)),VLOOKUP(I1231,Summary!$C$8:$C$153,1,0),VLOOKUP(I1231*1,Summary!$C$8:$C$153,1,0)))),"Add account Number to Summary","")</f>
        <v/>
      </c>
      <c r="M1231" s="131" t="str">
        <f t="shared" si="19"/>
        <v/>
      </c>
      <c r="N1231" s="287">
        <f>IF(C1231="Sale",SUMIFS($D$4:D1231,$B$4:B1231,B1231,$C$4:C1231,"")+SUMIFS($D$4:D1231,$B$4:B1231,B1231,$C$4:C1231,"Purch")-SUMIFS($D$4:D1231,$B$4:B1231,B1231,$C$4:C1231,"Sale"),0)</f>
        <v>0</v>
      </c>
    </row>
    <row r="1232" spans="1:14" x14ac:dyDescent="0.2">
      <c r="A1232" s="152"/>
      <c r="B1232" s="132"/>
      <c r="C1232" s="132"/>
      <c r="D1232" s="277"/>
      <c r="E1232" s="132"/>
      <c r="F1232" s="170"/>
      <c r="G1232" s="150"/>
      <c r="H1232" s="152"/>
      <c r="I1232" s="204"/>
      <c r="J1232" s="285"/>
      <c r="K1232" s="251"/>
      <c r="L1232" s="133" t="str">
        <f>IF(AND(I1232&lt;&gt;"",ISERROR(IF(ISERROR(VLOOKUP(I1232*1,Summary!$C$8:$C$153,1,0)),VLOOKUP(I1232,Summary!$C$8:$C$153,1,0),VLOOKUP(I1232*1,Summary!$C$8:$C$153,1,0)))),"Add account Number to Summary","")</f>
        <v/>
      </c>
      <c r="M1232" s="131" t="str">
        <f t="shared" si="19"/>
        <v/>
      </c>
      <c r="N1232" s="287">
        <f>IF(C1232="Sale",SUMIFS($D$4:D1232,$B$4:B1232,B1232,$C$4:C1232,"")+SUMIFS($D$4:D1232,$B$4:B1232,B1232,$C$4:C1232,"Purch")-SUMIFS($D$4:D1232,$B$4:B1232,B1232,$C$4:C1232,"Sale"),0)</f>
        <v>0</v>
      </c>
    </row>
    <row r="1233" spans="1:14" x14ac:dyDescent="0.2">
      <c r="A1233" s="152"/>
      <c r="B1233" s="132"/>
      <c r="C1233" s="132"/>
      <c r="D1233" s="277"/>
      <c r="E1233" s="132"/>
      <c r="F1233" s="170"/>
      <c r="G1233" s="150"/>
      <c r="H1233" s="152"/>
      <c r="I1233" s="204"/>
      <c r="J1233" s="285"/>
      <c r="K1233" s="251"/>
      <c r="L1233" s="133" t="str">
        <f>IF(AND(I1233&lt;&gt;"",ISERROR(IF(ISERROR(VLOOKUP(I1233*1,Summary!$C$8:$C$153,1,0)),VLOOKUP(I1233,Summary!$C$8:$C$153,1,0),VLOOKUP(I1233*1,Summary!$C$8:$C$153,1,0)))),"Add account Number to Summary","")</f>
        <v/>
      </c>
      <c r="M1233" s="131" t="str">
        <f t="shared" si="19"/>
        <v/>
      </c>
      <c r="N1233" s="287">
        <f>IF(C1233="Sale",SUMIFS($D$4:D1233,$B$4:B1233,B1233,$C$4:C1233,"")+SUMIFS($D$4:D1233,$B$4:B1233,B1233,$C$4:C1233,"Purch")-SUMIFS($D$4:D1233,$B$4:B1233,B1233,$C$4:C1233,"Sale"),0)</f>
        <v>0</v>
      </c>
    </row>
    <row r="1234" spans="1:14" x14ac:dyDescent="0.2">
      <c r="A1234" s="152"/>
      <c r="B1234" s="132"/>
      <c r="C1234" s="132"/>
      <c r="D1234" s="277"/>
      <c r="E1234" s="132"/>
      <c r="F1234" s="170"/>
      <c r="G1234" s="150"/>
      <c r="H1234" s="152"/>
      <c r="I1234" s="204"/>
      <c r="J1234" s="285"/>
      <c r="K1234" s="251"/>
      <c r="L1234" s="133" t="str">
        <f>IF(AND(I1234&lt;&gt;"",ISERROR(IF(ISERROR(VLOOKUP(I1234*1,Summary!$C$8:$C$153,1,0)),VLOOKUP(I1234,Summary!$C$8:$C$153,1,0),VLOOKUP(I1234*1,Summary!$C$8:$C$153,1,0)))),"Add account Number to Summary","")</f>
        <v/>
      </c>
      <c r="M1234" s="131" t="str">
        <f t="shared" si="19"/>
        <v/>
      </c>
      <c r="N1234" s="287">
        <f>IF(C1234="Sale",SUMIFS($D$4:D1234,$B$4:B1234,B1234,$C$4:C1234,"")+SUMIFS($D$4:D1234,$B$4:B1234,B1234,$C$4:C1234,"Purch")-SUMIFS($D$4:D1234,$B$4:B1234,B1234,$C$4:C1234,"Sale"),0)</f>
        <v>0</v>
      </c>
    </row>
    <row r="1235" spans="1:14" x14ac:dyDescent="0.2">
      <c r="A1235" s="152"/>
      <c r="B1235" s="132"/>
      <c r="C1235" s="132"/>
      <c r="D1235" s="277"/>
      <c r="E1235" s="132"/>
      <c r="F1235" s="170"/>
      <c r="G1235" s="150"/>
      <c r="H1235" s="152"/>
      <c r="I1235" s="204"/>
      <c r="J1235" s="285"/>
      <c r="K1235" s="251"/>
      <c r="L1235" s="133" t="str">
        <f>IF(AND(I1235&lt;&gt;"",ISERROR(IF(ISERROR(VLOOKUP(I1235*1,Summary!$C$8:$C$153,1,0)),VLOOKUP(I1235,Summary!$C$8:$C$153,1,0),VLOOKUP(I1235*1,Summary!$C$8:$C$153,1,0)))),"Add account Number to Summary","")</f>
        <v/>
      </c>
      <c r="M1235" s="131" t="str">
        <f t="shared" si="19"/>
        <v/>
      </c>
      <c r="N1235" s="287">
        <f>IF(C1235="Sale",SUMIFS($D$4:D1235,$B$4:B1235,B1235,$C$4:C1235,"")+SUMIFS($D$4:D1235,$B$4:B1235,B1235,$C$4:C1235,"Purch")-SUMIFS($D$4:D1235,$B$4:B1235,B1235,$C$4:C1235,"Sale"),0)</f>
        <v>0</v>
      </c>
    </row>
    <row r="1236" spans="1:14" x14ac:dyDescent="0.2">
      <c r="A1236" s="152"/>
      <c r="B1236" s="132"/>
      <c r="C1236" s="132"/>
      <c r="D1236" s="277"/>
      <c r="E1236" s="132"/>
      <c r="F1236" s="170"/>
      <c r="G1236" s="150"/>
      <c r="H1236" s="152"/>
      <c r="I1236" s="204"/>
      <c r="J1236" s="285"/>
      <c r="K1236" s="251"/>
      <c r="L1236" s="133" t="str">
        <f>IF(AND(I1236&lt;&gt;"",ISERROR(IF(ISERROR(VLOOKUP(I1236*1,Summary!$C$8:$C$153,1,0)),VLOOKUP(I1236,Summary!$C$8:$C$153,1,0),VLOOKUP(I1236*1,Summary!$C$8:$C$153,1,0)))),"Add account Number to Summary","")</f>
        <v/>
      </c>
      <c r="M1236" s="131" t="str">
        <f t="shared" si="19"/>
        <v/>
      </c>
      <c r="N1236" s="287">
        <f>IF(C1236="Sale",SUMIFS($D$4:D1236,$B$4:B1236,B1236,$C$4:C1236,"")+SUMIFS($D$4:D1236,$B$4:B1236,B1236,$C$4:C1236,"Purch")-SUMIFS($D$4:D1236,$B$4:B1236,B1236,$C$4:C1236,"Sale"),0)</f>
        <v>0</v>
      </c>
    </row>
    <row r="1237" spans="1:14" x14ac:dyDescent="0.2">
      <c r="A1237" s="152"/>
      <c r="B1237" s="132"/>
      <c r="C1237" s="132"/>
      <c r="D1237" s="277"/>
      <c r="E1237" s="132"/>
      <c r="F1237" s="170"/>
      <c r="G1237" s="150"/>
      <c r="H1237" s="152"/>
      <c r="I1237" s="204"/>
      <c r="J1237" s="285"/>
      <c r="K1237" s="251"/>
      <c r="L1237" s="133" t="str">
        <f>IF(AND(I1237&lt;&gt;"",ISERROR(IF(ISERROR(VLOOKUP(I1237*1,Summary!$C$8:$C$153,1,0)),VLOOKUP(I1237,Summary!$C$8:$C$153,1,0),VLOOKUP(I1237*1,Summary!$C$8:$C$153,1,0)))),"Add account Number to Summary","")</f>
        <v/>
      </c>
      <c r="M1237" s="131" t="str">
        <f t="shared" si="19"/>
        <v/>
      </c>
      <c r="N1237" s="287">
        <f>IF(C1237="Sale",SUMIFS($D$4:D1237,$B$4:B1237,B1237,$C$4:C1237,"")+SUMIFS($D$4:D1237,$B$4:B1237,B1237,$C$4:C1237,"Purch")-SUMIFS($D$4:D1237,$B$4:B1237,B1237,$C$4:C1237,"Sale"),0)</f>
        <v>0</v>
      </c>
    </row>
    <row r="1238" spans="1:14" x14ac:dyDescent="0.2">
      <c r="A1238" s="152"/>
      <c r="B1238" s="132"/>
      <c r="C1238" s="132"/>
      <c r="D1238" s="277"/>
      <c r="E1238" s="132"/>
      <c r="F1238" s="170"/>
      <c r="G1238" s="150"/>
      <c r="H1238" s="152"/>
      <c r="I1238" s="204"/>
      <c r="J1238" s="285"/>
      <c r="K1238" s="251"/>
      <c r="L1238" s="133" t="str">
        <f>IF(AND(I1238&lt;&gt;"",ISERROR(IF(ISERROR(VLOOKUP(I1238*1,Summary!$C$8:$C$153,1,0)),VLOOKUP(I1238,Summary!$C$8:$C$153,1,0),VLOOKUP(I1238*1,Summary!$C$8:$C$153,1,0)))),"Add account Number to Summary","")</f>
        <v/>
      </c>
      <c r="M1238" s="131" t="str">
        <f t="shared" si="19"/>
        <v/>
      </c>
      <c r="N1238" s="287">
        <f>IF(C1238="Sale",SUMIFS($D$4:D1238,$B$4:B1238,B1238,$C$4:C1238,"")+SUMIFS($D$4:D1238,$B$4:B1238,B1238,$C$4:C1238,"Purch")-SUMIFS($D$4:D1238,$B$4:B1238,B1238,$C$4:C1238,"Sale"),0)</f>
        <v>0</v>
      </c>
    </row>
    <row r="1239" spans="1:14" x14ac:dyDescent="0.2">
      <c r="A1239" s="152"/>
      <c r="B1239" s="132"/>
      <c r="C1239" s="132"/>
      <c r="D1239" s="277"/>
      <c r="E1239" s="132"/>
      <c r="F1239" s="170"/>
      <c r="G1239" s="150"/>
      <c r="H1239" s="152"/>
      <c r="I1239" s="204"/>
      <c r="J1239" s="285"/>
      <c r="K1239" s="251"/>
      <c r="L1239" s="133" t="str">
        <f>IF(AND(I1239&lt;&gt;"",ISERROR(IF(ISERROR(VLOOKUP(I1239*1,Summary!$C$8:$C$153,1,0)),VLOOKUP(I1239,Summary!$C$8:$C$153,1,0),VLOOKUP(I1239*1,Summary!$C$8:$C$153,1,0)))),"Add account Number to Summary","")</f>
        <v/>
      </c>
      <c r="M1239" s="131" t="str">
        <f t="shared" si="19"/>
        <v/>
      </c>
      <c r="N1239" s="287">
        <f>IF(C1239="Sale",SUMIFS($D$4:D1239,$B$4:B1239,B1239,$C$4:C1239,"")+SUMIFS($D$4:D1239,$B$4:B1239,B1239,$C$4:C1239,"Purch")-SUMIFS($D$4:D1239,$B$4:B1239,B1239,$C$4:C1239,"Sale"),0)</f>
        <v>0</v>
      </c>
    </row>
    <row r="1240" spans="1:14" x14ac:dyDescent="0.2">
      <c r="A1240" s="152"/>
      <c r="B1240" s="132"/>
      <c r="C1240" s="132"/>
      <c r="D1240" s="277"/>
      <c r="E1240" s="132"/>
      <c r="F1240" s="170"/>
      <c r="G1240" s="150"/>
      <c r="H1240" s="152"/>
      <c r="I1240" s="204"/>
      <c r="J1240" s="285"/>
      <c r="K1240" s="251"/>
      <c r="L1240" s="133" t="str">
        <f>IF(AND(I1240&lt;&gt;"",ISERROR(IF(ISERROR(VLOOKUP(I1240*1,Summary!$C$8:$C$153,1,0)),VLOOKUP(I1240,Summary!$C$8:$C$153,1,0),VLOOKUP(I1240*1,Summary!$C$8:$C$153,1,0)))),"Add account Number to Summary","")</f>
        <v/>
      </c>
      <c r="M1240" s="131" t="str">
        <f t="shared" si="19"/>
        <v/>
      </c>
      <c r="N1240" s="287">
        <f>IF(C1240="Sale",SUMIFS($D$4:D1240,$B$4:B1240,B1240,$C$4:C1240,"")+SUMIFS($D$4:D1240,$B$4:B1240,B1240,$C$4:C1240,"Purch")-SUMIFS($D$4:D1240,$B$4:B1240,B1240,$C$4:C1240,"Sale"),0)</f>
        <v>0</v>
      </c>
    </row>
    <row r="1241" spans="1:14" x14ac:dyDescent="0.2">
      <c r="A1241" s="152"/>
      <c r="B1241" s="132"/>
      <c r="C1241" s="132"/>
      <c r="D1241" s="277"/>
      <c r="E1241" s="132"/>
      <c r="F1241" s="170"/>
      <c r="G1241" s="150"/>
      <c r="H1241" s="152"/>
      <c r="I1241" s="204"/>
      <c r="J1241" s="285"/>
      <c r="K1241" s="251"/>
      <c r="L1241" s="133" t="str">
        <f>IF(AND(I1241&lt;&gt;"",ISERROR(IF(ISERROR(VLOOKUP(I1241*1,Summary!$C$8:$C$153,1,0)),VLOOKUP(I1241,Summary!$C$8:$C$153,1,0),VLOOKUP(I1241*1,Summary!$C$8:$C$153,1,0)))),"Add account Number to Summary","")</f>
        <v/>
      </c>
      <c r="M1241" s="131" t="str">
        <f t="shared" si="19"/>
        <v/>
      </c>
      <c r="N1241" s="287">
        <f>IF(C1241="Sale",SUMIFS($D$4:D1241,$B$4:B1241,B1241,$C$4:C1241,"")+SUMIFS($D$4:D1241,$B$4:B1241,B1241,$C$4:C1241,"Purch")-SUMIFS($D$4:D1241,$B$4:B1241,B1241,$C$4:C1241,"Sale"),0)</f>
        <v>0</v>
      </c>
    </row>
    <row r="1242" spans="1:14" x14ac:dyDescent="0.2">
      <c r="A1242" s="152"/>
      <c r="B1242" s="132"/>
      <c r="C1242" s="132"/>
      <c r="D1242" s="277"/>
      <c r="E1242" s="132"/>
      <c r="F1242" s="170"/>
      <c r="G1242" s="150"/>
      <c r="H1242" s="152"/>
      <c r="I1242" s="204"/>
      <c r="J1242" s="285"/>
      <c r="K1242" s="251"/>
      <c r="L1242" s="133" t="str">
        <f>IF(AND(I1242&lt;&gt;"",ISERROR(IF(ISERROR(VLOOKUP(I1242*1,Summary!$C$8:$C$153,1,0)),VLOOKUP(I1242,Summary!$C$8:$C$153,1,0),VLOOKUP(I1242*1,Summary!$C$8:$C$153,1,0)))),"Add account Number to Summary","")</f>
        <v/>
      </c>
      <c r="M1242" s="131" t="str">
        <f t="shared" si="19"/>
        <v/>
      </c>
      <c r="N1242" s="287">
        <f>IF(C1242="Sale",SUMIFS($D$4:D1242,$B$4:B1242,B1242,$C$4:C1242,"")+SUMIFS($D$4:D1242,$B$4:B1242,B1242,$C$4:C1242,"Purch")-SUMIFS($D$4:D1242,$B$4:B1242,B1242,$C$4:C1242,"Sale"),0)</f>
        <v>0</v>
      </c>
    </row>
    <row r="1243" spans="1:14" x14ac:dyDescent="0.2">
      <c r="A1243" s="152"/>
      <c r="B1243" s="132"/>
      <c r="C1243" s="132"/>
      <c r="D1243" s="277"/>
      <c r="E1243" s="132"/>
      <c r="F1243" s="170"/>
      <c r="G1243" s="150"/>
      <c r="H1243" s="152"/>
      <c r="I1243" s="204"/>
      <c r="J1243" s="285"/>
      <c r="K1243" s="251"/>
      <c r="L1243" s="133" t="str">
        <f>IF(AND(I1243&lt;&gt;"",ISERROR(IF(ISERROR(VLOOKUP(I1243*1,Summary!$C$8:$C$153,1,0)),VLOOKUP(I1243,Summary!$C$8:$C$153,1,0),VLOOKUP(I1243*1,Summary!$C$8:$C$153,1,0)))),"Add account Number to Summary","")</f>
        <v/>
      </c>
      <c r="M1243" s="131" t="str">
        <f t="shared" si="19"/>
        <v/>
      </c>
      <c r="N1243" s="287">
        <f>IF(C1243="Sale",SUMIFS($D$4:D1243,$B$4:B1243,B1243,$C$4:C1243,"")+SUMIFS($D$4:D1243,$B$4:B1243,B1243,$C$4:C1243,"Purch")-SUMIFS($D$4:D1243,$B$4:B1243,B1243,$C$4:C1243,"Sale"),0)</f>
        <v>0</v>
      </c>
    </row>
    <row r="1244" spans="1:14" x14ac:dyDescent="0.2">
      <c r="A1244" s="152"/>
      <c r="B1244" s="132"/>
      <c r="C1244" s="132"/>
      <c r="D1244" s="277"/>
      <c r="E1244" s="132"/>
      <c r="F1244" s="170"/>
      <c r="G1244" s="150"/>
      <c r="H1244" s="152"/>
      <c r="I1244" s="204"/>
      <c r="J1244" s="285"/>
      <c r="K1244" s="251"/>
      <c r="L1244" s="133" t="str">
        <f>IF(AND(I1244&lt;&gt;"",ISERROR(IF(ISERROR(VLOOKUP(I1244*1,Summary!$C$8:$C$153,1,0)),VLOOKUP(I1244,Summary!$C$8:$C$153,1,0),VLOOKUP(I1244*1,Summary!$C$8:$C$153,1,0)))),"Add account Number to Summary","")</f>
        <v/>
      </c>
      <c r="M1244" s="131" t="str">
        <f t="shared" si="19"/>
        <v/>
      </c>
      <c r="N1244" s="287">
        <f>IF(C1244="Sale",SUMIFS($D$4:D1244,$B$4:B1244,B1244,$C$4:C1244,"")+SUMIFS($D$4:D1244,$B$4:B1244,B1244,$C$4:C1244,"Purch")-SUMIFS($D$4:D1244,$B$4:B1244,B1244,$C$4:C1244,"Sale"),0)</f>
        <v>0</v>
      </c>
    </row>
    <row r="1245" spans="1:14" x14ac:dyDescent="0.2">
      <c r="A1245" s="152"/>
      <c r="B1245" s="132"/>
      <c r="C1245" s="132"/>
      <c r="D1245" s="277"/>
      <c r="E1245" s="132"/>
      <c r="F1245" s="170"/>
      <c r="G1245" s="150"/>
      <c r="H1245" s="152"/>
      <c r="I1245" s="204"/>
      <c r="J1245" s="285"/>
      <c r="K1245" s="251"/>
      <c r="L1245" s="133" t="str">
        <f>IF(AND(I1245&lt;&gt;"",ISERROR(IF(ISERROR(VLOOKUP(I1245*1,Summary!$C$8:$C$153,1,0)),VLOOKUP(I1245,Summary!$C$8:$C$153,1,0),VLOOKUP(I1245*1,Summary!$C$8:$C$153,1,0)))),"Add account Number to Summary","")</f>
        <v/>
      </c>
      <c r="M1245" s="131" t="str">
        <f t="shared" si="19"/>
        <v/>
      </c>
      <c r="N1245" s="287">
        <f>IF(C1245="Sale",SUMIFS($D$4:D1245,$B$4:B1245,B1245,$C$4:C1245,"")+SUMIFS($D$4:D1245,$B$4:B1245,B1245,$C$4:C1245,"Purch")-SUMIFS($D$4:D1245,$B$4:B1245,B1245,$C$4:C1245,"Sale"),0)</f>
        <v>0</v>
      </c>
    </row>
    <row r="1246" spans="1:14" x14ac:dyDescent="0.2">
      <c r="A1246" s="152"/>
      <c r="B1246" s="132"/>
      <c r="C1246" s="132"/>
      <c r="D1246" s="277"/>
      <c r="E1246" s="132"/>
      <c r="F1246" s="170"/>
      <c r="G1246" s="150"/>
      <c r="H1246" s="152"/>
      <c r="I1246" s="204"/>
      <c r="J1246" s="285"/>
      <c r="K1246" s="251"/>
      <c r="L1246" s="133" t="str">
        <f>IF(AND(I1246&lt;&gt;"",ISERROR(IF(ISERROR(VLOOKUP(I1246*1,Summary!$C$8:$C$153,1,0)),VLOOKUP(I1246,Summary!$C$8:$C$153,1,0),VLOOKUP(I1246*1,Summary!$C$8:$C$153,1,0)))),"Add account Number to Summary","")</f>
        <v/>
      </c>
      <c r="M1246" s="131" t="str">
        <f t="shared" si="19"/>
        <v/>
      </c>
      <c r="N1246" s="287">
        <f>IF(C1246="Sale",SUMIFS($D$4:D1246,$B$4:B1246,B1246,$C$4:C1246,"")+SUMIFS($D$4:D1246,$B$4:B1246,B1246,$C$4:C1246,"Purch")-SUMIFS($D$4:D1246,$B$4:B1246,B1246,$C$4:C1246,"Sale"),0)</f>
        <v>0</v>
      </c>
    </row>
    <row r="1247" spans="1:14" x14ac:dyDescent="0.2">
      <c r="A1247" s="152"/>
      <c r="B1247" s="132"/>
      <c r="C1247" s="132"/>
      <c r="D1247" s="277"/>
      <c r="E1247" s="132"/>
      <c r="F1247" s="170"/>
      <c r="G1247" s="150"/>
      <c r="H1247" s="152"/>
      <c r="I1247" s="204"/>
      <c r="J1247" s="285"/>
      <c r="K1247" s="251"/>
      <c r="L1247" s="133" t="str">
        <f>IF(AND(I1247&lt;&gt;"",ISERROR(IF(ISERROR(VLOOKUP(I1247*1,Summary!$C$8:$C$153,1,0)),VLOOKUP(I1247,Summary!$C$8:$C$153,1,0),VLOOKUP(I1247*1,Summary!$C$8:$C$153,1,0)))),"Add account Number to Summary","")</f>
        <v/>
      </c>
      <c r="M1247" s="131" t="str">
        <f t="shared" si="19"/>
        <v/>
      </c>
      <c r="N1247" s="287">
        <f>IF(C1247="Sale",SUMIFS($D$4:D1247,$B$4:B1247,B1247,$C$4:C1247,"")+SUMIFS($D$4:D1247,$B$4:B1247,B1247,$C$4:C1247,"Purch")-SUMIFS($D$4:D1247,$B$4:B1247,B1247,$C$4:C1247,"Sale"),0)</f>
        <v>0</v>
      </c>
    </row>
    <row r="1248" spans="1:14" x14ac:dyDescent="0.2">
      <c r="A1248" s="152"/>
      <c r="B1248" s="132"/>
      <c r="C1248" s="132"/>
      <c r="D1248" s="277"/>
      <c r="E1248" s="132"/>
      <c r="F1248" s="170"/>
      <c r="G1248" s="150"/>
      <c r="H1248" s="152"/>
      <c r="I1248" s="204"/>
      <c r="J1248" s="285"/>
      <c r="K1248" s="251"/>
      <c r="L1248" s="133" t="str">
        <f>IF(AND(I1248&lt;&gt;"",ISERROR(IF(ISERROR(VLOOKUP(I1248*1,Summary!$C$8:$C$153,1,0)),VLOOKUP(I1248,Summary!$C$8:$C$153,1,0),VLOOKUP(I1248*1,Summary!$C$8:$C$153,1,0)))),"Add account Number to Summary","")</f>
        <v/>
      </c>
      <c r="M1248" s="131" t="str">
        <f t="shared" si="19"/>
        <v/>
      </c>
      <c r="N1248" s="287">
        <f>IF(C1248="Sale",SUMIFS($D$4:D1248,$B$4:B1248,B1248,$C$4:C1248,"")+SUMIFS($D$4:D1248,$B$4:B1248,B1248,$C$4:C1248,"Purch")-SUMIFS($D$4:D1248,$B$4:B1248,B1248,$C$4:C1248,"Sale"),0)</f>
        <v>0</v>
      </c>
    </row>
    <row r="1249" spans="1:14" x14ac:dyDescent="0.2">
      <c r="A1249" s="152"/>
      <c r="B1249" s="132"/>
      <c r="C1249" s="132"/>
      <c r="D1249" s="277"/>
      <c r="E1249" s="132"/>
      <c r="F1249" s="170"/>
      <c r="G1249" s="150"/>
      <c r="H1249" s="152"/>
      <c r="I1249" s="204"/>
      <c r="J1249" s="285"/>
      <c r="K1249" s="251"/>
      <c r="L1249" s="133" t="str">
        <f>IF(AND(I1249&lt;&gt;"",ISERROR(IF(ISERROR(VLOOKUP(I1249*1,Summary!$C$8:$C$153,1,0)),VLOOKUP(I1249,Summary!$C$8:$C$153,1,0),VLOOKUP(I1249*1,Summary!$C$8:$C$153,1,0)))),"Add account Number to Summary","")</f>
        <v/>
      </c>
      <c r="M1249" s="131" t="str">
        <f t="shared" si="19"/>
        <v/>
      </c>
      <c r="N1249" s="287">
        <f>IF(C1249="Sale",SUMIFS($D$4:D1249,$B$4:B1249,B1249,$C$4:C1249,"")+SUMIFS($D$4:D1249,$B$4:B1249,B1249,$C$4:C1249,"Purch")-SUMIFS($D$4:D1249,$B$4:B1249,B1249,$C$4:C1249,"Sale"),0)</f>
        <v>0</v>
      </c>
    </row>
    <row r="1250" spans="1:14" x14ac:dyDescent="0.2">
      <c r="A1250" s="152"/>
      <c r="B1250" s="132"/>
      <c r="C1250" s="132"/>
      <c r="D1250" s="277"/>
      <c r="E1250" s="132"/>
      <c r="F1250" s="170"/>
      <c r="G1250" s="150"/>
      <c r="H1250" s="152"/>
      <c r="I1250" s="204"/>
      <c r="J1250" s="285"/>
      <c r="K1250" s="251"/>
      <c r="L1250" s="133" t="str">
        <f>IF(AND(I1250&lt;&gt;"",ISERROR(IF(ISERROR(VLOOKUP(I1250*1,Summary!$C$8:$C$153,1,0)),VLOOKUP(I1250,Summary!$C$8:$C$153,1,0),VLOOKUP(I1250*1,Summary!$C$8:$C$153,1,0)))),"Add account Number to Summary","")</f>
        <v/>
      </c>
      <c r="M1250" s="131" t="str">
        <f t="shared" si="19"/>
        <v/>
      </c>
      <c r="N1250" s="287">
        <f>IF(C1250="Sale",SUMIFS($D$4:D1250,$B$4:B1250,B1250,$C$4:C1250,"")+SUMIFS($D$4:D1250,$B$4:B1250,B1250,$C$4:C1250,"Purch")-SUMIFS($D$4:D1250,$B$4:B1250,B1250,$C$4:C1250,"Sale"),0)</f>
        <v>0</v>
      </c>
    </row>
    <row r="1251" spans="1:14" x14ac:dyDescent="0.2">
      <c r="A1251" s="152"/>
      <c r="B1251" s="132"/>
      <c r="C1251" s="132"/>
      <c r="D1251" s="277"/>
      <c r="E1251" s="132"/>
      <c r="F1251" s="170"/>
      <c r="G1251" s="150"/>
      <c r="H1251" s="152"/>
      <c r="I1251" s="204"/>
      <c r="J1251" s="285"/>
      <c r="K1251" s="251"/>
      <c r="L1251" s="133" t="str">
        <f>IF(AND(I1251&lt;&gt;"",ISERROR(IF(ISERROR(VLOOKUP(I1251*1,Summary!$C$8:$C$153,1,0)),VLOOKUP(I1251,Summary!$C$8:$C$153,1,0),VLOOKUP(I1251*1,Summary!$C$8:$C$153,1,0)))),"Add account Number to Summary","")</f>
        <v/>
      </c>
      <c r="M1251" s="131" t="str">
        <f t="shared" si="19"/>
        <v/>
      </c>
      <c r="N1251" s="287">
        <f>IF(C1251="Sale",SUMIFS($D$4:D1251,$B$4:B1251,B1251,$C$4:C1251,"")+SUMIFS($D$4:D1251,$B$4:B1251,B1251,$C$4:C1251,"Purch")-SUMIFS($D$4:D1251,$B$4:B1251,B1251,$C$4:C1251,"Sale"),0)</f>
        <v>0</v>
      </c>
    </row>
    <row r="1252" spans="1:14" x14ac:dyDescent="0.2">
      <c r="A1252" s="152"/>
      <c r="B1252" s="132"/>
      <c r="C1252" s="132"/>
      <c r="D1252" s="277"/>
      <c r="E1252" s="132"/>
      <c r="F1252" s="170"/>
      <c r="G1252" s="150"/>
      <c r="H1252" s="152"/>
      <c r="I1252" s="204"/>
      <c r="J1252" s="285"/>
      <c r="K1252" s="251"/>
      <c r="L1252" s="133" t="str">
        <f>IF(AND(I1252&lt;&gt;"",ISERROR(IF(ISERROR(VLOOKUP(I1252*1,Summary!$C$8:$C$153,1,0)),VLOOKUP(I1252,Summary!$C$8:$C$153,1,0),VLOOKUP(I1252*1,Summary!$C$8:$C$153,1,0)))),"Add account Number to Summary","")</f>
        <v/>
      </c>
      <c r="M1252" s="131" t="str">
        <f t="shared" si="19"/>
        <v/>
      </c>
      <c r="N1252" s="287">
        <f>IF(C1252="Sale",SUMIFS($D$4:D1252,$B$4:B1252,B1252,$C$4:C1252,"")+SUMIFS($D$4:D1252,$B$4:B1252,B1252,$C$4:C1252,"Purch")-SUMIFS($D$4:D1252,$B$4:B1252,B1252,$C$4:C1252,"Sale"),0)</f>
        <v>0</v>
      </c>
    </row>
    <row r="1253" spans="1:14" x14ac:dyDescent="0.2">
      <c r="A1253" s="152"/>
      <c r="B1253" s="132"/>
      <c r="C1253" s="132"/>
      <c r="D1253" s="277"/>
      <c r="E1253" s="132"/>
      <c r="F1253" s="170"/>
      <c r="G1253" s="150"/>
      <c r="H1253" s="152"/>
      <c r="I1253" s="204"/>
      <c r="J1253" s="285"/>
      <c r="K1253" s="251"/>
      <c r="L1253" s="133" t="str">
        <f>IF(AND(I1253&lt;&gt;"",ISERROR(IF(ISERROR(VLOOKUP(I1253*1,Summary!$C$8:$C$153,1,0)),VLOOKUP(I1253,Summary!$C$8:$C$153,1,0),VLOOKUP(I1253*1,Summary!$C$8:$C$153,1,0)))),"Add account Number to Summary","")</f>
        <v/>
      </c>
      <c r="M1253" s="131" t="str">
        <f t="shared" si="19"/>
        <v/>
      </c>
      <c r="N1253" s="287">
        <f>IF(C1253="Sale",SUMIFS($D$4:D1253,$B$4:B1253,B1253,$C$4:C1253,"")+SUMIFS($D$4:D1253,$B$4:B1253,B1253,$C$4:C1253,"Purch")-SUMIFS($D$4:D1253,$B$4:B1253,B1253,$C$4:C1253,"Sale"),0)</f>
        <v>0</v>
      </c>
    </row>
    <row r="1254" spans="1:14" x14ac:dyDescent="0.2">
      <c r="A1254" s="152"/>
      <c r="B1254" s="132"/>
      <c r="C1254" s="132"/>
      <c r="D1254" s="277"/>
      <c r="E1254" s="132"/>
      <c r="F1254" s="170"/>
      <c r="G1254" s="150"/>
      <c r="H1254" s="152"/>
      <c r="I1254" s="204"/>
      <c r="J1254" s="285"/>
      <c r="K1254" s="251"/>
      <c r="L1254" s="133" t="str">
        <f>IF(AND(I1254&lt;&gt;"",ISERROR(IF(ISERROR(VLOOKUP(I1254*1,Summary!$C$8:$C$153,1,0)),VLOOKUP(I1254,Summary!$C$8:$C$153,1,0),VLOOKUP(I1254*1,Summary!$C$8:$C$153,1,0)))),"Add account Number to Summary","")</f>
        <v/>
      </c>
      <c r="M1254" s="131" t="str">
        <f t="shared" si="19"/>
        <v/>
      </c>
      <c r="N1254" s="287">
        <f>IF(C1254="Sale",SUMIFS($D$4:D1254,$B$4:B1254,B1254,$C$4:C1254,"")+SUMIFS($D$4:D1254,$B$4:B1254,B1254,$C$4:C1254,"Purch")-SUMIFS($D$4:D1254,$B$4:B1254,B1254,$C$4:C1254,"Sale"),0)</f>
        <v>0</v>
      </c>
    </row>
    <row r="1255" spans="1:14" x14ac:dyDescent="0.2">
      <c r="A1255" s="152"/>
      <c r="B1255" s="132"/>
      <c r="C1255" s="132"/>
      <c r="D1255" s="277"/>
      <c r="E1255" s="132"/>
      <c r="F1255" s="170"/>
      <c r="G1255" s="150"/>
      <c r="H1255" s="152"/>
      <c r="I1255" s="204"/>
      <c r="J1255" s="285"/>
      <c r="K1255" s="251"/>
      <c r="L1255" s="133" t="str">
        <f>IF(AND(I1255&lt;&gt;"",ISERROR(IF(ISERROR(VLOOKUP(I1255*1,Summary!$C$8:$C$153,1,0)),VLOOKUP(I1255,Summary!$C$8:$C$153,1,0),VLOOKUP(I1255*1,Summary!$C$8:$C$153,1,0)))),"Add account Number to Summary","")</f>
        <v/>
      </c>
      <c r="M1255" s="131" t="str">
        <f t="shared" si="19"/>
        <v/>
      </c>
      <c r="N1255" s="287">
        <f>IF(C1255="Sale",SUMIFS($D$4:D1255,$B$4:B1255,B1255,$C$4:C1255,"")+SUMIFS($D$4:D1255,$B$4:B1255,B1255,$C$4:C1255,"Purch")-SUMIFS($D$4:D1255,$B$4:B1255,B1255,$C$4:C1255,"Sale"),0)</f>
        <v>0</v>
      </c>
    </row>
    <row r="1256" spans="1:14" x14ac:dyDescent="0.2">
      <c r="A1256" s="152"/>
      <c r="B1256" s="132"/>
      <c r="C1256" s="132"/>
      <c r="D1256" s="277"/>
      <c r="E1256" s="132"/>
      <c r="F1256" s="170"/>
      <c r="G1256" s="150"/>
      <c r="H1256" s="152"/>
      <c r="I1256" s="204"/>
      <c r="J1256" s="285"/>
      <c r="K1256" s="251"/>
      <c r="L1256" s="133" t="str">
        <f>IF(AND(I1256&lt;&gt;"",ISERROR(IF(ISERROR(VLOOKUP(I1256*1,Summary!$C$8:$C$153,1,0)),VLOOKUP(I1256,Summary!$C$8:$C$153,1,0),VLOOKUP(I1256*1,Summary!$C$8:$C$153,1,0)))),"Add account Number to Summary","")</f>
        <v/>
      </c>
      <c r="M1256" s="131" t="str">
        <f t="shared" si="19"/>
        <v/>
      </c>
      <c r="N1256" s="287">
        <f>IF(C1256="Sale",SUMIFS($D$4:D1256,$B$4:B1256,B1256,$C$4:C1256,"")+SUMIFS($D$4:D1256,$B$4:B1256,B1256,$C$4:C1256,"Purch")-SUMIFS($D$4:D1256,$B$4:B1256,B1256,$C$4:C1256,"Sale"),0)</f>
        <v>0</v>
      </c>
    </row>
    <row r="1257" spans="1:14" x14ac:dyDescent="0.2">
      <c r="A1257" s="152"/>
      <c r="B1257" s="132"/>
      <c r="C1257" s="132"/>
      <c r="D1257" s="277"/>
      <c r="E1257" s="132"/>
      <c r="F1257" s="170"/>
      <c r="G1257" s="150"/>
      <c r="H1257" s="152"/>
      <c r="I1257" s="204"/>
      <c r="J1257" s="285"/>
      <c r="K1257" s="251"/>
      <c r="L1257" s="133" t="str">
        <f>IF(AND(I1257&lt;&gt;"",ISERROR(IF(ISERROR(VLOOKUP(I1257*1,Summary!$C$8:$C$153,1,0)),VLOOKUP(I1257,Summary!$C$8:$C$153,1,0),VLOOKUP(I1257*1,Summary!$C$8:$C$153,1,0)))),"Add account Number to Summary","")</f>
        <v/>
      </c>
      <c r="M1257" s="131" t="str">
        <f t="shared" si="19"/>
        <v/>
      </c>
      <c r="N1257" s="287">
        <f>IF(C1257="Sale",SUMIFS($D$4:D1257,$B$4:B1257,B1257,$C$4:C1257,"")+SUMIFS($D$4:D1257,$B$4:B1257,B1257,$C$4:C1257,"Purch")-SUMIFS($D$4:D1257,$B$4:B1257,B1257,$C$4:C1257,"Sale"),0)</f>
        <v>0</v>
      </c>
    </row>
    <row r="1258" spans="1:14" x14ac:dyDescent="0.2">
      <c r="A1258" s="152"/>
      <c r="B1258" s="132"/>
      <c r="C1258" s="132"/>
      <c r="D1258" s="277"/>
      <c r="E1258" s="132"/>
      <c r="F1258" s="170"/>
      <c r="G1258" s="150"/>
      <c r="H1258" s="152"/>
      <c r="I1258" s="204"/>
      <c r="J1258" s="285"/>
      <c r="K1258" s="251"/>
      <c r="L1258" s="133" t="str">
        <f>IF(AND(I1258&lt;&gt;"",ISERROR(IF(ISERROR(VLOOKUP(I1258*1,Summary!$C$8:$C$153,1,0)),VLOOKUP(I1258,Summary!$C$8:$C$153,1,0),VLOOKUP(I1258*1,Summary!$C$8:$C$153,1,0)))),"Add account Number to Summary","")</f>
        <v/>
      </c>
      <c r="M1258" s="131" t="str">
        <f t="shared" si="19"/>
        <v/>
      </c>
      <c r="N1258" s="287">
        <f>IF(C1258="Sale",SUMIFS($D$4:D1258,$B$4:B1258,B1258,$C$4:C1258,"")+SUMIFS($D$4:D1258,$B$4:B1258,B1258,$C$4:C1258,"Purch")-SUMIFS($D$4:D1258,$B$4:B1258,B1258,$C$4:C1258,"Sale"),0)</f>
        <v>0</v>
      </c>
    </row>
    <row r="1259" spans="1:14" x14ac:dyDescent="0.2">
      <c r="A1259" s="152"/>
      <c r="B1259" s="132"/>
      <c r="C1259" s="132"/>
      <c r="D1259" s="277"/>
      <c r="E1259" s="132"/>
      <c r="F1259" s="170"/>
      <c r="G1259" s="150"/>
      <c r="H1259" s="152"/>
      <c r="I1259" s="204"/>
      <c r="J1259" s="285"/>
      <c r="K1259" s="251"/>
      <c r="L1259" s="133" t="str">
        <f>IF(AND(I1259&lt;&gt;"",ISERROR(IF(ISERROR(VLOOKUP(I1259*1,Summary!$C$8:$C$153,1,0)),VLOOKUP(I1259,Summary!$C$8:$C$153,1,0),VLOOKUP(I1259*1,Summary!$C$8:$C$153,1,0)))),"Add account Number to Summary","")</f>
        <v/>
      </c>
      <c r="M1259" s="131" t="str">
        <f t="shared" si="19"/>
        <v/>
      </c>
      <c r="N1259" s="287">
        <f>IF(C1259="Sale",SUMIFS($D$4:D1259,$B$4:B1259,B1259,$C$4:C1259,"")+SUMIFS($D$4:D1259,$B$4:B1259,B1259,$C$4:C1259,"Purch")-SUMIFS($D$4:D1259,$B$4:B1259,B1259,$C$4:C1259,"Sale"),0)</f>
        <v>0</v>
      </c>
    </row>
    <row r="1260" spans="1:14" x14ac:dyDescent="0.2">
      <c r="A1260" s="152"/>
      <c r="B1260" s="132"/>
      <c r="C1260" s="132"/>
      <c r="D1260" s="277"/>
      <c r="E1260" s="132"/>
      <c r="F1260" s="170"/>
      <c r="G1260" s="150"/>
      <c r="H1260" s="152"/>
      <c r="I1260" s="204"/>
      <c r="J1260" s="285"/>
      <c r="K1260" s="251"/>
      <c r="L1260" s="133" t="str">
        <f>IF(AND(I1260&lt;&gt;"",ISERROR(IF(ISERROR(VLOOKUP(I1260*1,Summary!$C$8:$C$153,1,0)),VLOOKUP(I1260,Summary!$C$8:$C$153,1,0),VLOOKUP(I1260*1,Summary!$C$8:$C$153,1,0)))),"Add account Number to Summary","")</f>
        <v/>
      </c>
      <c r="M1260" s="131" t="str">
        <f t="shared" ref="M1260:M1323" si="20">IF(K1260="Yes",IF(YEAR(A1260)&lt;&gt;YEAR(date),"Check Date",""),"")</f>
        <v/>
      </c>
      <c r="N1260" s="287">
        <f>IF(C1260="Sale",SUMIFS($D$4:D1260,$B$4:B1260,B1260,$C$4:C1260,"")+SUMIFS($D$4:D1260,$B$4:B1260,B1260,$C$4:C1260,"Purch")-SUMIFS($D$4:D1260,$B$4:B1260,B1260,$C$4:C1260,"Sale"),0)</f>
        <v>0</v>
      </c>
    </row>
    <row r="1261" spans="1:14" x14ac:dyDescent="0.2">
      <c r="A1261" s="152"/>
      <c r="B1261" s="132"/>
      <c r="C1261" s="132"/>
      <c r="D1261" s="277"/>
      <c r="E1261" s="132"/>
      <c r="F1261" s="170"/>
      <c r="G1261" s="150"/>
      <c r="H1261" s="152"/>
      <c r="I1261" s="204"/>
      <c r="J1261" s="285"/>
      <c r="K1261" s="251"/>
      <c r="L1261" s="133" t="str">
        <f>IF(AND(I1261&lt;&gt;"",ISERROR(IF(ISERROR(VLOOKUP(I1261*1,Summary!$C$8:$C$153,1,0)),VLOOKUP(I1261,Summary!$C$8:$C$153,1,0),VLOOKUP(I1261*1,Summary!$C$8:$C$153,1,0)))),"Add account Number to Summary","")</f>
        <v/>
      </c>
      <c r="M1261" s="131" t="str">
        <f t="shared" si="20"/>
        <v/>
      </c>
      <c r="N1261" s="287">
        <f>IF(C1261="Sale",SUMIFS($D$4:D1261,$B$4:B1261,B1261,$C$4:C1261,"")+SUMIFS($D$4:D1261,$B$4:B1261,B1261,$C$4:C1261,"Purch")-SUMIFS($D$4:D1261,$B$4:B1261,B1261,$C$4:C1261,"Sale"),0)</f>
        <v>0</v>
      </c>
    </row>
    <row r="1262" spans="1:14" x14ac:dyDescent="0.2">
      <c r="A1262" s="152"/>
      <c r="B1262" s="132"/>
      <c r="C1262" s="132"/>
      <c r="D1262" s="277"/>
      <c r="E1262" s="132"/>
      <c r="F1262" s="170"/>
      <c r="G1262" s="150"/>
      <c r="H1262" s="152"/>
      <c r="I1262" s="204"/>
      <c r="J1262" s="285"/>
      <c r="K1262" s="251"/>
      <c r="L1262" s="133" t="str">
        <f>IF(AND(I1262&lt;&gt;"",ISERROR(IF(ISERROR(VLOOKUP(I1262*1,Summary!$C$8:$C$153,1,0)),VLOOKUP(I1262,Summary!$C$8:$C$153,1,0),VLOOKUP(I1262*1,Summary!$C$8:$C$153,1,0)))),"Add account Number to Summary","")</f>
        <v/>
      </c>
      <c r="M1262" s="131" t="str">
        <f t="shared" si="20"/>
        <v/>
      </c>
      <c r="N1262" s="287">
        <f>IF(C1262="Sale",SUMIFS($D$4:D1262,$B$4:B1262,B1262,$C$4:C1262,"")+SUMIFS($D$4:D1262,$B$4:B1262,B1262,$C$4:C1262,"Purch")-SUMIFS($D$4:D1262,$B$4:B1262,B1262,$C$4:C1262,"Sale"),0)</f>
        <v>0</v>
      </c>
    </row>
    <row r="1263" spans="1:14" x14ac:dyDescent="0.2">
      <c r="A1263" s="152"/>
      <c r="B1263" s="132"/>
      <c r="C1263" s="132"/>
      <c r="D1263" s="277"/>
      <c r="E1263" s="132"/>
      <c r="F1263" s="170"/>
      <c r="G1263" s="150"/>
      <c r="H1263" s="152"/>
      <c r="I1263" s="204"/>
      <c r="J1263" s="285"/>
      <c r="K1263" s="251"/>
      <c r="L1263" s="133" t="str">
        <f>IF(AND(I1263&lt;&gt;"",ISERROR(IF(ISERROR(VLOOKUP(I1263*1,Summary!$C$8:$C$153,1,0)),VLOOKUP(I1263,Summary!$C$8:$C$153,1,0),VLOOKUP(I1263*1,Summary!$C$8:$C$153,1,0)))),"Add account Number to Summary","")</f>
        <v/>
      </c>
      <c r="M1263" s="131" t="str">
        <f t="shared" si="20"/>
        <v/>
      </c>
      <c r="N1263" s="287">
        <f>IF(C1263="Sale",SUMIFS($D$4:D1263,$B$4:B1263,B1263,$C$4:C1263,"")+SUMIFS($D$4:D1263,$B$4:B1263,B1263,$C$4:C1263,"Purch")-SUMIFS($D$4:D1263,$B$4:B1263,B1263,$C$4:C1263,"Sale"),0)</f>
        <v>0</v>
      </c>
    </row>
    <row r="1264" spans="1:14" x14ac:dyDescent="0.2">
      <c r="A1264" s="152"/>
      <c r="B1264" s="132"/>
      <c r="C1264" s="132"/>
      <c r="D1264" s="277"/>
      <c r="E1264" s="132"/>
      <c r="F1264" s="170"/>
      <c r="G1264" s="150"/>
      <c r="H1264" s="152"/>
      <c r="I1264" s="204"/>
      <c r="J1264" s="285"/>
      <c r="K1264" s="251"/>
      <c r="L1264" s="133" t="str">
        <f>IF(AND(I1264&lt;&gt;"",ISERROR(IF(ISERROR(VLOOKUP(I1264*1,Summary!$C$8:$C$153,1,0)),VLOOKUP(I1264,Summary!$C$8:$C$153,1,0),VLOOKUP(I1264*1,Summary!$C$8:$C$153,1,0)))),"Add account Number to Summary","")</f>
        <v/>
      </c>
      <c r="M1264" s="131" t="str">
        <f t="shared" si="20"/>
        <v/>
      </c>
      <c r="N1264" s="287">
        <f>IF(C1264="Sale",SUMIFS($D$4:D1264,$B$4:B1264,B1264,$C$4:C1264,"")+SUMIFS($D$4:D1264,$B$4:B1264,B1264,$C$4:C1264,"Purch")-SUMIFS($D$4:D1264,$B$4:B1264,B1264,$C$4:C1264,"Sale"),0)</f>
        <v>0</v>
      </c>
    </row>
    <row r="1265" spans="1:14" x14ac:dyDescent="0.2">
      <c r="A1265" s="152"/>
      <c r="B1265" s="132"/>
      <c r="C1265" s="132"/>
      <c r="D1265" s="277"/>
      <c r="E1265" s="132"/>
      <c r="F1265" s="170"/>
      <c r="G1265" s="150"/>
      <c r="H1265" s="152"/>
      <c r="I1265" s="204"/>
      <c r="J1265" s="285"/>
      <c r="K1265" s="251"/>
      <c r="L1265" s="133" t="str">
        <f>IF(AND(I1265&lt;&gt;"",ISERROR(IF(ISERROR(VLOOKUP(I1265*1,Summary!$C$8:$C$153,1,0)),VLOOKUP(I1265,Summary!$C$8:$C$153,1,0),VLOOKUP(I1265*1,Summary!$C$8:$C$153,1,0)))),"Add account Number to Summary","")</f>
        <v/>
      </c>
      <c r="M1265" s="131" t="str">
        <f t="shared" si="20"/>
        <v/>
      </c>
      <c r="N1265" s="287">
        <f>IF(C1265="Sale",SUMIFS($D$4:D1265,$B$4:B1265,B1265,$C$4:C1265,"")+SUMIFS($D$4:D1265,$B$4:B1265,B1265,$C$4:C1265,"Purch")-SUMIFS($D$4:D1265,$B$4:B1265,B1265,$C$4:C1265,"Sale"),0)</f>
        <v>0</v>
      </c>
    </row>
    <row r="1266" spans="1:14" x14ac:dyDescent="0.2">
      <c r="A1266" s="152"/>
      <c r="B1266" s="132"/>
      <c r="C1266" s="132"/>
      <c r="D1266" s="277"/>
      <c r="E1266" s="132"/>
      <c r="F1266" s="170"/>
      <c r="G1266" s="150"/>
      <c r="H1266" s="152"/>
      <c r="I1266" s="204"/>
      <c r="J1266" s="285"/>
      <c r="K1266" s="251"/>
      <c r="L1266" s="133" t="str">
        <f>IF(AND(I1266&lt;&gt;"",ISERROR(IF(ISERROR(VLOOKUP(I1266*1,Summary!$C$8:$C$153,1,0)),VLOOKUP(I1266,Summary!$C$8:$C$153,1,0),VLOOKUP(I1266*1,Summary!$C$8:$C$153,1,0)))),"Add account Number to Summary","")</f>
        <v/>
      </c>
      <c r="M1266" s="131" t="str">
        <f t="shared" si="20"/>
        <v/>
      </c>
      <c r="N1266" s="287">
        <f>IF(C1266="Sale",SUMIFS($D$4:D1266,$B$4:B1266,B1266,$C$4:C1266,"")+SUMIFS($D$4:D1266,$B$4:B1266,B1266,$C$4:C1266,"Purch")-SUMIFS($D$4:D1266,$B$4:B1266,B1266,$C$4:C1266,"Sale"),0)</f>
        <v>0</v>
      </c>
    </row>
    <row r="1267" spans="1:14" x14ac:dyDescent="0.2">
      <c r="A1267" s="152"/>
      <c r="B1267" s="132"/>
      <c r="C1267" s="132"/>
      <c r="D1267" s="277"/>
      <c r="E1267" s="132"/>
      <c r="F1267" s="170"/>
      <c r="G1267" s="150"/>
      <c r="H1267" s="152"/>
      <c r="I1267" s="204"/>
      <c r="J1267" s="285"/>
      <c r="K1267" s="251"/>
      <c r="L1267" s="133" t="str">
        <f>IF(AND(I1267&lt;&gt;"",ISERROR(IF(ISERROR(VLOOKUP(I1267*1,Summary!$C$8:$C$153,1,0)),VLOOKUP(I1267,Summary!$C$8:$C$153,1,0),VLOOKUP(I1267*1,Summary!$C$8:$C$153,1,0)))),"Add account Number to Summary","")</f>
        <v/>
      </c>
      <c r="M1267" s="131" t="str">
        <f t="shared" si="20"/>
        <v/>
      </c>
      <c r="N1267" s="287">
        <f>IF(C1267="Sale",SUMIFS($D$4:D1267,$B$4:B1267,B1267,$C$4:C1267,"")+SUMIFS($D$4:D1267,$B$4:B1267,B1267,$C$4:C1267,"Purch")-SUMIFS($D$4:D1267,$B$4:B1267,B1267,$C$4:C1267,"Sale"),0)</f>
        <v>0</v>
      </c>
    </row>
    <row r="1268" spans="1:14" x14ac:dyDescent="0.2">
      <c r="A1268" s="152"/>
      <c r="B1268" s="132"/>
      <c r="C1268" s="132"/>
      <c r="D1268" s="277"/>
      <c r="E1268" s="132"/>
      <c r="F1268" s="170"/>
      <c r="G1268" s="150"/>
      <c r="H1268" s="152"/>
      <c r="I1268" s="204"/>
      <c r="J1268" s="285"/>
      <c r="K1268" s="251"/>
      <c r="L1268" s="133" t="str">
        <f>IF(AND(I1268&lt;&gt;"",ISERROR(IF(ISERROR(VLOOKUP(I1268*1,Summary!$C$8:$C$153,1,0)),VLOOKUP(I1268,Summary!$C$8:$C$153,1,0),VLOOKUP(I1268*1,Summary!$C$8:$C$153,1,0)))),"Add account Number to Summary","")</f>
        <v/>
      </c>
      <c r="M1268" s="131" t="str">
        <f t="shared" si="20"/>
        <v/>
      </c>
      <c r="N1268" s="287">
        <f>IF(C1268="Sale",SUMIFS($D$4:D1268,$B$4:B1268,B1268,$C$4:C1268,"")+SUMIFS($D$4:D1268,$B$4:B1268,B1268,$C$4:C1268,"Purch")-SUMIFS($D$4:D1268,$B$4:B1268,B1268,$C$4:C1268,"Sale"),0)</f>
        <v>0</v>
      </c>
    </row>
    <row r="1269" spans="1:14" x14ac:dyDescent="0.2">
      <c r="A1269" s="152"/>
      <c r="B1269" s="132"/>
      <c r="C1269" s="132"/>
      <c r="D1269" s="277"/>
      <c r="E1269" s="132"/>
      <c r="F1269" s="170"/>
      <c r="G1269" s="150"/>
      <c r="H1269" s="152"/>
      <c r="I1269" s="204"/>
      <c r="J1269" s="285"/>
      <c r="K1269" s="251"/>
      <c r="L1269" s="133" t="str">
        <f>IF(AND(I1269&lt;&gt;"",ISERROR(IF(ISERROR(VLOOKUP(I1269*1,Summary!$C$8:$C$153,1,0)),VLOOKUP(I1269,Summary!$C$8:$C$153,1,0),VLOOKUP(I1269*1,Summary!$C$8:$C$153,1,0)))),"Add account Number to Summary","")</f>
        <v/>
      </c>
      <c r="M1269" s="131" t="str">
        <f t="shared" si="20"/>
        <v/>
      </c>
      <c r="N1269" s="287">
        <f>IF(C1269="Sale",SUMIFS($D$4:D1269,$B$4:B1269,B1269,$C$4:C1269,"")+SUMIFS($D$4:D1269,$B$4:B1269,B1269,$C$4:C1269,"Purch")-SUMIFS($D$4:D1269,$B$4:B1269,B1269,$C$4:C1269,"Sale"),0)</f>
        <v>0</v>
      </c>
    </row>
    <row r="1270" spans="1:14" x14ac:dyDescent="0.2">
      <c r="A1270" s="152"/>
      <c r="B1270" s="132"/>
      <c r="C1270" s="132"/>
      <c r="D1270" s="277"/>
      <c r="E1270" s="132"/>
      <c r="F1270" s="170"/>
      <c r="G1270" s="150"/>
      <c r="H1270" s="152"/>
      <c r="I1270" s="204"/>
      <c r="J1270" s="285"/>
      <c r="K1270" s="251"/>
      <c r="L1270" s="133" t="str">
        <f>IF(AND(I1270&lt;&gt;"",ISERROR(IF(ISERROR(VLOOKUP(I1270*1,Summary!$C$8:$C$153,1,0)),VLOOKUP(I1270,Summary!$C$8:$C$153,1,0),VLOOKUP(I1270*1,Summary!$C$8:$C$153,1,0)))),"Add account Number to Summary","")</f>
        <v/>
      </c>
      <c r="M1270" s="131" t="str">
        <f t="shared" si="20"/>
        <v/>
      </c>
      <c r="N1270" s="287">
        <f>IF(C1270="Sale",SUMIFS($D$4:D1270,$B$4:B1270,B1270,$C$4:C1270,"")+SUMIFS($D$4:D1270,$B$4:B1270,B1270,$C$4:C1270,"Purch")-SUMIFS($D$4:D1270,$B$4:B1270,B1270,$C$4:C1270,"Sale"),0)</f>
        <v>0</v>
      </c>
    </row>
    <row r="1271" spans="1:14" x14ac:dyDescent="0.2">
      <c r="A1271" s="152"/>
      <c r="B1271" s="132"/>
      <c r="C1271" s="132"/>
      <c r="D1271" s="277"/>
      <c r="E1271" s="132"/>
      <c r="F1271" s="170"/>
      <c r="G1271" s="150"/>
      <c r="H1271" s="152"/>
      <c r="I1271" s="204"/>
      <c r="J1271" s="285"/>
      <c r="K1271" s="251"/>
      <c r="L1271" s="133" t="str">
        <f>IF(AND(I1271&lt;&gt;"",ISERROR(IF(ISERROR(VLOOKUP(I1271*1,Summary!$C$8:$C$153,1,0)),VLOOKUP(I1271,Summary!$C$8:$C$153,1,0),VLOOKUP(I1271*1,Summary!$C$8:$C$153,1,0)))),"Add account Number to Summary","")</f>
        <v/>
      </c>
      <c r="M1271" s="131" t="str">
        <f t="shared" si="20"/>
        <v/>
      </c>
      <c r="N1271" s="287">
        <f>IF(C1271="Sale",SUMIFS($D$4:D1271,$B$4:B1271,B1271,$C$4:C1271,"")+SUMIFS($D$4:D1271,$B$4:B1271,B1271,$C$4:C1271,"Purch")-SUMIFS($D$4:D1271,$B$4:B1271,B1271,$C$4:C1271,"Sale"),0)</f>
        <v>0</v>
      </c>
    </row>
    <row r="1272" spans="1:14" x14ac:dyDescent="0.2">
      <c r="A1272" s="152"/>
      <c r="B1272" s="132"/>
      <c r="C1272" s="132"/>
      <c r="D1272" s="277"/>
      <c r="E1272" s="132"/>
      <c r="F1272" s="170"/>
      <c r="G1272" s="150"/>
      <c r="H1272" s="152"/>
      <c r="I1272" s="204"/>
      <c r="J1272" s="285"/>
      <c r="K1272" s="251"/>
      <c r="L1272" s="133" t="str">
        <f>IF(AND(I1272&lt;&gt;"",ISERROR(IF(ISERROR(VLOOKUP(I1272*1,Summary!$C$8:$C$153,1,0)),VLOOKUP(I1272,Summary!$C$8:$C$153,1,0),VLOOKUP(I1272*1,Summary!$C$8:$C$153,1,0)))),"Add account Number to Summary","")</f>
        <v/>
      </c>
      <c r="M1272" s="131" t="str">
        <f t="shared" si="20"/>
        <v/>
      </c>
      <c r="N1272" s="287">
        <f>IF(C1272="Sale",SUMIFS($D$4:D1272,$B$4:B1272,B1272,$C$4:C1272,"")+SUMIFS($D$4:D1272,$B$4:B1272,B1272,$C$4:C1272,"Purch")-SUMIFS($D$4:D1272,$B$4:B1272,B1272,$C$4:C1272,"Sale"),0)</f>
        <v>0</v>
      </c>
    </row>
    <row r="1273" spans="1:14" x14ac:dyDescent="0.2">
      <c r="A1273" s="152"/>
      <c r="B1273" s="132"/>
      <c r="C1273" s="132"/>
      <c r="D1273" s="277"/>
      <c r="E1273" s="132"/>
      <c r="F1273" s="170"/>
      <c r="G1273" s="150"/>
      <c r="H1273" s="152"/>
      <c r="I1273" s="204"/>
      <c r="J1273" s="285"/>
      <c r="K1273" s="251"/>
      <c r="L1273" s="133" t="str">
        <f>IF(AND(I1273&lt;&gt;"",ISERROR(IF(ISERROR(VLOOKUP(I1273*1,Summary!$C$8:$C$153,1,0)),VLOOKUP(I1273,Summary!$C$8:$C$153,1,0),VLOOKUP(I1273*1,Summary!$C$8:$C$153,1,0)))),"Add account Number to Summary","")</f>
        <v/>
      </c>
      <c r="M1273" s="131" t="str">
        <f t="shared" si="20"/>
        <v/>
      </c>
      <c r="N1273" s="287">
        <f>IF(C1273="Sale",SUMIFS($D$4:D1273,$B$4:B1273,B1273,$C$4:C1273,"")+SUMIFS($D$4:D1273,$B$4:B1273,B1273,$C$4:C1273,"Purch")-SUMIFS($D$4:D1273,$B$4:B1273,B1273,$C$4:C1273,"Sale"),0)</f>
        <v>0</v>
      </c>
    </row>
    <row r="1274" spans="1:14" x14ac:dyDescent="0.2">
      <c r="A1274" s="152"/>
      <c r="B1274" s="132"/>
      <c r="C1274" s="132"/>
      <c r="D1274" s="277"/>
      <c r="E1274" s="132"/>
      <c r="F1274" s="170"/>
      <c r="G1274" s="150"/>
      <c r="H1274" s="152"/>
      <c r="I1274" s="204"/>
      <c r="J1274" s="285"/>
      <c r="K1274" s="251"/>
      <c r="L1274" s="133" t="str">
        <f>IF(AND(I1274&lt;&gt;"",ISERROR(IF(ISERROR(VLOOKUP(I1274*1,Summary!$C$8:$C$153,1,0)),VLOOKUP(I1274,Summary!$C$8:$C$153,1,0),VLOOKUP(I1274*1,Summary!$C$8:$C$153,1,0)))),"Add account Number to Summary","")</f>
        <v/>
      </c>
      <c r="M1274" s="131" t="str">
        <f t="shared" si="20"/>
        <v/>
      </c>
      <c r="N1274" s="287">
        <f>IF(C1274="Sale",SUMIFS($D$4:D1274,$B$4:B1274,B1274,$C$4:C1274,"")+SUMIFS($D$4:D1274,$B$4:B1274,B1274,$C$4:C1274,"Purch")-SUMIFS($D$4:D1274,$B$4:B1274,B1274,$C$4:C1274,"Sale"),0)</f>
        <v>0</v>
      </c>
    </row>
    <row r="1275" spans="1:14" x14ac:dyDescent="0.2">
      <c r="A1275" s="152"/>
      <c r="B1275" s="132"/>
      <c r="C1275" s="132"/>
      <c r="D1275" s="277"/>
      <c r="E1275" s="132"/>
      <c r="F1275" s="170"/>
      <c r="G1275" s="150"/>
      <c r="H1275" s="152"/>
      <c r="I1275" s="204"/>
      <c r="J1275" s="285"/>
      <c r="K1275" s="251"/>
      <c r="L1275" s="133" t="str">
        <f>IF(AND(I1275&lt;&gt;"",ISERROR(IF(ISERROR(VLOOKUP(I1275*1,Summary!$C$8:$C$153,1,0)),VLOOKUP(I1275,Summary!$C$8:$C$153,1,0),VLOOKUP(I1275*1,Summary!$C$8:$C$153,1,0)))),"Add account Number to Summary","")</f>
        <v/>
      </c>
      <c r="M1275" s="131" t="str">
        <f t="shared" si="20"/>
        <v/>
      </c>
      <c r="N1275" s="287">
        <f>IF(C1275="Sale",SUMIFS($D$4:D1275,$B$4:B1275,B1275,$C$4:C1275,"")+SUMIFS($D$4:D1275,$B$4:B1275,B1275,$C$4:C1275,"Purch")-SUMIFS($D$4:D1275,$B$4:B1275,B1275,$C$4:C1275,"Sale"),0)</f>
        <v>0</v>
      </c>
    </row>
    <row r="1276" spans="1:14" x14ac:dyDescent="0.2">
      <c r="A1276" s="152"/>
      <c r="B1276" s="132"/>
      <c r="C1276" s="132"/>
      <c r="D1276" s="277"/>
      <c r="E1276" s="132"/>
      <c r="F1276" s="170"/>
      <c r="G1276" s="150"/>
      <c r="H1276" s="152"/>
      <c r="I1276" s="204"/>
      <c r="J1276" s="285"/>
      <c r="K1276" s="251"/>
      <c r="L1276" s="133" t="str">
        <f>IF(AND(I1276&lt;&gt;"",ISERROR(IF(ISERROR(VLOOKUP(I1276*1,Summary!$C$8:$C$153,1,0)),VLOOKUP(I1276,Summary!$C$8:$C$153,1,0),VLOOKUP(I1276*1,Summary!$C$8:$C$153,1,0)))),"Add account Number to Summary","")</f>
        <v/>
      </c>
      <c r="M1276" s="131" t="str">
        <f t="shared" si="20"/>
        <v/>
      </c>
      <c r="N1276" s="287">
        <f>IF(C1276="Sale",SUMIFS($D$4:D1276,$B$4:B1276,B1276,$C$4:C1276,"")+SUMIFS($D$4:D1276,$B$4:B1276,B1276,$C$4:C1276,"Purch")-SUMIFS($D$4:D1276,$B$4:B1276,B1276,$C$4:C1276,"Sale"),0)</f>
        <v>0</v>
      </c>
    </row>
    <row r="1277" spans="1:14" x14ac:dyDescent="0.2">
      <c r="A1277" s="152"/>
      <c r="B1277" s="132"/>
      <c r="C1277" s="132"/>
      <c r="D1277" s="277"/>
      <c r="E1277" s="132"/>
      <c r="F1277" s="170"/>
      <c r="G1277" s="150"/>
      <c r="H1277" s="152"/>
      <c r="I1277" s="204"/>
      <c r="J1277" s="285"/>
      <c r="K1277" s="251"/>
      <c r="L1277" s="133" t="str">
        <f>IF(AND(I1277&lt;&gt;"",ISERROR(IF(ISERROR(VLOOKUP(I1277*1,Summary!$C$8:$C$153,1,0)),VLOOKUP(I1277,Summary!$C$8:$C$153,1,0),VLOOKUP(I1277*1,Summary!$C$8:$C$153,1,0)))),"Add account Number to Summary","")</f>
        <v/>
      </c>
      <c r="M1277" s="131" t="str">
        <f t="shared" si="20"/>
        <v/>
      </c>
      <c r="N1277" s="287">
        <f>IF(C1277="Sale",SUMIFS($D$4:D1277,$B$4:B1277,B1277,$C$4:C1277,"")+SUMIFS($D$4:D1277,$B$4:B1277,B1277,$C$4:C1277,"Purch")-SUMIFS($D$4:D1277,$B$4:B1277,B1277,$C$4:C1277,"Sale"),0)</f>
        <v>0</v>
      </c>
    </row>
    <row r="1278" spans="1:14" x14ac:dyDescent="0.2">
      <c r="A1278" s="152"/>
      <c r="B1278" s="132"/>
      <c r="C1278" s="132"/>
      <c r="D1278" s="277"/>
      <c r="E1278" s="132"/>
      <c r="F1278" s="170"/>
      <c r="G1278" s="150"/>
      <c r="H1278" s="152"/>
      <c r="I1278" s="204"/>
      <c r="J1278" s="285"/>
      <c r="K1278" s="251"/>
      <c r="L1278" s="133" t="str">
        <f>IF(AND(I1278&lt;&gt;"",ISERROR(IF(ISERROR(VLOOKUP(I1278*1,Summary!$C$8:$C$153,1,0)),VLOOKUP(I1278,Summary!$C$8:$C$153,1,0),VLOOKUP(I1278*1,Summary!$C$8:$C$153,1,0)))),"Add account Number to Summary","")</f>
        <v/>
      </c>
      <c r="M1278" s="131" t="str">
        <f t="shared" si="20"/>
        <v/>
      </c>
      <c r="N1278" s="287">
        <f>IF(C1278="Sale",SUMIFS($D$4:D1278,$B$4:B1278,B1278,$C$4:C1278,"")+SUMIFS($D$4:D1278,$B$4:B1278,B1278,$C$4:C1278,"Purch")-SUMIFS($D$4:D1278,$B$4:B1278,B1278,$C$4:C1278,"Sale"),0)</f>
        <v>0</v>
      </c>
    </row>
    <row r="1279" spans="1:14" x14ac:dyDescent="0.2">
      <c r="A1279" s="152"/>
      <c r="B1279" s="132"/>
      <c r="C1279" s="132"/>
      <c r="D1279" s="277"/>
      <c r="E1279" s="132"/>
      <c r="F1279" s="170"/>
      <c r="G1279" s="150"/>
      <c r="H1279" s="152"/>
      <c r="I1279" s="204"/>
      <c r="J1279" s="285"/>
      <c r="K1279" s="251"/>
      <c r="L1279" s="133" t="str">
        <f>IF(AND(I1279&lt;&gt;"",ISERROR(IF(ISERROR(VLOOKUP(I1279*1,Summary!$C$8:$C$153,1,0)),VLOOKUP(I1279,Summary!$C$8:$C$153,1,0),VLOOKUP(I1279*1,Summary!$C$8:$C$153,1,0)))),"Add account Number to Summary","")</f>
        <v/>
      </c>
      <c r="M1279" s="131" t="str">
        <f t="shared" si="20"/>
        <v/>
      </c>
      <c r="N1279" s="287">
        <f>IF(C1279="Sale",SUMIFS($D$4:D1279,$B$4:B1279,B1279,$C$4:C1279,"")+SUMIFS($D$4:D1279,$B$4:B1279,B1279,$C$4:C1279,"Purch")-SUMIFS($D$4:D1279,$B$4:B1279,B1279,$C$4:C1279,"Sale"),0)</f>
        <v>0</v>
      </c>
    </row>
    <row r="1280" spans="1:14" x14ac:dyDescent="0.2">
      <c r="A1280" s="152"/>
      <c r="B1280" s="132"/>
      <c r="C1280" s="132"/>
      <c r="D1280" s="277"/>
      <c r="E1280" s="132"/>
      <c r="F1280" s="170"/>
      <c r="G1280" s="150"/>
      <c r="H1280" s="152"/>
      <c r="I1280" s="204"/>
      <c r="J1280" s="285"/>
      <c r="K1280" s="251"/>
      <c r="L1280" s="133" t="str">
        <f>IF(AND(I1280&lt;&gt;"",ISERROR(IF(ISERROR(VLOOKUP(I1280*1,Summary!$C$8:$C$153,1,0)),VLOOKUP(I1280,Summary!$C$8:$C$153,1,0),VLOOKUP(I1280*1,Summary!$C$8:$C$153,1,0)))),"Add account Number to Summary","")</f>
        <v/>
      </c>
      <c r="M1280" s="131" t="str">
        <f t="shared" si="20"/>
        <v/>
      </c>
      <c r="N1280" s="287">
        <f>IF(C1280="Sale",SUMIFS($D$4:D1280,$B$4:B1280,B1280,$C$4:C1280,"")+SUMIFS($D$4:D1280,$B$4:B1280,B1280,$C$4:C1280,"Purch")-SUMIFS($D$4:D1280,$B$4:B1280,B1280,$C$4:C1280,"Sale"),0)</f>
        <v>0</v>
      </c>
    </row>
    <row r="1281" spans="1:14" x14ac:dyDescent="0.2">
      <c r="A1281" s="152"/>
      <c r="B1281" s="132"/>
      <c r="C1281" s="132"/>
      <c r="D1281" s="277"/>
      <c r="E1281" s="132"/>
      <c r="F1281" s="170"/>
      <c r="G1281" s="150"/>
      <c r="H1281" s="152"/>
      <c r="I1281" s="204"/>
      <c r="J1281" s="285"/>
      <c r="K1281" s="251"/>
      <c r="L1281" s="133" t="str">
        <f>IF(AND(I1281&lt;&gt;"",ISERROR(IF(ISERROR(VLOOKUP(I1281*1,Summary!$C$8:$C$153,1,0)),VLOOKUP(I1281,Summary!$C$8:$C$153,1,0),VLOOKUP(I1281*1,Summary!$C$8:$C$153,1,0)))),"Add account Number to Summary","")</f>
        <v/>
      </c>
      <c r="M1281" s="131" t="str">
        <f t="shared" si="20"/>
        <v/>
      </c>
      <c r="N1281" s="287">
        <f>IF(C1281="Sale",SUMIFS($D$4:D1281,$B$4:B1281,B1281,$C$4:C1281,"")+SUMIFS($D$4:D1281,$B$4:B1281,B1281,$C$4:C1281,"Purch")-SUMIFS($D$4:D1281,$B$4:B1281,B1281,$C$4:C1281,"Sale"),0)</f>
        <v>0</v>
      </c>
    </row>
    <row r="1282" spans="1:14" x14ac:dyDescent="0.2">
      <c r="A1282" s="152"/>
      <c r="B1282" s="132"/>
      <c r="C1282" s="132"/>
      <c r="D1282" s="277"/>
      <c r="E1282" s="132"/>
      <c r="F1282" s="170"/>
      <c r="G1282" s="150"/>
      <c r="H1282" s="152"/>
      <c r="I1282" s="204"/>
      <c r="J1282" s="285"/>
      <c r="K1282" s="251"/>
      <c r="L1282" s="133" t="str">
        <f>IF(AND(I1282&lt;&gt;"",ISERROR(IF(ISERROR(VLOOKUP(I1282*1,Summary!$C$8:$C$153,1,0)),VLOOKUP(I1282,Summary!$C$8:$C$153,1,0),VLOOKUP(I1282*1,Summary!$C$8:$C$153,1,0)))),"Add account Number to Summary","")</f>
        <v/>
      </c>
      <c r="M1282" s="131" t="str">
        <f t="shared" si="20"/>
        <v/>
      </c>
      <c r="N1282" s="287">
        <f>IF(C1282="Sale",SUMIFS($D$4:D1282,$B$4:B1282,B1282,$C$4:C1282,"")+SUMIFS($D$4:D1282,$B$4:B1282,B1282,$C$4:C1282,"Purch")-SUMIFS($D$4:D1282,$B$4:B1282,B1282,$C$4:C1282,"Sale"),0)</f>
        <v>0</v>
      </c>
    </row>
    <row r="1283" spans="1:14" x14ac:dyDescent="0.2">
      <c r="A1283" s="152"/>
      <c r="B1283" s="132"/>
      <c r="C1283" s="132"/>
      <c r="D1283" s="277"/>
      <c r="E1283" s="132"/>
      <c r="F1283" s="170"/>
      <c r="G1283" s="150"/>
      <c r="H1283" s="152"/>
      <c r="I1283" s="204"/>
      <c r="J1283" s="285"/>
      <c r="K1283" s="251"/>
      <c r="L1283" s="133" t="str">
        <f>IF(AND(I1283&lt;&gt;"",ISERROR(IF(ISERROR(VLOOKUP(I1283*1,Summary!$C$8:$C$153,1,0)),VLOOKUP(I1283,Summary!$C$8:$C$153,1,0),VLOOKUP(I1283*1,Summary!$C$8:$C$153,1,0)))),"Add account Number to Summary","")</f>
        <v/>
      </c>
      <c r="M1283" s="131" t="str">
        <f t="shared" si="20"/>
        <v/>
      </c>
      <c r="N1283" s="287">
        <f>IF(C1283="Sale",SUMIFS($D$4:D1283,$B$4:B1283,B1283,$C$4:C1283,"")+SUMIFS($D$4:D1283,$B$4:B1283,B1283,$C$4:C1283,"Purch")-SUMIFS($D$4:D1283,$B$4:B1283,B1283,$C$4:C1283,"Sale"),0)</f>
        <v>0</v>
      </c>
    </row>
    <row r="1284" spans="1:14" x14ac:dyDescent="0.2">
      <c r="A1284" s="152"/>
      <c r="B1284" s="132"/>
      <c r="C1284" s="132"/>
      <c r="D1284" s="277"/>
      <c r="E1284" s="132"/>
      <c r="F1284" s="170"/>
      <c r="G1284" s="150"/>
      <c r="H1284" s="152"/>
      <c r="I1284" s="204"/>
      <c r="J1284" s="285"/>
      <c r="K1284" s="251"/>
      <c r="L1284" s="133" t="str">
        <f>IF(AND(I1284&lt;&gt;"",ISERROR(IF(ISERROR(VLOOKUP(I1284*1,Summary!$C$8:$C$153,1,0)),VLOOKUP(I1284,Summary!$C$8:$C$153,1,0),VLOOKUP(I1284*1,Summary!$C$8:$C$153,1,0)))),"Add account Number to Summary","")</f>
        <v/>
      </c>
      <c r="M1284" s="131" t="str">
        <f t="shared" si="20"/>
        <v/>
      </c>
      <c r="N1284" s="287">
        <f>IF(C1284="Sale",SUMIFS($D$4:D1284,$B$4:B1284,B1284,$C$4:C1284,"")+SUMIFS($D$4:D1284,$B$4:B1284,B1284,$C$4:C1284,"Purch")-SUMIFS($D$4:D1284,$B$4:B1284,B1284,$C$4:C1284,"Sale"),0)</f>
        <v>0</v>
      </c>
    </row>
    <row r="1285" spans="1:14" x14ac:dyDescent="0.2">
      <c r="A1285" s="152"/>
      <c r="B1285" s="132"/>
      <c r="C1285" s="132"/>
      <c r="D1285" s="277"/>
      <c r="E1285" s="132"/>
      <c r="F1285" s="170"/>
      <c r="G1285" s="150"/>
      <c r="H1285" s="152"/>
      <c r="I1285" s="204"/>
      <c r="J1285" s="285"/>
      <c r="K1285" s="251"/>
      <c r="L1285" s="133" t="str">
        <f>IF(AND(I1285&lt;&gt;"",ISERROR(IF(ISERROR(VLOOKUP(I1285*1,Summary!$C$8:$C$153,1,0)),VLOOKUP(I1285,Summary!$C$8:$C$153,1,0),VLOOKUP(I1285*1,Summary!$C$8:$C$153,1,0)))),"Add account Number to Summary","")</f>
        <v/>
      </c>
      <c r="M1285" s="131" t="str">
        <f t="shared" si="20"/>
        <v/>
      </c>
      <c r="N1285" s="287">
        <f>IF(C1285="Sale",SUMIFS($D$4:D1285,$B$4:B1285,B1285,$C$4:C1285,"")+SUMIFS($D$4:D1285,$B$4:B1285,B1285,$C$4:C1285,"Purch")-SUMIFS($D$4:D1285,$B$4:B1285,B1285,$C$4:C1285,"Sale"),0)</f>
        <v>0</v>
      </c>
    </row>
    <row r="1286" spans="1:14" x14ac:dyDescent="0.2">
      <c r="A1286" s="152"/>
      <c r="B1286" s="132"/>
      <c r="C1286" s="132"/>
      <c r="D1286" s="277"/>
      <c r="E1286" s="132"/>
      <c r="F1286" s="170"/>
      <c r="G1286" s="150"/>
      <c r="H1286" s="152"/>
      <c r="I1286" s="204"/>
      <c r="J1286" s="285"/>
      <c r="K1286" s="251"/>
      <c r="L1286" s="133" t="str">
        <f>IF(AND(I1286&lt;&gt;"",ISERROR(IF(ISERROR(VLOOKUP(I1286*1,Summary!$C$8:$C$153,1,0)),VLOOKUP(I1286,Summary!$C$8:$C$153,1,0),VLOOKUP(I1286*1,Summary!$C$8:$C$153,1,0)))),"Add account Number to Summary","")</f>
        <v/>
      </c>
      <c r="M1286" s="131" t="str">
        <f t="shared" si="20"/>
        <v/>
      </c>
      <c r="N1286" s="287">
        <f>IF(C1286="Sale",SUMIFS($D$4:D1286,$B$4:B1286,B1286,$C$4:C1286,"")+SUMIFS($D$4:D1286,$B$4:B1286,B1286,$C$4:C1286,"Purch")-SUMIFS($D$4:D1286,$B$4:B1286,B1286,$C$4:C1286,"Sale"),0)</f>
        <v>0</v>
      </c>
    </row>
    <row r="1287" spans="1:14" x14ac:dyDescent="0.2">
      <c r="A1287" s="152"/>
      <c r="B1287" s="132"/>
      <c r="C1287" s="132"/>
      <c r="D1287" s="277"/>
      <c r="E1287" s="132"/>
      <c r="F1287" s="170"/>
      <c r="G1287" s="150"/>
      <c r="H1287" s="152"/>
      <c r="I1287" s="204"/>
      <c r="J1287" s="285"/>
      <c r="K1287" s="251"/>
      <c r="L1287" s="133" t="str">
        <f>IF(AND(I1287&lt;&gt;"",ISERROR(IF(ISERROR(VLOOKUP(I1287*1,Summary!$C$8:$C$153,1,0)),VLOOKUP(I1287,Summary!$C$8:$C$153,1,0),VLOOKUP(I1287*1,Summary!$C$8:$C$153,1,0)))),"Add account Number to Summary","")</f>
        <v/>
      </c>
      <c r="M1287" s="131" t="str">
        <f t="shared" si="20"/>
        <v/>
      </c>
      <c r="N1287" s="287">
        <f>IF(C1287="Sale",SUMIFS($D$4:D1287,$B$4:B1287,B1287,$C$4:C1287,"")+SUMIFS($D$4:D1287,$B$4:B1287,B1287,$C$4:C1287,"Purch")-SUMIFS($D$4:D1287,$B$4:B1287,B1287,$C$4:C1287,"Sale"),0)</f>
        <v>0</v>
      </c>
    </row>
    <row r="1288" spans="1:14" x14ac:dyDescent="0.2">
      <c r="A1288" s="152"/>
      <c r="B1288" s="132"/>
      <c r="C1288" s="132"/>
      <c r="D1288" s="277"/>
      <c r="E1288" s="132"/>
      <c r="F1288" s="170"/>
      <c r="G1288" s="150"/>
      <c r="H1288" s="152"/>
      <c r="I1288" s="204"/>
      <c r="J1288" s="285"/>
      <c r="K1288" s="251"/>
      <c r="L1288" s="133" t="str">
        <f>IF(AND(I1288&lt;&gt;"",ISERROR(IF(ISERROR(VLOOKUP(I1288*1,Summary!$C$8:$C$153,1,0)),VLOOKUP(I1288,Summary!$C$8:$C$153,1,0),VLOOKUP(I1288*1,Summary!$C$8:$C$153,1,0)))),"Add account Number to Summary","")</f>
        <v/>
      </c>
      <c r="M1288" s="131" t="str">
        <f t="shared" si="20"/>
        <v/>
      </c>
      <c r="N1288" s="287">
        <f>IF(C1288="Sale",SUMIFS($D$4:D1288,$B$4:B1288,B1288,$C$4:C1288,"")+SUMIFS($D$4:D1288,$B$4:B1288,B1288,$C$4:C1288,"Purch")-SUMIFS($D$4:D1288,$B$4:B1288,B1288,$C$4:C1288,"Sale"),0)</f>
        <v>0</v>
      </c>
    </row>
    <row r="1289" spans="1:14" x14ac:dyDescent="0.2">
      <c r="A1289" s="152"/>
      <c r="B1289" s="132"/>
      <c r="C1289" s="132"/>
      <c r="D1289" s="277"/>
      <c r="E1289" s="132"/>
      <c r="F1289" s="170"/>
      <c r="G1289" s="150"/>
      <c r="H1289" s="152"/>
      <c r="I1289" s="204"/>
      <c r="J1289" s="285"/>
      <c r="K1289" s="251"/>
      <c r="L1289" s="133" t="str">
        <f>IF(AND(I1289&lt;&gt;"",ISERROR(IF(ISERROR(VLOOKUP(I1289*1,Summary!$C$8:$C$153,1,0)),VLOOKUP(I1289,Summary!$C$8:$C$153,1,0),VLOOKUP(I1289*1,Summary!$C$8:$C$153,1,0)))),"Add account Number to Summary","")</f>
        <v/>
      </c>
      <c r="M1289" s="131" t="str">
        <f t="shared" si="20"/>
        <v/>
      </c>
      <c r="N1289" s="287">
        <f>IF(C1289="Sale",SUMIFS($D$4:D1289,$B$4:B1289,B1289,$C$4:C1289,"")+SUMIFS($D$4:D1289,$B$4:B1289,B1289,$C$4:C1289,"Purch")-SUMIFS($D$4:D1289,$B$4:B1289,B1289,$C$4:C1289,"Sale"),0)</f>
        <v>0</v>
      </c>
    </row>
    <row r="1290" spans="1:14" x14ac:dyDescent="0.2">
      <c r="A1290" s="152"/>
      <c r="B1290" s="132"/>
      <c r="C1290" s="132"/>
      <c r="D1290" s="277"/>
      <c r="E1290" s="132"/>
      <c r="F1290" s="170"/>
      <c r="G1290" s="150"/>
      <c r="H1290" s="152"/>
      <c r="I1290" s="204"/>
      <c r="J1290" s="285"/>
      <c r="K1290" s="251"/>
      <c r="L1290" s="133" t="str">
        <f>IF(AND(I1290&lt;&gt;"",ISERROR(IF(ISERROR(VLOOKUP(I1290*1,Summary!$C$8:$C$153,1,0)),VLOOKUP(I1290,Summary!$C$8:$C$153,1,0),VLOOKUP(I1290*1,Summary!$C$8:$C$153,1,0)))),"Add account Number to Summary","")</f>
        <v/>
      </c>
      <c r="M1290" s="131" t="str">
        <f t="shared" si="20"/>
        <v/>
      </c>
      <c r="N1290" s="287">
        <f>IF(C1290="Sale",SUMIFS($D$4:D1290,$B$4:B1290,B1290,$C$4:C1290,"")+SUMIFS($D$4:D1290,$B$4:B1290,B1290,$C$4:C1290,"Purch")-SUMIFS($D$4:D1290,$B$4:B1290,B1290,$C$4:C1290,"Sale"),0)</f>
        <v>0</v>
      </c>
    </row>
    <row r="1291" spans="1:14" x14ac:dyDescent="0.2">
      <c r="A1291" s="152"/>
      <c r="B1291" s="132"/>
      <c r="C1291" s="132"/>
      <c r="D1291" s="277"/>
      <c r="E1291" s="132"/>
      <c r="F1291" s="170"/>
      <c r="G1291" s="150"/>
      <c r="H1291" s="152"/>
      <c r="I1291" s="204"/>
      <c r="J1291" s="285"/>
      <c r="K1291" s="251"/>
      <c r="L1291" s="133" t="str">
        <f>IF(AND(I1291&lt;&gt;"",ISERROR(IF(ISERROR(VLOOKUP(I1291*1,Summary!$C$8:$C$153,1,0)),VLOOKUP(I1291,Summary!$C$8:$C$153,1,0),VLOOKUP(I1291*1,Summary!$C$8:$C$153,1,0)))),"Add account Number to Summary","")</f>
        <v/>
      </c>
      <c r="M1291" s="131" t="str">
        <f t="shared" si="20"/>
        <v/>
      </c>
      <c r="N1291" s="287">
        <f>IF(C1291="Sale",SUMIFS($D$4:D1291,$B$4:B1291,B1291,$C$4:C1291,"")+SUMIFS($D$4:D1291,$B$4:B1291,B1291,$C$4:C1291,"Purch")-SUMIFS($D$4:D1291,$B$4:B1291,B1291,$C$4:C1291,"Sale"),0)</f>
        <v>0</v>
      </c>
    </row>
    <row r="1292" spans="1:14" x14ac:dyDescent="0.2">
      <c r="A1292" s="152"/>
      <c r="B1292" s="132"/>
      <c r="C1292" s="132"/>
      <c r="D1292" s="277"/>
      <c r="E1292" s="132"/>
      <c r="F1292" s="170"/>
      <c r="G1292" s="150"/>
      <c r="H1292" s="152"/>
      <c r="I1292" s="204"/>
      <c r="J1292" s="285"/>
      <c r="K1292" s="251"/>
      <c r="L1292" s="133" t="str">
        <f>IF(AND(I1292&lt;&gt;"",ISERROR(IF(ISERROR(VLOOKUP(I1292*1,Summary!$C$8:$C$153,1,0)),VLOOKUP(I1292,Summary!$C$8:$C$153,1,0),VLOOKUP(I1292*1,Summary!$C$8:$C$153,1,0)))),"Add account Number to Summary","")</f>
        <v/>
      </c>
      <c r="M1292" s="131" t="str">
        <f t="shared" si="20"/>
        <v/>
      </c>
      <c r="N1292" s="287">
        <f>IF(C1292="Sale",SUMIFS($D$4:D1292,$B$4:B1292,B1292,$C$4:C1292,"")+SUMIFS($D$4:D1292,$B$4:B1292,B1292,$C$4:C1292,"Purch")-SUMIFS($D$4:D1292,$B$4:B1292,B1292,$C$4:C1292,"Sale"),0)</f>
        <v>0</v>
      </c>
    </row>
    <row r="1293" spans="1:14" x14ac:dyDescent="0.2">
      <c r="A1293" s="152"/>
      <c r="B1293" s="132"/>
      <c r="C1293" s="132"/>
      <c r="D1293" s="277"/>
      <c r="E1293" s="132"/>
      <c r="F1293" s="170"/>
      <c r="G1293" s="150"/>
      <c r="H1293" s="152"/>
      <c r="I1293" s="204"/>
      <c r="J1293" s="285"/>
      <c r="K1293" s="251"/>
      <c r="L1293" s="133" t="str">
        <f>IF(AND(I1293&lt;&gt;"",ISERROR(IF(ISERROR(VLOOKUP(I1293*1,Summary!$C$8:$C$153,1,0)),VLOOKUP(I1293,Summary!$C$8:$C$153,1,0),VLOOKUP(I1293*1,Summary!$C$8:$C$153,1,0)))),"Add account Number to Summary","")</f>
        <v/>
      </c>
      <c r="M1293" s="131" t="str">
        <f t="shared" si="20"/>
        <v/>
      </c>
      <c r="N1293" s="287">
        <f>IF(C1293="Sale",SUMIFS($D$4:D1293,$B$4:B1293,B1293,$C$4:C1293,"")+SUMIFS($D$4:D1293,$B$4:B1293,B1293,$C$4:C1293,"Purch")-SUMIFS($D$4:D1293,$B$4:B1293,B1293,$C$4:C1293,"Sale"),0)</f>
        <v>0</v>
      </c>
    </row>
    <row r="1294" spans="1:14" x14ac:dyDescent="0.2">
      <c r="A1294" s="152"/>
      <c r="B1294" s="132"/>
      <c r="C1294" s="132"/>
      <c r="D1294" s="277"/>
      <c r="E1294" s="132"/>
      <c r="F1294" s="170"/>
      <c r="G1294" s="150"/>
      <c r="H1294" s="152"/>
      <c r="I1294" s="204"/>
      <c r="J1294" s="285"/>
      <c r="K1294" s="251"/>
      <c r="L1294" s="133" t="str">
        <f>IF(AND(I1294&lt;&gt;"",ISERROR(IF(ISERROR(VLOOKUP(I1294*1,Summary!$C$8:$C$153,1,0)),VLOOKUP(I1294,Summary!$C$8:$C$153,1,0),VLOOKUP(I1294*1,Summary!$C$8:$C$153,1,0)))),"Add account Number to Summary","")</f>
        <v/>
      </c>
      <c r="M1294" s="131" t="str">
        <f t="shared" si="20"/>
        <v/>
      </c>
      <c r="N1294" s="287">
        <f>IF(C1294="Sale",SUMIFS($D$4:D1294,$B$4:B1294,B1294,$C$4:C1294,"")+SUMIFS($D$4:D1294,$B$4:B1294,B1294,$C$4:C1294,"Purch")-SUMIFS($D$4:D1294,$B$4:B1294,B1294,$C$4:C1294,"Sale"),0)</f>
        <v>0</v>
      </c>
    </row>
    <row r="1295" spans="1:14" x14ac:dyDescent="0.2">
      <c r="A1295" s="152"/>
      <c r="B1295" s="132"/>
      <c r="C1295" s="132"/>
      <c r="D1295" s="277"/>
      <c r="E1295" s="132"/>
      <c r="F1295" s="170"/>
      <c r="G1295" s="150"/>
      <c r="H1295" s="152"/>
      <c r="I1295" s="204"/>
      <c r="J1295" s="285"/>
      <c r="K1295" s="251"/>
      <c r="L1295" s="133" t="str">
        <f>IF(AND(I1295&lt;&gt;"",ISERROR(IF(ISERROR(VLOOKUP(I1295*1,Summary!$C$8:$C$153,1,0)),VLOOKUP(I1295,Summary!$C$8:$C$153,1,0),VLOOKUP(I1295*1,Summary!$C$8:$C$153,1,0)))),"Add account Number to Summary","")</f>
        <v/>
      </c>
      <c r="M1295" s="131" t="str">
        <f t="shared" si="20"/>
        <v/>
      </c>
      <c r="N1295" s="287">
        <f>IF(C1295="Sale",SUMIFS($D$4:D1295,$B$4:B1295,B1295,$C$4:C1295,"")+SUMIFS($D$4:D1295,$B$4:B1295,B1295,$C$4:C1295,"Purch")-SUMIFS($D$4:D1295,$B$4:B1295,B1295,$C$4:C1295,"Sale"),0)</f>
        <v>0</v>
      </c>
    </row>
    <row r="1296" spans="1:14" x14ac:dyDescent="0.2">
      <c r="A1296" s="152"/>
      <c r="B1296" s="132"/>
      <c r="C1296" s="132"/>
      <c r="D1296" s="277"/>
      <c r="E1296" s="132"/>
      <c r="F1296" s="170"/>
      <c r="G1296" s="150"/>
      <c r="H1296" s="152"/>
      <c r="I1296" s="204"/>
      <c r="J1296" s="285"/>
      <c r="K1296" s="251"/>
      <c r="L1296" s="133" t="str">
        <f>IF(AND(I1296&lt;&gt;"",ISERROR(IF(ISERROR(VLOOKUP(I1296*1,Summary!$C$8:$C$153,1,0)),VLOOKUP(I1296,Summary!$C$8:$C$153,1,0),VLOOKUP(I1296*1,Summary!$C$8:$C$153,1,0)))),"Add account Number to Summary","")</f>
        <v/>
      </c>
      <c r="M1296" s="131" t="str">
        <f t="shared" si="20"/>
        <v/>
      </c>
      <c r="N1296" s="287">
        <f>IF(C1296="Sale",SUMIFS($D$4:D1296,$B$4:B1296,B1296,$C$4:C1296,"")+SUMIFS($D$4:D1296,$B$4:B1296,B1296,$C$4:C1296,"Purch")-SUMIFS($D$4:D1296,$B$4:B1296,B1296,$C$4:C1296,"Sale"),0)</f>
        <v>0</v>
      </c>
    </row>
    <row r="1297" spans="1:14" x14ac:dyDescent="0.2">
      <c r="A1297" s="152"/>
      <c r="B1297" s="132"/>
      <c r="C1297" s="132"/>
      <c r="D1297" s="277"/>
      <c r="E1297" s="132"/>
      <c r="F1297" s="170"/>
      <c r="G1297" s="150"/>
      <c r="H1297" s="152"/>
      <c r="I1297" s="204"/>
      <c r="J1297" s="285"/>
      <c r="K1297" s="251"/>
      <c r="L1297" s="133" t="str">
        <f>IF(AND(I1297&lt;&gt;"",ISERROR(IF(ISERROR(VLOOKUP(I1297*1,Summary!$C$8:$C$153,1,0)),VLOOKUP(I1297,Summary!$C$8:$C$153,1,0),VLOOKUP(I1297*1,Summary!$C$8:$C$153,1,0)))),"Add account Number to Summary","")</f>
        <v/>
      </c>
      <c r="M1297" s="131" t="str">
        <f t="shared" si="20"/>
        <v/>
      </c>
      <c r="N1297" s="287">
        <f>IF(C1297="Sale",SUMIFS($D$4:D1297,$B$4:B1297,B1297,$C$4:C1297,"")+SUMIFS($D$4:D1297,$B$4:B1297,B1297,$C$4:C1297,"Purch")-SUMIFS($D$4:D1297,$B$4:B1297,B1297,$C$4:C1297,"Sale"),0)</f>
        <v>0</v>
      </c>
    </row>
    <row r="1298" spans="1:14" x14ac:dyDescent="0.2">
      <c r="A1298" s="152"/>
      <c r="B1298" s="132"/>
      <c r="C1298" s="132"/>
      <c r="D1298" s="277"/>
      <c r="E1298" s="132"/>
      <c r="F1298" s="170"/>
      <c r="G1298" s="150"/>
      <c r="H1298" s="152"/>
      <c r="I1298" s="204"/>
      <c r="J1298" s="285"/>
      <c r="K1298" s="251"/>
      <c r="L1298" s="133" t="str">
        <f>IF(AND(I1298&lt;&gt;"",ISERROR(IF(ISERROR(VLOOKUP(I1298*1,Summary!$C$8:$C$153,1,0)),VLOOKUP(I1298,Summary!$C$8:$C$153,1,0),VLOOKUP(I1298*1,Summary!$C$8:$C$153,1,0)))),"Add account Number to Summary","")</f>
        <v/>
      </c>
      <c r="M1298" s="131" t="str">
        <f t="shared" si="20"/>
        <v/>
      </c>
      <c r="N1298" s="287">
        <f>IF(C1298="Sale",SUMIFS($D$4:D1298,$B$4:B1298,B1298,$C$4:C1298,"")+SUMIFS($D$4:D1298,$B$4:B1298,B1298,$C$4:C1298,"Purch")-SUMIFS($D$4:D1298,$B$4:B1298,B1298,$C$4:C1298,"Sale"),0)</f>
        <v>0</v>
      </c>
    </row>
    <row r="1299" spans="1:14" x14ac:dyDescent="0.2">
      <c r="A1299" s="152"/>
      <c r="B1299" s="132"/>
      <c r="C1299" s="132"/>
      <c r="D1299" s="277"/>
      <c r="E1299" s="132"/>
      <c r="F1299" s="170"/>
      <c r="G1299" s="150"/>
      <c r="H1299" s="152"/>
      <c r="I1299" s="204"/>
      <c r="J1299" s="285"/>
      <c r="K1299" s="251"/>
      <c r="L1299" s="133" t="str">
        <f>IF(AND(I1299&lt;&gt;"",ISERROR(IF(ISERROR(VLOOKUP(I1299*1,Summary!$C$8:$C$153,1,0)),VLOOKUP(I1299,Summary!$C$8:$C$153,1,0),VLOOKUP(I1299*1,Summary!$C$8:$C$153,1,0)))),"Add account Number to Summary","")</f>
        <v/>
      </c>
      <c r="M1299" s="131" t="str">
        <f t="shared" si="20"/>
        <v/>
      </c>
      <c r="N1299" s="287">
        <f>IF(C1299="Sale",SUMIFS($D$4:D1299,$B$4:B1299,B1299,$C$4:C1299,"")+SUMIFS($D$4:D1299,$B$4:B1299,B1299,$C$4:C1299,"Purch")-SUMIFS($D$4:D1299,$B$4:B1299,B1299,$C$4:C1299,"Sale"),0)</f>
        <v>0</v>
      </c>
    </row>
    <row r="1300" spans="1:14" x14ac:dyDescent="0.2">
      <c r="A1300" s="152"/>
      <c r="B1300" s="132"/>
      <c r="C1300" s="132"/>
      <c r="D1300" s="277"/>
      <c r="E1300" s="132"/>
      <c r="F1300" s="170"/>
      <c r="G1300" s="150"/>
      <c r="H1300" s="152"/>
      <c r="I1300" s="204"/>
      <c r="J1300" s="285"/>
      <c r="K1300" s="251"/>
      <c r="L1300" s="133" t="str">
        <f>IF(AND(I1300&lt;&gt;"",ISERROR(IF(ISERROR(VLOOKUP(I1300*1,Summary!$C$8:$C$153,1,0)),VLOOKUP(I1300,Summary!$C$8:$C$153,1,0),VLOOKUP(I1300*1,Summary!$C$8:$C$153,1,0)))),"Add account Number to Summary","")</f>
        <v/>
      </c>
      <c r="M1300" s="131" t="str">
        <f t="shared" si="20"/>
        <v/>
      </c>
      <c r="N1300" s="287">
        <f>IF(C1300="Sale",SUMIFS($D$4:D1300,$B$4:B1300,B1300,$C$4:C1300,"")+SUMIFS($D$4:D1300,$B$4:B1300,B1300,$C$4:C1300,"Purch")-SUMIFS($D$4:D1300,$B$4:B1300,B1300,$C$4:C1300,"Sale"),0)</f>
        <v>0</v>
      </c>
    </row>
    <row r="1301" spans="1:14" x14ac:dyDescent="0.2">
      <c r="A1301" s="152"/>
      <c r="B1301" s="132"/>
      <c r="C1301" s="132"/>
      <c r="D1301" s="277"/>
      <c r="E1301" s="132"/>
      <c r="F1301" s="170"/>
      <c r="G1301" s="150"/>
      <c r="H1301" s="152"/>
      <c r="I1301" s="204"/>
      <c r="J1301" s="285"/>
      <c r="K1301" s="251"/>
      <c r="L1301" s="133" t="str">
        <f>IF(AND(I1301&lt;&gt;"",ISERROR(IF(ISERROR(VLOOKUP(I1301*1,Summary!$C$8:$C$153,1,0)),VLOOKUP(I1301,Summary!$C$8:$C$153,1,0),VLOOKUP(I1301*1,Summary!$C$8:$C$153,1,0)))),"Add account Number to Summary","")</f>
        <v/>
      </c>
      <c r="M1301" s="131" t="str">
        <f t="shared" si="20"/>
        <v/>
      </c>
      <c r="N1301" s="287">
        <f>IF(C1301="Sale",SUMIFS($D$4:D1301,$B$4:B1301,B1301,$C$4:C1301,"")+SUMIFS($D$4:D1301,$B$4:B1301,B1301,$C$4:C1301,"Purch")-SUMIFS($D$4:D1301,$B$4:B1301,B1301,$C$4:C1301,"Sale"),0)</f>
        <v>0</v>
      </c>
    </row>
    <row r="1302" spans="1:14" x14ac:dyDescent="0.2">
      <c r="A1302" s="152"/>
      <c r="B1302" s="132"/>
      <c r="C1302" s="132"/>
      <c r="D1302" s="277"/>
      <c r="E1302" s="132"/>
      <c r="F1302" s="170"/>
      <c r="G1302" s="150"/>
      <c r="H1302" s="152"/>
      <c r="I1302" s="204"/>
      <c r="J1302" s="285"/>
      <c r="K1302" s="251"/>
      <c r="L1302" s="133" t="str">
        <f>IF(AND(I1302&lt;&gt;"",ISERROR(IF(ISERROR(VLOOKUP(I1302*1,Summary!$C$8:$C$153,1,0)),VLOOKUP(I1302,Summary!$C$8:$C$153,1,0),VLOOKUP(I1302*1,Summary!$C$8:$C$153,1,0)))),"Add account Number to Summary","")</f>
        <v/>
      </c>
      <c r="M1302" s="131" t="str">
        <f t="shared" si="20"/>
        <v/>
      </c>
      <c r="N1302" s="287">
        <f>IF(C1302="Sale",SUMIFS($D$4:D1302,$B$4:B1302,B1302,$C$4:C1302,"")+SUMIFS($D$4:D1302,$B$4:B1302,B1302,$C$4:C1302,"Purch")-SUMIFS($D$4:D1302,$B$4:B1302,B1302,$C$4:C1302,"Sale"),0)</f>
        <v>0</v>
      </c>
    </row>
    <row r="1303" spans="1:14" x14ac:dyDescent="0.2">
      <c r="A1303" s="152"/>
      <c r="B1303" s="132"/>
      <c r="C1303" s="132"/>
      <c r="D1303" s="277"/>
      <c r="E1303" s="132"/>
      <c r="F1303" s="170"/>
      <c r="G1303" s="150"/>
      <c r="H1303" s="152"/>
      <c r="I1303" s="204"/>
      <c r="J1303" s="285"/>
      <c r="K1303" s="251"/>
      <c r="L1303" s="133" t="str">
        <f>IF(AND(I1303&lt;&gt;"",ISERROR(IF(ISERROR(VLOOKUP(I1303*1,Summary!$C$8:$C$153,1,0)),VLOOKUP(I1303,Summary!$C$8:$C$153,1,0),VLOOKUP(I1303*1,Summary!$C$8:$C$153,1,0)))),"Add account Number to Summary","")</f>
        <v/>
      </c>
      <c r="M1303" s="131" t="str">
        <f t="shared" si="20"/>
        <v/>
      </c>
      <c r="N1303" s="287">
        <f>IF(C1303="Sale",SUMIFS($D$4:D1303,$B$4:B1303,B1303,$C$4:C1303,"")+SUMIFS($D$4:D1303,$B$4:B1303,B1303,$C$4:C1303,"Purch")-SUMIFS($D$4:D1303,$B$4:B1303,B1303,$C$4:C1303,"Sale"),0)</f>
        <v>0</v>
      </c>
    </row>
    <row r="1304" spans="1:14" x14ac:dyDescent="0.2">
      <c r="A1304" s="152"/>
      <c r="B1304" s="132"/>
      <c r="C1304" s="132"/>
      <c r="D1304" s="277"/>
      <c r="E1304" s="132"/>
      <c r="F1304" s="170"/>
      <c r="G1304" s="150"/>
      <c r="H1304" s="152"/>
      <c r="I1304" s="204"/>
      <c r="J1304" s="285"/>
      <c r="K1304" s="251"/>
      <c r="L1304" s="133" t="str">
        <f>IF(AND(I1304&lt;&gt;"",ISERROR(IF(ISERROR(VLOOKUP(I1304*1,Summary!$C$8:$C$153,1,0)),VLOOKUP(I1304,Summary!$C$8:$C$153,1,0),VLOOKUP(I1304*1,Summary!$C$8:$C$153,1,0)))),"Add account Number to Summary","")</f>
        <v/>
      </c>
      <c r="M1304" s="131" t="str">
        <f t="shared" si="20"/>
        <v/>
      </c>
      <c r="N1304" s="287">
        <f>IF(C1304="Sale",SUMIFS($D$4:D1304,$B$4:B1304,B1304,$C$4:C1304,"")+SUMIFS($D$4:D1304,$B$4:B1304,B1304,$C$4:C1304,"Purch")-SUMIFS($D$4:D1304,$B$4:B1304,B1304,$C$4:C1304,"Sale"),0)</f>
        <v>0</v>
      </c>
    </row>
    <row r="1305" spans="1:14" x14ac:dyDescent="0.2">
      <c r="A1305" s="152"/>
      <c r="B1305" s="132"/>
      <c r="C1305" s="132"/>
      <c r="D1305" s="277"/>
      <c r="E1305" s="132"/>
      <c r="F1305" s="170"/>
      <c r="G1305" s="150"/>
      <c r="H1305" s="152"/>
      <c r="I1305" s="204"/>
      <c r="J1305" s="285"/>
      <c r="K1305" s="251"/>
      <c r="L1305" s="133" t="str">
        <f>IF(AND(I1305&lt;&gt;"",ISERROR(IF(ISERROR(VLOOKUP(I1305*1,Summary!$C$8:$C$153,1,0)),VLOOKUP(I1305,Summary!$C$8:$C$153,1,0),VLOOKUP(I1305*1,Summary!$C$8:$C$153,1,0)))),"Add account Number to Summary","")</f>
        <v/>
      </c>
      <c r="M1305" s="131" t="str">
        <f t="shared" si="20"/>
        <v/>
      </c>
      <c r="N1305" s="287">
        <f>IF(C1305="Sale",SUMIFS($D$4:D1305,$B$4:B1305,B1305,$C$4:C1305,"")+SUMIFS($D$4:D1305,$B$4:B1305,B1305,$C$4:C1305,"Purch")-SUMIFS($D$4:D1305,$B$4:B1305,B1305,$C$4:C1305,"Sale"),0)</f>
        <v>0</v>
      </c>
    </row>
    <row r="1306" spans="1:14" x14ac:dyDescent="0.2">
      <c r="A1306" s="152"/>
      <c r="B1306" s="132"/>
      <c r="C1306" s="132"/>
      <c r="D1306" s="277"/>
      <c r="E1306" s="132"/>
      <c r="F1306" s="170"/>
      <c r="G1306" s="150"/>
      <c r="H1306" s="152"/>
      <c r="I1306" s="204"/>
      <c r="J1306" s="285"/>
      <c r="K1306" s="251"/>
      <c r="L1306" s="133" t="str">
        <f>IF(AND(I1306&lt;&gt;"",ISERROR(IF(ISERROR(VLOOKUP(I1306*1,Summary!$C$8:$C$153,1,0)),VLOOKUP(I1306,Summary!$C$8:$C$153,1,0),VLOOKUP(I1306*1,Summary!$C$8:$C$153,1,0)))),"Add account Number to Summary","")</f>
        <v/>
      </c>
      <c r="M1306" s="131" t="str">
        <f t="shared" si="20"/>
        <v/>
      </c>
      <c r="N1306" s="287">
        <f>IF(C1306="Sale",SUMIFS($D$4:D1306,$B$4:B1306,B1306,$C$4:C1306,"")+SUMIFS($D$4:D1306,$B$4:B1306,B1306,$C$4:C1306,"Purch")-SUMIFS($D$4:D1306,$B$4:B1306,B1306,$C$4:C1306,"Sale"),0)</f>
        <v>0</v>
      </c>
    </row>
    <row r="1307" spans="1:14" x14ac:dyDescent="0.2">
      <c r="A1307" s="152"/>
      <c r="B1307" s="132"/>
      <c r="C1307" s="132"/>
      <c r="D1307" s="277"/>
      <c r="E1307" s="132"/>
      <c r="F1307" s="170"/>
      <c r="G1307" s="150"/>
      <c r="H1307" s="152"/>
      <c r="I1307" s="204"/>
      <c r="J1307" s="285"/>
      <c r="K1307" s="251"/>
      <c r="L1307" s="133" t="str">
        <f>IF(AND(I1307&lt;&gt;"",ISERROR(IF(ISERROR(VLOOKUP(I1307*1,Summary!$C$8:$C$153,1,0)),VLOOKUP(I1307,Summary!$C$8:$C$153,1,0),VLOOKUP(I1307*1,Summary!$C$8:$C$153,1,0)))),"Add account Number to Summary","")</f>
        <v/>
      </c>
      <c r="M1307" s="131" t="str">
        <f t="shared" si="20"/>
        <v/>
      </c>
      <c r="N1307" s="287">
        <f>IF(C1307="Sale",SUMIFS($D$4:D1307,$B$4:B1307,B1307,$C$4:C1307,"")+SUMIFS($D$4:D1307,$B$4:B1307,B1307,$C$4:C1307,"Purch")-SUMIFS($D$4:D1307,$B$4:B1307,B1307,$C$4:C1307,"Sale"),0)</f>
        <v>0</v>
      </c>
    </row>
    <row r="1308" spans="1:14" x14ac:dyDescent="0.2">
      <c r="A1308" s="152"/>
      <c r="B1308" s="132"/>
      <c r="C1308" s="132"/>
      <c r="D1308" s="277"/>
      <c r="E1308" s="132"/>
      <c r="F1308" s="170"/>
      <c r="G1308" s="150"/>
      <c r="H1308" s="152"/>
      <c r="I1308" s="204"/>
      <c r="J1308" s="285"/>
      <c r="K1308" s="251"/>
      <c r="L1308" s="133" t="str">
        <f>IF(AND(I1308&lt;&gt;"",ISERROR(IF(ISERROR(VLOOKUP(I1308*1,Summary!$C$8:$C$153,1,0)),VLOOKUP(I1308,Summary!$C$8:$C$153,1,0),VLOOKUP(I1308*1,Summary!$C$8:$C$153,1,0)))),"Add account Number to Summary","")</f>
        <v/>
      </c>
      <c r="M1308" s="131" t="str">
        <f t="shared" si="20"/>
        <v/>
      </c>
      <c r="N1308" s="287">
        <f>IF(C1308="Sale",SUMIFS($D$4:D1308,$B$4:B1308,B1308,$C$4:C1308,"")+SUMIFS($D$4:D1308,$B$4:B1308,B1308,$C$4:C1308,"Purch")-SUMIFS($D$4:D1308,$B$4:B1308,B1308,$C$4:C1308,"Sale"),0)</f>
        <v>0</v>
      </c>
    </row>
    <row r="1309" spans="1:14" x14ac:dyDescent="0.2">
      <c r="A1309" s="152"/>
      <c r="B1309" s="132"/>
      <c r="C1309" s="132"/>
      <c r="D1309" s="277"/>
      <c r="E1309" s="132"/>
      <c r="F1309" s="170"/>
      <c r="G1309" s="150"/>
      <c r="H1309" s="152"/>
      <c r="I1309" s="204"/>
      <c r="J1309" s="285"/>
      <c r="K1309" s="251"/>
      <c r="L1309" s="133" t="str">
        <f>IF(AND(I1309&lt;&gt;"",ISERROR(IF(ISERROR(VLOOKUP(I1309*1,Summary!$C$8:$C$153,1,0)),VLOOKUP(I1309,Summary!$C$8:$C$153,1,0),VLOOKUP(I1309*1,Summary!$C$8:$C$153,1,0)))),"Add account Number to Summary","")</f>
        <v/>
      </c>
      <c r="M1309" s="131" t="str">
        <f t="shared" si="20"/>
        <v/>
      </c>
      <c r="N1309" s="287">
        <f>IF(C1309="Sale",SUMIFS($D$4:D1309,$B$4:B1309,B1309,$C$4:C1309,"")+SUMIFS($D$4:D1309,$B$4:B1309,B1309,$C$4:C1309,"Purch")-SUMIFS($D$4:D1309,$B$4:B1309,B1309,$C$4:C1309,"Sale"),0)</f>
        <v>0</v>
      </c>
    </row>
    <row r="1310" spans="1:14" x14ac:dyDescent="0.2">
      <c r="A1310" s="152"/>
      <c r="B1310" s="132"/>
      <c r="C1310" s="132"/>
      <c r="D1310" s="277"/>
      <c r="E1310" s="132"/>
      <c r="F1310" s="170"/>
      <c r="G1310" s="150"/>
      <c r="H1310" s="152"/>
      <c r="I1310" s="204"/>
      <c r="J1310" s="285"/>
      <c r="K1310" s="251"/>
      <c r="L1310" s="133" t="str">
        <f>IF(AND(I1310&lt;&gt;"",ISERROR(IF(ISERROR(VLOOKUP(I1310*1,Summary!$C$8:$C$153,1,0)),VLOOKUP(I1310,Summary!$C$8:$C$153,1,0),VLOOKUP(I1310*1,Summary!$C$8:$C$153,1,0)))),"Add account Number to Summary","")</f>
        <v/>
      </c>
      <c r="M1310" s="131" t="str">
        <f t="shared" si="20"/>
        <v/>
      </c>
      <c r="N1310" s="287">
        <f>IF(C1310="Sale",SUMIFS($D$4:D1310,$B$4:B1310,B1310,$C$4:C1310,"")+SUMIFS($D$4:D1310,$B$4:B1310,B1310,$C$4:C1310,"Purch")-SUMIFS($D$4:D1310,$B$4:B1310,B1310,$C$4:C1310,"Sale"),0)</f>
        <v>0</v>
      </c>
    </row>
    <row r="1311" spans="1:14" x14ac:dyDescent="0.2">
      <c r="A1311" s="152"/>
      <c r="B1311" s="132"/>
      <c r="C1311" s="132"/>
      <c r="D1311" s="277"/>
      <c r="E1311" s="132"/>
      <c r="F1311" s="170"/>
      <c r="G1311" s="150"/>
      <c r="H1311" s="152"/>
      <c r="I1311" s="204"/>
      <c r="J1311" s="285"/>
      <c r="K1311" s="251"/>
      <c r="L1311" s="133" t="str">
        <f>IF(AND(I1311&lt;&gt;"",ISERROR(IF(ISERROR(VLOOKUP(I1311*1,Summary!$C$8:$C$153,1,0)),VLOOKUP(I1311,Summary!$C$8:$C$153,1,0),VLOOKUP(I1311*1,Summary!$C$8:$C$153,1,0)))),"Add account Number to Summary","")</f>
        <v/>
      </c>
      <c r="M1311" s="131" t="str">
        <f t="shared" si="20"/>
        <v/>
      </c>
      <c r="N1311" s="287">
        <f>IF(C1311="Sale",SUMIFS($D$4:D1311,$B$4:B1311,B1311,$C$4:C1311,"")+SUMIFS($D$4:D1311,$B$4:B1311,B1311,$C$4:C1311,"Purch")-SUMIFS($D$4:D1311,$B$4:B1311,B1311,$C$4:C1311,"Sale"),0)</f>
        <v>0</v>
      </c>
    </row>
    <row r="1312" spans="1:14" x14ac:dyDescent="0.2">
      <c r="A1312" s="152"/>
      <c r="B1312" s="132"/>
      <c r="C1312" s="132"/>
      <c r="D1312" s="277"/>
      <c r="E1312" s="132"/>
      <c r="F1312" s="170"/>
      <c r="G1312" s="150"/>
      <c r="H1312" s="152"/>
      <c r="I1312" s="204"/>
      <c r="J1312" s="285"/>
      <c r="K1312" s="251"/>
      <c r="L1312" s="133" t="str">
        <f>IF(AND(I1312&lt;&gt;"",ISERROR(IF(ISERROR(VLOOKUP(I1312*1,Summary!$C$8:$C$153,1,0)),VLOOKUP(I1312,Summary!$C$8:$C$153,1,0),VLOOKUP(I1312*1,Summary!$C$8:$C$153,1,0)))),"Add account Number to Summary","")</f>
        <v/>
      </c>
      <c r="M1312" s="131" t="str">
        <f t="shared" si="20"/>
        <v/>
      </c>
      <c r="N1312" s="287">
        <f>IF(C1312="Sale",SUMIFS($D$4:D1312,$B$4:B1312,B1312,$C$4:C1312,"")+SUMIFS($D$4:D1312,$B$4:B1312,B1312,$C$4:C1312,"Purch")-SUMIFS($D$4:D1312,$B$4:B1312,B1312,$C$4:C1312,"Sale"),0)</f>
        <v>0</v>
      </c>
    </row>
    <row r="1313" spans="1:14" x14ac:dyDescent="0.2">
      <c r="A1313" s="152"/>
      <c r="B1313" s="132"/>
      <c r="C1313" s="132"/>
      <c r="D1313" s="277"/>
      <c r="E1313" s="132"/>
      <c r="F1313" s="170"/>
      <c r="G1313" s="150"/>
      <c r="H1313" s="152"/>
      <c r="I1313" s="204"/>
      <c r="J1313" s="285"/>
      <c r="K1313" s="251"/>
      <c r="L1313" s="133" t="str">
        <f>IF(AND(I1313&lt;&gt;"",ISERROR(IF(ISERROR(VLOOKUP(I1313*1,Summary!$C$8:$C$153,1,0)),VLOOKUP(I1313,Summary!$C$8:$C$153,1,0),VLOOKUP(I1313*1,Summary!$C$8:$C$153,1,0)))),"Add account Number to Summary","")</f>
        <v/>
      </c>
      <c r="M1313" s="131" t="str">
        <f t="shared" si="20"/>
        <v/>
      </c>
      <c r="N1313" s="287">
        <f>IF(C1313="Sale",SUMIFS($D$4:D1313,$B$4:B1313,B1313,$C$4:C1313,"")+SUMIFS($D$4:D1313,$B$4:B1313,B1313,$C$4:C1313,"Purch")-SUMIFS($D$4:D1313,$B$4:B1313,B1313,$C$4:C1313,"Sale"),0)</f>
        <v>0</v>
      </c>
    </row>
    <row r="1314" spans="1:14" x14ac:dyDescent="0.2">
      <c r="A1314" s="152"/>
      <c r="B1314" s="132"/>
      <c r="C1314" s="132"/>
      <c r="D1314" s="277"/>
      <c r="E1314" s="132"/>
      <c r="F1314" s="170"/>
      <c r="G1314" s="150"/>
      <c r="H1314" s="152"/>
      <c r="I1314" s="204"/>
      <c r="J1314" s="285"/>
      <c r="K1314" s="251"/>
      <c r="L1314" s="133" t="str">
        <f>IF(AND(I1314&lt;&gt;"",ISERROR(IF(ISERROR(VLOOKUP(I1314*1,Summary!$C$8:$C$153,1,0)),VLOOKUP(I1314,Summary!$C$8:$C$153,1,0),VLOOKUP(I1314*1,Summary!$C$8:$C$153,1,0)))),"Add account Number to Summary","")</f>
        <v/>
      </c>
      <c r="M1314" s="131" t="str">
        <f t="shared" si="20"/>
        <v/>
      </c>
      <c r="N1314" s="287">
        <f>IF(C1314="Sale",SUMIFS($D$4:D1314,$B$4:B1314,B1314,$C$4:C1314,"")+SUMIFS($D$4:D1314,$B$4:B1314,B1314,$C$4:C1314,"Purch")-SUMIFS($D$4:D1314,$B$4:B1314,B1314,$C$4:C1314,"Sale"),0)</f>
        <v>0</v>
      </c>
    </row>
    <row r="1315" spans="1:14" x14ac:dyDescent="0.2">
      <c r="A1315" s="152"/>
      <c r="B1315" s="132"/>
      <c r="C1315" s="132"/>
      <c r="D1315" s="277"/>
      <c r="E1315" s="132"/>
      <c r="F1315" s="170"/>
      <c r="G1315" s="150"/>
      <c r="H1315" s="152"/>
      <c r="I1315" s="204"/>
      <c r="J1315" s="285"/>
      <c r="K1315" s="251"/>
      <c r="L1315" s="133" t="str">
        <f>IF(AND(I1315&lt;&gt;"",ISERROR(IF(ISERROR(VLOOKUP(I1315*1,Summary!$C$8:$C$153,1,0)),VLOOKUP(I1315,Summary!$C$8:$C$153,1,0),VLOOKUP(I1315*1,Summary!$C$8:$C$153,1,0)))),"Add account Number to Summary","")</f>
        <v/>
      </c>
      <c r="M1315" s="131" t="str">
        <f t="shared" si="20"/>
        <v/>
      </c>
      <c r="N1315" s="287">
        <f>IF(C1315="Sale",SUMIFS($D$4:D1315,$B$4:B1315,B1315,$C$4:C1315,"")+SUMIFS($D$4:D1315,$B$4:B1315,B1315,$C$4:C1315,"Purch")-SUMIFS($D$4:D1315,$B$4:B1315,B1315,$C$4:C1315,"Sale"),0)</f>
        <v>0</v>
      </c>
    </row>
    <row r="1316" spans="1:14" x14ac:dyDescent="0.2">
      <c r="A1316" s="152"/>
      <c r="B1316" s="132"/>
      <c r="C1316" s="132"/>
      <c r="D1316" s="277"/>
      <c r="E1316" s="132"/>
      <c r="F1316" s="170"/>
      <c r="G1316" s="150"/>
      <c r="H1316" s="152"/>
      <c r="I1316" s="204"/>
      <c r="J1316" s="285"/>
      <c r="K1316" s="251"/>
      <c r="L1316" s="133" t="str">
        <f>IF(AND(I1316&lt;&gt;"",ISERROR(IF(ISERROR(VLOOKUP(I1316*1,Summary!$C$8:$C$153,1,0)),VLOOKUP(I1316,Summary!$C$8:$C$153,1,0),VLOOKUP(I1316*1,Summary!$C$8:$C$153,1,0)))),"Add account Number to Summary","")</f>
        <v/>
      </c>
      <c r="M1316" s="131" t="str">
        <f t="shared" si="20"/>
        <v/>
      </c>
      <c r="N1316" s="287">
        <f>IF(C1316="Sale",SUMIFS($D$4:D1316,$B$4:B1316,B1316,$C$4:C1316,"")+SUMIFS($D$4:D1316,$B$4:B1316,B1316,$C$4:C1316,"Purch")-SUMIFS($D$4:D1316,$B$4:B1316,B1316,$C$4:C1316,"Sale"),0)</f>
        <v>0</v>
      </c>
    </row>
    <row r="1317" spans="1:14" x14ac:dyDescent="0.2">
      <c r="A1317" s="152"/>
      <c r="B1317" s="132"/>
      <c r="C1317" s="132"/>
      <c r="D1317" s="277"/>
      <c r="E1317" s="132"/>
      <c r="F1317" s="170"/>
      <c r="G1317" s="150"/>
      <c r="H1317" s="152"/>
      <c r="I1317" s="204"/>
      <c r="J1317" s="285"/>
      <c r="K1317" s="251"/>
      <c r="L1317" s="133" t="str">
        <f>IF(AND(I1317&lt;&gt;"",ISERROR(IF(ISERROR(VLOOKUP(I1317*1,Summary!$C$8:$C$153,1,0)),VLOOKUP(I1317,Summary!$C$8:$C$153,1,0),VLOOKUP(I1317*1,Summary!$C$8:$C$153,1,0)))),"Add account Number to Summary","")</f>
        <v/>
      </c>
      <c r="M1317" s="131" t="str">
        <f t="shared" si="20"/>
        <v/>
      </c>
      <c r="N1317" s="287">
        <f>IF(C1317="Sale",SUMIFS($D$4:D1317,$B$4:B1317,B1317,$C$4:C1317,"")+SUMIFS($D$4:D1317,$B$4:B1317,B1317,$C$4:C1317,"Purch")-SUMIFS($D$4:D1317,$B$4:B1317,B1317,$C$4:C1317,"Sale"),0)</f>
        <v>0</v>
      </c>
    </row>
    <row r="1318" spans="1:14" x14ac:dyDescent="0.2">
      <c r="A1318" s="152"/>
      <c r="B1318" s="132"/>
      <c r="C1318" s="132"/>
      <c r="D1318" s="277"/>
      <c r="E1318" s="132"/>
      <c r="F1318" s="170"/>
      <c r="G1318" s="150"/>
      <c r="H1318" s="152"/>
      <c r="I1318" s="204"/>
      <c r="J1318" s="285"/>
      <c r="K1318" s="251"/>
      <c r="L1318" s="133" t="str">
        <f>IF(AND(I1318&lt;&gt;"",ISERROR(IF(ISERROR(VLOOKUP(I1318*1,Summary!$C$8:$C$153,1,0)),VLOOKUP(I1318,Summary!$C$8:$C$153,1,0),VLOOKUP(I1318*1,Summary!$C$8:$C$153,1,0)))),"Add account Number to Summary","")</f>
        <v/>
      </c>
      <c r="M1318" s="131" t="str">
        <f t="shared" si="20"/>
        <v/>
      </c>
      <c r="N1318" s="287">
        <f>IF(C1318="Sale",SUMIFS($D$4:D1318,$B$4:B1318,B1318,$C$4:C1318,"")+SUMIFS($D$4:D1318,$B$4:B1318,B1318,$C$4:C1318,"Purch")-SUMIFS($D$4:D1318,$B$4:B1318,B1318,$C$4:C1318,"Sale"),0)</f>
        <v>0</v>
      </c>
    </row>
    <row r="1319" spans="1:14" x14ac:dyDescent="0.2">
      <c r="A1319" s="152"/>
      <c r="B1319" s="132"/>
      <c r="C1319" s="132"/>
      <c r="D1319" s="277"/>
      <c r="E1319" s="132"/>
      <c r="F1319" s="170"/>
      <c r="G1319" s="150"/>
      <c r="H1319" s="152"/>
      <c r="I1319" s="204"/>
      <c r="J1319" s="285"/>
      <c r="K1319" s="251"/>
      <c r="L1319" s="133" t="str">
        <f>IF(AND(I1319&lt;&gt;"",ISERROR(IF(ISERROR(VLOOKUP(I1319*1,Summary!$C$8:$C$153,1,0)),VLOOKUP(I1319,Summary!$C$8:$C$153,1,0),VLOOKUP(I1319*1,Summary!$C$8:$C$153,1,0)))),"Add account Number to Summary","")</f>
        <v/>
      </c>
      <c r="M1319" s="131" t="str">
        <f t="shared" si="20"/>
        <v/>
      </c>
      <c r="N1319" s="287">
        <f>IF(C1319="Sale",SUMIFS($D$4:D1319,$B$4:B1319,B1319,$C$4:C1319,"")+SUMIFS($D$4:D1319,$B$4:B1319,B1319,$C$4:C1319,"Purch")-SUMIFS($D$4:D1319,$B$4:B1319,B1319,$C$4:C1319,"Sale"),0)</f>
        <v>0</v>
      </c>
    </row>
    <row r="1320" spans="1:14" x14ac:dyDescent="0.2">
      <c r="A1320" s="152"/>
      <c r="B1320" s="132"/>
      <c r="C1320" s="132"/>
      <c r="D1320" s="277"/>
      <c r="E1320" s="132"/>
      <c r="F1320" s="170"/>
      <c r="G1320" s="150"/>
      <c r="H1320" s="152"/>
      <c r="I1320" s="204"/>
      <c r="J1320" s="285"/>
      <c r="K1320" s="251"/>
      <c r="L1320" s="133" t="str">
        <f>IF(AND(I1320&lt;&gt;"",ISERROR(IF(ISERROR(VLOOKUP(I1320*1,Summary!$C$8:$C$153,1,0)),VLOOKUP(I1320,Summary!$C$8:$C$153,1,0),VLOOKUP(I1320*1,Summary!$C$8:$C$153,1,0)))),"Add account Number to Summary","")</f>
        <v/>
      </c>
      <c r="M1320" s="131" t="str">
        <f t="shared" si="20"/>
        <v/>
      </c>
      <c r="N1320" s="287">
        <f>IF(C1320="Sale",SUMIFS($D$4:D1320,$B$4:B1320,B1320,$C$4:C1320,"")+SUMIFS($D$4:D1320,$B$4:B1320,B1320,$C$4:C1320,"Purch")-SUMIFS($D$4:D1320,$B$4:B1320,B1320,$C$4:C1320,"Sale"),0)</f>
        <v>0</v>
      </c>
    </row>
    <row r="1321" spans="1:14" x14ac:dyDescent="0.2">
      <c r="A1321" s="152"/>
      <c r="B1321" s="132"/>
      <c r="C1321" s="132"/>
      <c r="D1321" s="277"/>
      <c r="E1321" s="132"/>
      <c r="F1321" s="170"/>
      <c r="G1321" s="150"/>
      <c r="H1321" s="152"/>
      <c r="I1321" s="204"/>
      <c r="J1321" s="285"/>
      <c r="K1321" s="251"/>
      <c r="L1321" s="133" t="str">
        <f>IF(AND(I1321&lt;&gt;"",ISERROR(IF(ISERROR(VLOOKUP(I1321*1,Summary!$C$8:$C$153,1,0)),VLOOKUP(I1321,Summary!$C$8:$C$153,1,0),VLOOKUP(I1321*1,Summary!$C$8:$C$153,1,0)))),"Add account Number to Summary","")</f>
        <v/>
      </c>
      <c r="M1321" s="131" t="str">
        <f t="shared" si="20"/>
        <v/>
      </c>
      <c r="N1321" s="287">
        <f>IF(C1321="Sale",SUMIFS($D$4:D1321,$B$4:B1321,B1321,$C$4:C1321,"")+SUMIFS($D$4:D1321,$B$4:B1321,B1321,$C$4:C1321,"Purch")-SUMIFS($D$4:D1321,$B$4:B1321,B1321,$C$4:C1321,"Sale"),0)</f>
        <v>0</v>
      </c>
    </row>
    <row r="1322" spans="1:14" x14ac:dyDescent="0.2">
      <c r="A1322" s="152"/>
      <c r="B1322" s="132"/>
      <c r="C1322" s="132"/>
      <c r="D1322" s="277"/>
      <c r="E1322" s="132"/>
      <c r="F1322" s="170"/>
      <c r="G1322" s="150"/>
      <c r="H1322" s="152"/>
      <c r="I1322" s="204"/>
      <c r="J1322" s="285"/>
      <c r="K1322" s="251"/>
      <c r="L1322" s="133" t="str">
        <f>IF(AND(I1322&lt;&gt;"",ISERROR(IF(ISERROR(VLOOKUP(I1322*1,Summary!$C$8:$C$153,1,0)),VLOOKUP(I1322,Summary!$C$8:$C$153,1,0),VLOOKUP(I1322*1,Summary!$C$8:$C$153,1,0)))),"Add account Number to Summary","")</f>
        <v/>
      </c>
      <c r="M1322" s="131" t="str">
        <f t="shared" si="20"/>
        <v/>
      </c>
      <c r="N1322" s="287">
        <f>IF(C1322="Sale",SUMIFS($D$4:D1322,$B$4:B1322,B1322,$C$4:C1322,"")+SUMIFS($D$4:D1322,$B$4:B1322,B1322,$C$4:C1322,"Purch")-SUMIFS($D$4:D1322,$B$4:B1322,B1322,$C$4:C1322,"Sale"),0)</f>
        <v>0</v>
      </c>
    </row>
    <row r="1323" spans="1:14" x14ac:dyDescent="0.2">
      <c r="A1323" s="152"/>
      <c r="B1323" s="132"/>
      <c r="C1323" s="132"/>
      <c r="D1323" s="277"/>
      <c r="E1323" s="132"/>
      <c r="F1323" s="170"/>
      <c r="G1323" s="150"/>
      <c r="H1323" s="152"/>
      <c r="I1323" s="204"/>
      <c r="J1323" s="285"/>
      <c r="K1323" s="251"/>
      <c r="L1323" s="133" t="str">
        <f>IF(AND(I1323&lt;&gt;"",ISERROR(IF(ISERROR(VLOOKUP(I1323*1,Summary!$C$8:$C$153,1,0)),VLOOKUP(I1323,Summary!$C$8:$C$153,1,0),VLOOKUP(I1323*1,Summary!$C$8:$C$153,1,0)))),"Add account Number to Summary","")</f>
        <v/>
      </c>
      <c r="M1323" s="131" t="str">
        <f t="shared" si="20"/>
        <v/>
      </c>
      <c r="N1323" s="287">
        <f>IF(C1323="Sale",SUMIFS($D$4:D1323,$B$4:B1323,B1323,$C$4:C1323,"")+SUMIFS($D$4:D1323,$B$4:B1323,B1323,$C$4:C1323,"Purch")-SUMIFS($D$4:D1323,$B$4:B1323,B1323,$C$4:C1323,"Sale"),0)</f>
        <v>0</v>
      </c>
    </row>
    <row r="1324" spans="1:14" x14ac:dyDescent="0.2">
      <c r="A1324" s="152"/>
      <c r="B1324" s="132"/>
      <c r="C1324" s="132"/>
      <c r="D1324" s="277"/>
      <c r="E1324" s="132"/>
      <c r="F1324" s="170"/>
      <c r="G1324" s="150"/>
      <c r="H1324" s="152"/>
      <c r="I1324" s="204"/>
      <c r="J1324" s="285"/>
      <c r="K1324" s="251"/>
      <c r="L1324" s="133" t="str">
        <f>IF(AND(I1324&lt;&gt;"",ISERROR(IF(ISERROR(VLOOKUP(I1324*1,Summary!$C$8:$C$153,1,0)),VLOOKUP(I1324,Summary!$C$8:$C$153,1,0),VLOOKUP(I1324*1,Summary!$C$8:$C$153,1,0)))),"Add account Number to Summary","")</f>
        <v/>
      </c>
      <c r="M1324" s="131" t="str">
        <f t="shared" ref="M1324:M1387" si="21">IF(K1324="Yes",IF(YEAR(A1324)&lt;&gt;YEAR(date),"Check Date",""),"")</f>
        <v/>
      </c>
      <c r="N1324" s="287">
        <f>IF(C1324="Sale",SUMIFS($D$4:D1324,$B$4:B1324,B1324,$C$4:C1324,"")+SUMIFS($D$4:D1324,$B$4:B1324,B1324,$C$4:C1324,"Purch")-SUMIFS($D$4:D1324,$B$4:B1324,B1324,$C$4:C1324,"Sale"),0)</f>
        <v>0</v>
      </c>
    </row>
    <row r="1325" spans="1:14" x14ac:dyDescent="0.2">
      <c r="A1325" s="152"/>
      <c r="B1325" s="132"/>
      <c r="C1325" s="132"/>
      <c r="D1325" s="277"/>
      <c r="E1325" s="132"/>
      <c r="F1325" s="170"/>
      <c r="G1325" s="150"/>
      <c r="H1325" s="152"/>
      <c r="I1325" s="204"/>
      <c r="J1325" s="285"/>
      <c r="K1325" s="251"/>
      <c r="L1325" s="133" t="str">
        <f>IF(AND(I1325&lt;&gt;"",ISERROR(IF(ISERROR(VLOOKUP(I1325*1,Summary!$C$8:$C$153,1,0)),VLOOKUP(I1325,Summary!$C$8:$C$153,1,0),VLOOKUP(I1325*1,Summary!$C$8:$C$153,1,0)))),"Add account Number to Summary","")</f>
        <v/>
      </c>
      <c r="M1325" s="131" t="str">
        <f t="shared" si="21"/>
        <v/>
      </c>
      <c r="N1325" s="287">
        <f>IF(C1325="Sale",SUMIFS($D$4:D1325,$B$4:B1325,B1325,$C$4:C1325,"")+SUMIFS($D$4:D1325,$B$4:B1325,B1325,$C$4:C1325,"Purch")-SUMIFS($D$4:D1325,$B$4:B1325,B1325,$C$4:C1325,"Sale"),0)</f>
        <v>0</v>
      </c>
    </row>
    <row r="1326" spans="1:14" x14ac:dyDescent="0.2">
      <c r="A1326" s="152"/>
      <c r="B1326" s="132"/>
      <c r="C1326" s="132"/>
      <c r="D1326" s="277"/>
      <c r="E1326" s="132"/>
      <c r="F1326" s="170"/>
      <c r="G1326" s="150"/>
      <c r="H1326" s="152"/>
      <c r="I1326" s="204"/>
      <c r="J1326" s="285"/>
      <c r="K1326" s="251"/>
      <c r="L1326" s="133" t="str">
        <f>IF(AND(I1326&lt;&gt;"",ISERROR(IF(ISERROR(VLOOKUP(I1326*1,Summary!$C$8:$C$153,1,0)),VLOOKUP(I1326,Summary!$C$8:$C$153,1,0),VLOOKUP(I1326*1,Summary!$C$8:$C$153,1,0)))),"Add account Number to Summary","")</f>
        <v/>
      </c>
      <c r="M1326" s="131" t="str">
        <f t="shared" si="21"/>
        <v/>
      </c>
      <c r="N1326" s="287">
        <f>IF(C1326="Sale",SUMIFS($D$4:D1326,$B$4:B1326,B1326,$C$4:C1326,"")+SUMIFS($D$4:D1326,$B$4:B1326,B1326,$C$4:C1326,"Purch")-SUMIFS($D$4:D1326,$B$4:B1326,B1326,$C$4:C1326,"Sale"),0)</f>
        <v>0</v>
      </c>
    </row>
    <row r="1327" spans="1:14" x14ac:dyDescent="0.2">
      <c r="A1327" s="152"/>
      <c r="B1327" s="132"/>
      <c r="C1327" s="132"/>
      <c r="D1327" s="277"/>
      <c r="E1327" s="132"/>
      <c r="F1327" s="170"/>
      <c r="G1327" s="150"/>
      <c r="H1327" s="152"/>
      <c r="I1327" s="204"/>
      <c r="J1327" s="285"/>
      <c r="K1327" s="251"/>
      <c r="L1327" s="133" t="str">
        <f>IF(AND(I1327&lt;&gt;"",ISERROR(IF(ISERROR(VLOOKUP(I1327*1,Summary!$C$8:$C$153,1,0)),VLOOKUP(I1327,Summary!$C$8:$C$153,1,0),VLOOKUP(I1327*1,Summary!$C$8:$C$153,1,0)))),"Add account Number to Summary","")</f>
        <v/>
      </c>
      <c r="M1327" s="131" t="str">
        <f t="shared" si="21"/>
        <v/>
      </c>
      <c r="N1327" s="287">
        <f>IF(C1327="Sale",SUMIFS($D$4:D1327,$B$4:B1327,B1327,$C$4:C1327,"")+SUMIFS($D$4:D1327,$B$4:B1327,B1327,$C$4:C1327,"Purch")-SUMIFS($D$4:D1327,$B$4:B1327,B1327,$C$4:C1327,"Sale"),0)</f>
        <v>0</v>
      </c>
    </row>
    <row r="1328" spans="1:14" x14ac:dyDescent="0.2">
      <c r="A1328" s="152"/>
      <c r="B1328" s="132"/>
      <c r="C1328" s="132"/>
      <c r="D1328" s="277"/>
      <c r="E1328" s="132"/>
      <c r="F1328" s="170"/>
      <c r="G1328" s="150"/>
      <c r="H1328" s="152"/>
      <c r="I1328" s="204"/>
      <c r="J1328" s="285"/>
      <c r="K1328" s="251"/>
      <c r="L1328" s="133" t="str">
        <f>IF(AND(I1328&lt;&gt;"",ISERROR(IF(ISERROR(VLOOKUP(I1328*1,Summary!$C$8:$C$153,1,0)),VLOOKUP(I1328,Summary!$C$8:$C$153,1,0),VLOOKUP(I1328*1,Summary!$C$8:$C$153,1,0)))),"Add account Number to Summary","")</f>
        <v/>
      </c>
      <c r="M1328" s="131" t="str">
        <f t="shared" si="21"/>
        <v/>
      </c>
      <c r="N1328" s="287">
        <f>IF(C1328="Sale",SUMIFS($D$4:D1328,$B$4:B1328,B1328,$C$4:C1328,"")+SUMIFS($D$4:D1328,$B$4:B1328,B1328,$C$4:C1328,"Purch")-SUMIFS($D$4:D1328,$B$4:B1328,B1328,$C$4:C1328,"Sale"),0)</f>
        <v>0</v>
      </c>
    </row>
    <row r="1329" spans="1:14" x14ac:dyDescent="0.2">
      <c r="A1329" s="152"/>
      <c r="B1329" s="132"/>
      <c r="C1329" s="132"/>
      <c r="D1329" s="277"/>
      <c r="E1329" s="132"/>
      <c r="F1329" s="170"/>
      <c r="G1329" s="150"/>
      <c r="H1329" s="152"/>
      <c r="I1329" s="204"/>
      <c r="J1329" s="285"/>
      <c r="K1329" s="251"/>
      <c r="L1329" s="133" t="str">
        <f>IF(AND(I1329&lt;&gt;"",ISERROR(IF(ISERROR(VLOOKUP(I1329*1,Summary!$C$8:$C$153,1,0)),VLOOKUP(I1329,Summary!$C$8:$C$153,1,0),VLOOKUP(I1329*1,Summary!$C$8:$C$153,1,0)))),"Add account Number to Summary","")</f>
        <v/>
      </c>
      <c r="M1329" s="131" t="str">
        <f t="shared" si="21"/>
        <v/>
      </c>
      <c r="N1329" s="287">
        <f>IF(C1329="Sale",SUMIFS($D$4:D1329,$B$4:B1329,B1329,$C$4:C1329,"")+SUMIFS($D$4:D1329,$B$4:B1329,B1329,$C$4:C1329,"Purch")-SUMIFS($D$4:D1329,$B$4:B1329,B1329,$C$4:C1329,"Sale"),0)</f>
        <v>0</v>
      </c>
    </row>
    <row r="1330" spans="1:14" x14ac:dyDescent="0.2">
      <c r="A1330" s="152"/>
      <c r="B1330" s="132"/>
      <c r="C1330" s="132"/>
      <c r="D1330" s="277"/>
      <c r="E1330" s="132"/>
      <c r="F1330" s="170"/>
      <c r="G1330" s="150"/>
      <c r="H1330" s="152"/>
      <c r="I1330" s="204"/>
      <c r="J1330" s="285"/>
      <c r="K1330" s="251"/>
      <c r="L1330" s="133" t="str">
        <f>IF(AND(I1330&lt;&gt;"",ISERROR(IF(ISERROR(VLOOKUP(I1330*1,Summary!$C$8:$C$153,1,0)),VLOOKUP(I1330,Summary!$C$8:$C$153,1,0),VLOOKUP(I1330*1,Summary!$C$8:$C$153,1,0)))),"Add account Number to Summary","")</f>
        <v/>
      </c>
      <c r="M1330" s="131" t="str">
        <f t="shared" si="21"/>
        <v/>
      </c>
      <c r="N1330" s="287">
        <f>IF(C1330="Sale",SUMIFS($D$4:D1330,$B$4:B1330,B1330,$C$4:C1330,"")+SUMIFS($D$4:D1330,$B$4:B1330,B1330,$C$4:C1330,"Purch")-SUMIFS($D$4:D1330,$B$4:B1330,B1330,$C$4:C1330,"Sale"),0)</f>
        <v>0</v>
      </c>
    </row>
    <row r="1331" spans="1:14" x14ac:dyDescent="0.2">
      <c r="A1331" s="152"/>
      <c r="B1331" s="132"/>
      <c r="C1331" s="132"/>
      <c r="D1331" s="277"/>
      <c r="E1331" s="132"/>
      <c r="F1331" s="170"/>
      <c r="G1331" s="150"/>
      <c r="H1331" s="152"/>
      <c r="I1331" s="204"/>
      <c r="J1331" s="285"/>
      <c r="K1331" s="251"/>
      <c r="L1331" s="133" t="str">
        <f>IF(AND(I1331&lt;&gt;"",ISERROR(IF(ISERROR(VLOOKUP(I1331*1,Summary!$C$8:$C$153,1,0)),VLOOKUP(I1331,Summary!$C$8:$C$153,1,0),VLOOKUP(I1331*1,Summary!$C$8:$C$153,1,0)))),"Add account Number to Summary","")</f>
        <v/>
      </c>
      <c r="M1331" s="131" t="str">
        <f t="shared" si="21"/>
        <v/>
      </c>
      <c r="N1331" s="287">
        <f>IF(C1331="Sale",SUMIFS($D$4:D1331,$B$4:B1331,B1331,$C$4:C1331,"")+SUMIFS($D$4:D1331,$B$4:B1331,B1331,$C$4:C1331,"Purch")-SUMIFS($D$4:D1331,$B$4:B1331,B1331,$C$4:C1331,"Sale"),0)</f>
        <v>0</v>
      </c>
    </row>
    <row r="1332" spans="1:14" x14ac:dyDescent="0.2">
      <c r="A1332" s="152"/>
      <c r="B1332" s="132"/>
      <c r="C1332" s="132"/>
      <c r="D1332" s="277"/>
      <c r="E1332" s="132"/>
      <c r="F1332" s="170"/>
      <c r="G1332" s="150"/>
      <c r="H1332" s="152"/>
      <c r="I1332" s="204"/>
      <c r="J1332" s="285"/>
      <c r="K1332" s="251"/>
      <c r="L1332" s="133" t="str">
        <f>IF(AND(I1332&lt;&gt;"",ISERROR(IF(ISERROR(VLOOKUP(I1332*1,Summary!$C$8:$C$153,1,0)),VLOOKUP(I1332,Summary!$C$8:$C$153,1,0),VLOOKUP(I1332*1,Summary!$C$8:$C$153,1,0)))),"Add account Number to Summary","")</f>
        <v/>
      </c>
      <c r="M1332" s="131" t="str">
        <f t="shared" si="21"/>
        <v/>
      </c>
      <c r="N1332" s="287">
        <f>IF(C1332="Sale",SUMIFS($D$4:D1332,$B$4:B1332,B1332,$C$4:C1332,"")+SUMIFS($D$4:D1332,$B$4:B1332,B1332,$C$4:C1332,"Purch")-SUMIFS($D$4:D1332,$B$4:B1332,B1332,$C$4:C1332,"Sale"),0)</f>
        <v>0</v>
      </c>
    </row>
    <row r="1333" spans="1:14" x14ac:dyDescent="0.2">
      <c r="A1333" s="152"/>
      <c r="B1333" s="132"/>
      <c r="C1333" s="132"/>
      <c r="D1333" s="277"/>
      <c r="E1333" s="132"/>
      <c r="F1333" s="170"/>
      <c r="G1333" s="150"/>
      <c r="H1333" s="152"/>
      <c r="I1333" s="204"/>
      <c r="J1333" s="285"/>
      <c r="K1333" s="251"/>
      <c r="L1333" s="133" t="str">
        <f>IF(AND(I1333&lt;&gt;"",ISERROR(IF(ISERROR(VLOOKUP(I1333*1,Summary!$C$8:$C$153,1,0)),VLOOKUP(I1333,Summary!$C$8:$C$153,1,0),VLOOKUP(I1333*1,Summary!$C$8:$C$153,1,0)))),"Add account Number to Summary","")</f>
        <v/>
      </c>
      <c r="M1333" s="131" t="str">
        <f t="shared" si="21"/>
        <v/>
      </c>
      <c r="N1333" s="287">
        <f>IF(C1333="Sale",SUMIFS($D$4:D1333,$B$4:B1333,B1333,$C$4:C1333,"")+SUMIFS($D$4:D1333,$B$4:B1333,B1333,$C$4:C1333,"Purch")-SUMIFS($D$4:D1333,$B$4:B1333,B1333,$C$4:C1333,"Sale"),0)</f>
        <v>0</v>
      </c>
    </row>
    <row r="1334" spans="1:14" x14ac:dyDescent="0.2">
      <c r="A1334" s="152"/>
      <c r="B1334" s="132"/>
      <c r="C1334" s="132"/>
      <c r="D1334" s="277"/>
      <c r="E1334" s="132"/>
      <c r="F1334" s="170"/>
      <c r="G1334" s="150"/>
      <c r="H1334" s="152"/>
      <c r="I1334" s="204"/>
      <c r="J1334" s="285"/>
      <c r="K1334" s="251"/>
      <c r="L1334" s="133" t="str">
        <f>IF(AND(I1334&lt;&gt;"",ISERROR(IF(ISERROR(VLOOKUP(I1334*1,Summary!$C$8:$C$153,1,0)),VLOOKUP(I1334,Summary!$C$8:$C$153,1,0),VLOOKUP(I1334*1,Summary!$C$8:$C$153,1,0)))),"Add account Number to Summary","")</f>
        <v/>
      </c>
      <c r="M1334" s="131" t="str">
        <f t="shared" si="21"/>
        <v/>
      </c>
      <c r="N1334" s="287">
        <f>IF(C1334="Sale",SUMIFS($D$4:D1334,$B$4:B1334,B1334,$C$4:C1334,"")+SUMIFS($D$4:D1334,$B$4:B1334,B1334,$C$4:C1334,"Purch")-SUMIFS($D$4:D1334,$B$4:B1334,B1334,$C$4:C1334,"Sale"),0)</f>
        <v>0</v>
      </c>
    </row>
    <row r="1335" spans="1:14" x14ac:dyDescent="0.2">
      <c r="A1335" s="152"/>
      <c r="B1335" s="132"/>
      <c r="C1335" s="132"/>
      <c r="D1335" s="277"/>
      <c r="E1335" s="132"/>
      <c r="F1335" s="170"/>
      <c r="G1335" s="150"/>
      <c r="H1335" s="152"/>
      <c r="I1335" s="204"/>
      <c r="J1335" s="285"/>
      <c r="K1335" s="251"/>
      <c r="L1335" s="133" t="str">
        <f>IF(AND(I1335&lt;&gt;"",ISERROR(IF(ISERROR(VLOOKUP(I1335*1,Summary!$C$8:$C$153,1,0)),VLOOKUP(I1335,Summary!$C$8:$C$153,1,0),VLOOKUP(I1335*1,Summary!$C$8:$C$153,1,0)))),"Add account Number to Summary","")</f>
        <v/>
      </c>
      <c r="M1335" s="131" t="str">
        <f t="shared" si="21"/>
        <v/>
      </c>
      <c r="N1335" s="287">
        <f>IF(C1335="Sale",SUMIFS($D$4:D1335,$B$4:B1335,B1335,$C$4:C1335,"")+SUMIFS($D$4:D1335,$B$4:B1335,B1335,$C$4:C1335,"Purch")-SUMIFS($D$4:D1335,$B$4:B1335,B1335,$C$4:C1335,"Sale"),0)</f>
        <v>0</v>
      </c>
    </row>
    <row r="1336" spans="1:14" x14ac:dyDescent="0.2">
      <c r="A1336" s="152"/>
      <c r="B1336" s="132"/>
      <c r="C1336" s="132"/>
      <c r="D1336" s="277"/>
      <c r="E1336" s="132"/>
      <c r="F1336" s="170"/>
      <c r="G1336" s="150"/>
      <c r="H1336" s="152"/>
      <c r="I1336" s="204"/>
      <c r="J1336" s="285"/>
      <c r="K1336" s="251"/>
      <c r="L1336" s="133" t="str">
        <f>IF(AND(I1336&lt;&gt;"",ISERROR(IF(ISERROR(VLOOKUP(I1336*1,Summary!$C$8:$C$153,1,0)),VLOOKUP(I1336,Summary!$C$8:$C$153,1,0),VLOOKUP(I1336*1,Summary!$C$8:$C$153,1,0)))),"Add account Number to Summary","")</f>
        <v/>
      </c>
      <c r="M1336" s="131" t="str">
        <f t="shared" si="21"/>
        <v/>
      </c>
      <c r="N1336" s="287">
        <f>IF(C1336="Sale",SUMIFS($D$4:D1336,$B$4:B1336,B1336,$C$4:C1336,"")+SUMIFS($D$4:D1336,$B$4:B1336,B1336,$C$4:C1336,"Purch")-SUMIFS($D$4:D1336,$B$4:B1336,B1336,$C$4:C1336,"Sale"),0)</f>
        <v>0</v>
      </c>
    </row>
    <row r="1337" spans="1:14" x14ac:dyDescent="0.2">
      <c r="A1337" s="152"/>
      <c r="B1337" s="132"/>
      <c r="C1337" s="132"/>
      <c r="D1337" s="277"/>
      <c r="E1337" s="132"/>
      <c r="F1337" s="170"/>
      <c r="G1337" s="150"/>
      <c r="H1337" s="152"/>
      <c r="I1337" s="204"/>
      <c r="J1337" s="285"/>
      <c r="K1337" s="251"/>
      <c r="L1337" s="133" t="str">
        <f>IF(AND(I1337&lt;&gt;"",ISERROR(IF(ISERROR(VLOOKUP(I1337*1,Summary!$C$8:$C$153,1,0)),VLOOKUP(I1337,Summary!$C$8:$C$153,1,0),VLOOKUP(I1337*1,Summary!$C$8:$C$153,1,0)))),"Add account Number to Summary","")</f>
        <v/>
      </c>
      <c r="M1337" s="131" t="str">
        <f t="shared" si="21"/>
        <v/>
      </c>
      <c r="N1337" s="287">
        <f>IF(C1337="Sale",SUMIFS($D$4:D1337,$B$4:B1337,B1337,$C$4:C1337,"")+SUMIFS($D$4:D1337,$B$4:B1337,B1337,$C$4:C1337,"Purch")-SUMIFS($D$4:D1337,$B$4:B1337,B1337,$C$4:C1337,"Sale"),0)</f>
        <v>0</v>
      </c>
    </row>
    <row r="1338" spans="1:14" x14ac:dyDescent="0.2">
      <c r="A1338" s="152"/>
      <c r="B1338" s="132"/>
      <c r="C1338" s="132"/>
      <c r="D1338" s="277"/>
      <c r="E1338" s="132"/>
      <c r="F1338" s="170"/>
      <c r="G1338" s="150"/>
      <c r="H1338" s="152"/>
      <c r="I1338" s="204"/>
      <c r="J1338" s="285"/>
      <c r="K1338" s="251"/>
      <c r="L1338" s="133" t="str">
        <f>IF(AND(I1338&lt;&gt;"",ISERROR(IF(ISERROR(VLOOKUP(I1338*1,Summary!$C$8:$C$153,1,0)),VLOOKUP(I1338,Summary!$C$8:$C$153,1,0),VLOOKUP(I1338*1,Summary!$C$8:$C$153,1,0)))),"Add account Number to Summary","")</f>
        <v/>
      </c>
      <c r="M1338" s="131" t="str">
        <f t="shared" si="21"/>
        <v/>
      </c>
      <c r="N1338" s="287">
        <f>IF(C1338="Sale",SUMIFS($D$4:D1338,$B$4:B1338,B1338,$C$4:C1338,"")+SUMIFS($D$4:D1338,$B$4:B1338,B1338,$C$4:C1338,"Purch")-SUMIFS($D$4:D1338,$B$4:B1338,B1338,$C$4:C1338,"Sale"),0)</f>
        <v>0</v>
      </c>
    </row>
    <row r="1339" spans="1:14" x14ac:dyDescent="0.2">
      <c r="A1339" s="152"/>
      <c r="B1339" s="132"/>
      <c r="C1339" s="132"/>
      <c r="D1339" s="277"/>
      <c r="E1339" s="132"/>
      <c r="F1339" s="170"/>
      <c r="G1339" s="150"/>
      <c r="H1339" s="152"/>
      <c r="I1339" s="204"/>
      <c r="J1339" s="285"/>
      <c r="K1339" s="251"/>
      <c r="L1339" s="133" t="str">
        <f>IF(AND(I1339&lt;&gt;"",ISERROR(IF(ISERROR(VLOOKUP(I1339*1,Summary!$C$8:$C$153,1,0)),VLOOKUP(I1339,Summary!$C$8:$C$153,1,0),VLOOKUP(I1339*1,Summary!$C$8:$C$153,1,0)))),"Add account Number to Summary","")</f>
        <v/>
      </c>
      <c r="M1339" s="131" t="str">
        <f t="shared" si="21"/>
        <v/>
      </c>
      <c r="N1339" s="287">
        <f>IF(C1339="Sale",SUMIFS($D$4:D1339,$B$4:B1339,B1339,$C$4:C1339,"")+SUMIFS($D$4:D1339,$B$4:B1339,B1339,$C$4:C1339,"Purch")-SUMIFS($D$4:D1339,$B$4:B1339,B1339,$C$4:C1339,"Sale"),0)</f>
        <v>0</v>
      </c>
    </row>
    <row r="1340" spans="1:14" x14ac:dyDescent="0.2">
      <c r="A1340" s="152"/>
      <c r="B1340" s="132"/>
      <c r="C1340" s="132"/>
      <c r="D1340" s="277"/>
      <c r="E1340" s="132"/>
      <c r="F1340" s="170"/>
      <c r="G1340" s="150"/>
      <c r="H1340" s="152"/>
      <c r="I1340" s="204"/>
      <c r="J1340" s="285"/>
      <c r="K1340" s="251"/>
      <c r="L1340" s="133" t="str">
        <f>IF(AND(I1340&lt;&gt;"",ISERROR(IF(ISERROR(VLOOKUP(I1340*1,Summary!$C$8:$C$153,1,0)),VLOOKUP(I1340,Summary!$C$8:$C$153,1,0),VLOOKUP(I1340*1,Summary!$C$8:$C$153,1,0)))),"Add account Number to Summary","")</f>
        <v/>
      </c>
      <c r="M1340" s="131" t="str">
        <f t="shared" si="21"/>
        <v/>
      </c>
      <c r="N1340" s="287">
        <f>IF(C1340="Sale",SUMIFS($D$4:D1340,$B$4:B1340,B1340,$C$4:C1340,"")+SUMIFS($D$4:D1340,$B$4:B1340,B1340,$C$4:C1340,"Purch")-SUMIFS($D$4:D1340,$B$4:B1340,B1340,$C$4:C1340,"Sale"),0)</f>
        <v>0</v>
      </c>
    </row>
    <row r="1341" spans="1:14" x14ac:dyDescent="0.2">
      <c r="A1341" s="152"/>
      <c r="B1341" s="132"/>
      <c r="C1341" s="132"/>
      <c r="D1341" s="277"/>
      <c r="E1341" s="132"/>
      <c r="F1341" s="170"/>
      <c r="G1341" s="150"/>
      <c r="H1341" s="152"/>
      <c r="I1341" s="204"/>
      <c r="J1341" s="285"/>
      <c r="K1341" s="251"/>
      <c r="L1341" s="133" t="str">
        <f>IF(AND(I1341&lt;&gt;"",ISERROR(IF(ISERROR(VLOOKUP(I1341*1,Summary!$C$8:$C$153,1,0)),VLOOKUP(I1341,Summary!$C$8:$C$153,1,0),VLOOKUP(I1341*1,Summary!$C$8:$C$153,1,0)))),"Add account Number to Summary","")</f>
        <v/>
      </c>
      <c r="M1341" s="131" t="str">
        <f t="shared" si="21"/>
        <v/>
      </c>
      <c r="N1341" s="287">
        <f>IF(C1341="Sale",SUMIFS($D$4:D1341,$B$4:B1341,B1341,$C$4:C1341,"")+SUMIFS($D$4:D1341,$B$4:B1341,B1341,$C$4:C1341,"Purch")-SUMIFS($D$4:D1341,$B$4:B1341,B1341,$C$4:C1341,"Sale"),0)</f>
        <v>0</v>
      </c>
    </row>
    <row r="1342" spans="1:14" x14ac:dyDescent="0.2">
      <c r="A1342" s="152"/>
      <c r="B1342" s="132"/>
      <c r="C1342" s="132"/>
      <c r="D1342" s="277"/>
      <c r="E1342" s="132"/>
      <c r="F1342" s="170"/>
      <c r="G1342" s="150"/>
      <c r="H1342" s="152"/>
      <c r="I1342" s="204"/>
      <c r="J1342" s="285"/>
      <c r="K1342" s="251"/>
      <c r="L1342" s="133" t="str">
        <f>IF(AND(I1342&lt;&gt;"",ISERROR(IF(ISERROR(VLOOKUP(I1342*1,Summary!$C$8:$C$153,1,0)),VLOOKUP(I1342,Summary!$C$8:$C$153,1,0),VLOOKUP(I1342*1,Summary!$C$8:$C$153,1,0)))),"Add account Number to Summary","")</f>
        <v/>
      </c>
      <c r="M1342" s="131" t="str">
        <f t="shared" si="21"/>
        <v/>
      </c>
      <c r="N1342" s="287">
        <f>IF(C1342="Sale",SUMIFS($D$4:D1342,$B$4:B1342,B1342,$C$4:C1342,"")+SUMIFS($D$4:D1342,$B$4:B1342,B1342,$C$4:C1342,"Purch")-SUMIFS($D$4:D1342,$B$4:B1342,B1342,$C$4:C1342,"Sale"),0)</f>
        <v>0</v>
      </c>
    </row>
    <row r="1343" spans="1:14" x14ac:dyDescent="0.2">
      <c r="A1343" s="152"/>
      <c r="B1343" s="132"/>
      <c r="C1343" s="132"/>
      <c r="D1343" s="277"/>
      <c r="E1343" s="132"/>
      <c r="F1343" s="170"/>
      <c r="G1343" s="150"/>
      <c r="H1343" s="152"/>
      <c r="I1343" s="204"/>
      <c r="J1343" s="285"/>
      <c r="K1343" s="251"/>
      <c r="L1343" s="133" t="str">
        <f>IF(AND(I1343&lt;&gt;"",ISERROR(IF(ISERROR(VLOOKUP(I1343*1,Summary!$C$8:$C$153,1,0)),VLOOKUP(I1343,Summary!$C$8:$C$153,1,0),VLOOKUP(I1343*1,Summary!$C$8:$C$153,1,0)))),"Add account Number to Summary","")</f>
        <v/>
      </c>
      <c r="M1343" s="131" t="str">
        <f t="shared" si="21"/>
        <v/>
      </c>
      <c r="N1343" s="287">
        <f>IF(C1343="Sale",SUMIFS($D$4:D1343,$B$4:B1343,B1343,$C$4:C1343,"")+SUMIFS($D$4:D1343,$B$4:B1343,B1343,$C$4:C1343,"Purch")-SUMIFS($D$4:D1343,$B$4:B1343,B1343,$C$4:C1343,"Sale"),0)</f>
        <v>0</v>
      </c>
    </row>
    <row r="1344" spans="1:14" x14ac:dyDescent="0.2">
      <c r="A1344" s="152"/>
      <c r="B1344" s="132"/>
      <c r="C1344" s="132"/>
      <c r="D1344" s="277"/>
      <c r="E1344" s="132"/>
      <c r="F1344" s="170"/>
      <c r="G1344" s="150"/>
      <c r="H1344" s="152"/>
      <c r="I1344" s="204"/>
      <c r="J1344" s="285"/>
      <c r="K1344" s="251"/>
      <c r="L1344" s="133" t="str">
        <f>IF(AND(I1344&lt;&gt;"",ISERROR(IF(ISERROR(VLOOKUP(I1344*1,Summary!$C$8:$C$153,1,0)),VLOOKUP(I1344,Summary!$C$8:$C$153,1,0),VLOOKUP(I1344*1,Summary!$C$8:$C$153,1,0)))),"Add account Number to Summary","")</f>
        <v/>
      </c>
      <c r="M1344" s="131" t="str">
        <f t="shared" si="21"/>
        <v/>
      </c>
      <c r="N1344" s="287">
        <f>IF(C1344="Sale",SUMIFS($D$4:D1344,$B$4:B1344,B1344,$C$4:C1344,"")+SUMIFS($D$4:D1344,$B$4:B1344,B1344,$C$4:C1344,"Purch")-SUMIFS($D$4:D1344,$B$4:B1344,B1344,$C$4:C1344,"Sale"),0)</f>
        <v>0</v>
      </c>
    </row>
    <row r="1345" spans="1:14" x14ac:dyDescent="0.2">
      <c r="A1345" s="152"/>
      <c r="B1345" s="132"/>
      <c r="C1345" s="132"/>
      <c r="D1345" s="277"/>
      <c r="E1345" s="132"/>
      <c r="F1345" s="170"/>
      <c r="G1345" s="150"/>
      <c r="H1345" s="152"/>
      <c r="I1345" s="204"/>
      <c r="J1345" s="285"/>
      <c r="K1345" s="251"/>
      <c r="L1345" s="133" t="str">
        <f>IF(AND(I1345&lt;&gt;"",ISERROR(IF(ISERROR(VLOOKUP(I1345*1,Summary!$C$8:$C$153,1,0)),VLOOKUP(I1345,Summary!$C$8:$C$153,1,0),VLOOKUP(I1345*1,Summary!$C$8:$C$153,1,0)))),"Add account Number to Summary","")</f>
        <v/>
      </c>
      <c r="M1345" s="131" t="str">
        <f t="shared" si="21"/>
        <v/>
      </c>
      <c r="N1345" s="287">
        <f>IF(C1345="Sale",SUMIFS($D$4:D1345,$B$4:B1345,B1345,$C$4:C1345,"")+SUMIFS($D$4:D1345,$B$4:B1345,B1345,$C$4:C1345,"Purch")-SUMIFS($D$4:D1345,$B$4:B1345,B1345,$C$4:C1345,"Sale"),0)</f>
        <v>0</v>
      </c>
    </row>
    <row r="1346" spans="1:14" x14ac:dyDescent="0.2">
      <c r="A1346" s="152"/>
      <c r="B1346" s="132"/>
      <c r="C1346" s="132"/>
      <c r="D1346" s="277"/>
      <c r="E1346" s="132"/>
      <c r="F1346" s="170"/>
      <c r="G1346" s="150"/>
      <c r="H1346" s="152"/>
      <c r="I1346" s="204"/>
      <c r="J1346" s="285"/>
      <c r="K1346" s="251"/>
      <c r="L1346" s="133" t="str">
        <f>IF(AND(I1346&lt;&gt;"",ISERROR(IF(ISERROR(VLOOKUP(I1346*1,Summary!$C$8:$C$153,1,0)),VLOOKUP(I1346,Summary!$C$8:$C$153,1,0),VLOOKUP(I1346*1,Summary!$C$8:$C$153,1,0)))),"Add account Number to Summary","")</f>
        <v/>
      </c>
      <c r="M1346" s="131" t="str">
        <f t="shared" si="21"/>
        <v/>
      </c>
      <c r="N1346" s="287">
        <f>IF(C1346="Sale",SUMIFS($D$4:D1346,$B$4:B1346,B1346,$C$4:C1346,"")+SUMIFS($D$4:D1346,$B$4:B1346,B1346,$C$4:C1346,"Purch")-SUMIFS($D$4:D1346,$B$4:B1346,B1346,$C$4:C1346,"Sale"),0)</f>
        <v>0</v>
      </c>
    </row>
    <row r="1347" spans="1:14" x14ac:dyDescent="0.2">
      <c r="A1347" s="152"/>
      <c r="B1347" s="132"/>
      <c r="C1347" s="132"/>
      <c r="D1347" s="277"/>
      <c r="E1347" s="132"/>
      <c r="F1347" s="170"/>
      <c r="G1347" s="150"/>
      <c r="H1347" s="152"/>
      <c r="I1347" s="204"/>
      <c r="J1347" s="285"/>
      <c r="K1347" s="251"/>
      <c r="L1347" s="133" t="str">
        <f>IF(AND(I1347&lt;&gt;"",ISERROR(IF(ISERROR(VLOOKUP(I1347*1,Summary!$C$8:$C$153,1,0)),VLOOKUP(I1347,Summary!$C$8:$C$153,1,0),VLOOKUP(I1347*1,Summary!$C$8:$C$153,1,0)))),"Add account Number to Summary","")</f>
        <v/>
      </c>
      <c r="M1347" s="131" t="str">
        <f t="shared" si="21"/>
        <v/>
      </c>
      <c r="N1347" s="287">
        <f>IF(C1347="Sale",SUMIFS($D$4:D1347,$B$4:B1347,B1347,$C$4:C1347,"")+SUMIFS($D$4:D1347,$B$4:B1347,B1347,$C$4:C1347,"Purch")-SUMIFS($D$4:D1347,$B$4:B1347,B1347,$C$4:C1347,"Sale"),0)</f>
        <v>0</v>
      </c>
    </row>
    <row r="1348" spans="1:14" x14ac:dyDescent="0.2">
      <c r="A1348" s="152"/>
      <c r="B1348" s="132"/>
      <c r="C1348" s="132"/>
      <c r="D1348" s="277"/>
      <c r="E1348" s="132"/>
      <c r="F1348" s="170"/>
      <c r="G1348" s="150"/>
      <c r="H1348" s="152"/>
      <c r="I1348" s="204"/>
      <c r="J1348" s="285"/>
      <c r="K1348" s="251"/>
      <c r="L1348" s="133" t="str">
        <f>IF(AND(I1348&lt;&gt;"",ISERROR(IF(ISERROR(VLOOKUP(I1348*1,Summary!$C$8:$C$153,1,0)),VLOOKUP(I1348,Summary!$C$8:$C$153,1,0),VLOOKUP(I1348*1,Summary!$C$8:$C$153,1,0)))),"Add account Number to Summary","")</f>
        <v/>
      </c>
      <c r="M1348" s="131" t="str">
        <f t="shared" si="21"/>
        <v/>
      </c>
      <c r="N1348" s="287">
        <f>IF(C1348="Sale",SUMIFS($D$4:D1348,$B$4:B1348,B1348,$C$4:C1348,"")+SUMIFS($D$4:D1348,$B$4:B1348,B1348,$C$4:C1348,"Purch")-SUMIFS($D$4:D1348,$B$4:B1348,B1348,$C$4:C1348,"Sale"),0)</f>
        <v>0</v>
      </c>
    </row>
    <row r="1349" spans="1:14" x14ac:dyDescent="0.2">
      <c r="A1349" s="152"/>
      <c r="B1349" s="132"/>
      <c r="C1349" s="132"/>
      <c r="D1349" s="277"/>
      <c r="E1349" s="132"/>
      <c r="F1349" s="170"/>
      <c r="G1349" s="150"/>
      <c r="H1349" s="152"/>
      <c r="I1349" s="204"/>
      <c r="J1349" s="285"/>
      <c r="K1349" s="251"/>
      <c r="L1349" s="133" t="str">
        <f>IF(AND(I1349&lt;&gt;"",ISERROR(IF(ISERROR(VLOOKUP(I1349*1,Summary!$C$8:$C$153,1,0)),VLOOKUP(I1349,Summary!$C$8:$C$153,1,0),VLOOKUP(I1349*1,Summary!$C$8:$C$153,1,0)))),"Add account Number to Summary","")</f>
        <v/>
      </c>
      <c r="M1349" s="131" t="str">
        <f t="shared" si="21"/>
        <v/>
      </c>
      <c r="N1349" s="287">
        <f>IF(C1349="Sale",SUMIFS($D$4:D1349,$B$4:B1349,B1349,$C$4:C1349,"")+SUMIFS($D$4:D1349,$B$4:B1349,B1349,$C$4:C1349,"Purch")-SUMIFS($D$4:D1349,$B$4:B1349,B1349,$C$4:C1349,"Sale"),0)</f>
        <v>0</v>
      </c>
    </row>
    <row r="1350" spans="1:14" x14ac:dyDescent="0.2">
      <c r="A1350" s="152"/>
      <c r="B1350" s="132"/>
      <c r="C1350" s="132"/>
      <c r="D1350" s="277"/>
      <c r="E1350" s="132"/>
      <c r="F1350" s="170"/>
      <c r="G1350" s="150"/>
      <c r="H1350" s="152"/>
      <c r="I1350" s="204"/>
      <c r="J1350" s="285"/>
      <c r="K1350" s="251"/>
      <c r="L1350" s="133" t="str">
        <f>IF(AND(I1350&lt;&gt;"",ISERROR(IF(ISERROR(VLOOKUP(I1350*1,Summary!$C$8:$C$153,1,0)),VLOOKUP(I1350,Summary!$C$8:$C$153,1,0),VLOOKUP(I1350*1,Summary!$C$8:$C$153,1,0)))),"Add account Number to Summary","")</f>
        <v/>
      </c>
      <c r="M1350" s="131" t="str">
        <f t="shared" si="21"/>
        <v/>
      </c>
      <c r="N1350" s="287">
        <f>IF(C1350="Sale",SUMIFS($D$4:D1350,$B$4:B1350,B1350,$C$4:C1350,"")+SUMIFS($D$4:D1350,$B$4:B1350,B1350,$C$4:C1350,"Purch")-SUMIFS($D$4:D1350,$B$4:B1350,B1350,$C$4:C1350,"Sale"),0)</f>
        <v>0</v>
      </c>
    </row>
    <row r="1351" spans="1:14" x14ac:dyDescent="0.2">
      <c r="A1351" s="152"/>
      <c r="B1351" s="132"/>
      <c r="C1351" s="132"/>
      <c r="D1351" s="277"/>
      <c r="E1351" s="132"/>
      <c r="F1351" s="170"/>
      <c r="G1351" s="150"/>
      <c r="H1351" s="152"/>
      <c r="I1351" s="204"/>
      <c r="J1351" s="285"/>
      <c r="K1351" s="251"/>
      <c r="L1351" s="133" t="str">
        <f>IF(AND(I1351&lt;&gt;"",ISERROR(IF(ISERROR(VLOOKUP(I1351*1,Summary!$C$8:$C$153,1,0)),VLOOKUP(I1351,Summary!$C$8:$C$153,1,0),VLOOKUP(I1351*1,Summary!$C$8:$C$153,1,0)))),"Add account Number to Summary","")</f>
        <v/>
      </c>
      <c r="M1351" s="131" t="str">
        <f t="shared" si="21"/>
        <v/>
      </c>
      <c r="N1351" s="287">
        <f>IF(C1351="Sale",SUMIFS($D$4:D1351,$B$4:B1351,B1351,$C$4:C1351,"")+SUMIFS($D$4:D1351,$B$4:B1351,B1351,$C$4:C1351,"Purch")-SUMIFS($D$4:D1351,$B$4:B1351,B1351,$C$4:C1351,"Sale"),0)</f>
        <v>0</v>
      </c>
    </row>
    <row r="1352" spans="1:14" x14ac:dyDescent="0.2">
      <c r="A1352" s="152"/>
      <c r="B1352" s="132"/>
      <c r="C1352" s="132"/>
      <c r="D1352" s="277"/>
      <c r="E1352" s="132"/>
      <c r="F1352" s="170"/>
      <c r="G1352" s="150"/>
      <c r="H1352" s="152"/>
      <c r="I1352" s="204"/>
      <c r="J1352" s="285"/>
      <c r="K1352" s="251"/>
      <c r="L1352" s="133" t="str">
        <f>IF(AND(I1352&lt;&gt;"",ISERROR(IF(ISERROR(VLOOKUP(I1352*1,Summary!$C$8:$C$153,1,0)),VLOOKUP(I1352,Summary!$C$8:$C$153,1,0),VLOOKUP(I1352*1,Summary!$C$8:$C$153,1,0)))),"Add account Number to Summary","")</f>
        <v/>
      </c>
      <c r="M1352" s="131" t="str">
        <f t="shared" si="21"/>
        <v/>
      </c>
      <c r="N1352" s="287">
        <f>IF(C1352="Sale",SUMIFS($D$4:D1352,$B$4:B1352,B1352,$C$4:C1352,"")+SUMIFS($D$4:D1352,$B$4:B1352,B1352,$C$4:C1352,"Purch")-SUMIFS($D$4:D1352,$B$4:B1352,B1352,$C$4:C1352,"Sale"),0)</f>
        <v>0</v>
      </c>
    </row>
    <row r="1353" spans="1:14" x14ac:dyDescent="0.2">
      <c r="A1353" s="152"/>
      <c r="B1353" s="132"/>
      <c r="C1353" s="132"/>
      <c r="D1353" s="277"/>
      <c r="E1353" s="132"/>
      <c r="F1353" s="170"/>
      <c r="G1353" s="150"/>
      <c r="H1353" s="152"/>
      <c r="I1353" s="204"/>
      <c r="J1353" s="285"/>
      <c r="K1353" s="251"/>
      <c r="L1353" s="133" t="str">
        <f>IF(AND(I1353&lt;&gt;"",ISERROR(IF(ISERROR(VLOOKUP(I1353*1,Summary!$C$8:$C$153,1,0)),VLOOKUP(I1353,Summary!$C$8:$C$153,1,0),VLOOKUP(I1353*1,Summary!$C$8:$C$153,1,0)))),"Add account Number to Summary","")</f>
        <v/>
      </c>
      <c r="M1353" s="131" t="str">
        <f t="shared" si="21"/>
        <v/>
      </c>
      <c r="N1353" s="287">
        <f>IF(C1353="Sale",SUMIFS($D$4:D1353,$B$4:B1353,B1353,$C$4:C1353,"")+SUMIFS($D$4:D1353,$B$4:B1353,B1353,$C$4:C1353,"Purch")-SUMIFS($D$4:D1353,$B$4:B1353,B1353,$C$4:C1353,"Sale"),0)</f>
        <v>0</v>
      </c>
    </row>
    <row r="1354" spans="1:14" x14ac:dyDescent="0.2">
      <c r="A1354" s="152"/>
      <c r="B1354" s="132"/>
      <c r="C1354" s="132"/>
      <c r="D1354" s="277"/>
      <c r="E1354" s="132"/>
      <c r="F1354" s="170"/>
      <c r="G1354" s="150"/>
      <c r="H1354" s="152"/>
      <c r="I1354" s="204"/>
      <c r="J1354" s="285"/>
      <c r="K1354" s="251"/>
      <c r="L1354" s="133" t="str">
        <f>IF(AND(I1354&lt;&gt;"",ISERROR(IF(ISERROR(VLOOKUP(I1354*1,Summary!$C$8:$C$153,1,0)),VLOOKUP(I1354,Summary!$C$8:$C$153,1,0),VLOOKUP(I1354*1,Summary!$C$8:$C$153,1,0)))),"Add account Number to Summary","")</f>
        <v/>
      </c>
      <c r="M1354" s="131" t="str">
        <f t="shared" si="21"/>
        <v/>
      </c>
      <c r="N1354" s="287">
        <f>IF(C1354="Sale",SUMIFS($D$4:D1354,$B$4:B1354,B1354,$C$4:C1354,"")+SUMIFS($D$4:D1354,$B$4:B1354,B1354,$C$4:C1354,"Purch")-SUMIFS($D$4:D1354,$B$4:B1354,B1354,$C$4:C1354,"Sale"),0)</f>
        <v>0</v>
      </c>
    </row>
    <row r="1355" spans="1:14" x14ac:dyDescent="0.2">
      <c r="A1355" s="152"/>
      <c r="B1355" s="132"/>
      <c r="C1355" s="132"/>
      <c r="D1355" s="277"/>
      <c r="E1355" s="132"/>
      <c r="F1355" s="170"/>
      <c r="G1355" s="150"/>
      <c r="H1355" s="152"/>
      <c r="I1355" s="204"/>
      <c r="J1355" s="285"/>
      <c r="K1355" s="251"/>
      <c r="L1355" s="133" t="str">
        <f>IF(AND(I1355&lt;&gt;"",ISERROR(IF(ISERROR(VLOOKUP(I1355*1,Summary!$C$8:$C$153,1,0)),VLOOKUP(I1355,Summary!$C$8:$C$153,1,0),VLOOKUP(I1355*1,Summary!$C$8:$C$153,1,0)))),"Add account Number to Summary","")</f>
        <v/>
      </c>
      <c r="M1355" s="131" t="str">
        <f t="shared" si="21"/>
        <v/>
      </c>
      <c r="N1355" s="287">
        <f>IF(C1355="Sale",SUMIFS($D$4:D1355,$B$4:B1355,B1355,$C$4:C1355,"")+SUMIFS($D$4:D1355,$B$4:B1355,B1355,$C$4:C1355,"Purch")-SUMIFS($D$4:D1355,$B$4:B1355,B1355,$C$4:C1355,"Sale"),0)</f>
        <v>0</v>
      </c>
    </row>
    <row r="1356" spans="1:14" x14ac:dyDescent="0.2">
      <c r="A1356" s="152"/>
      <c r="B1356" s="132"/>
      <c r="C1356" s="132"/>
      <c r="D1356" s="277"/>
      <c r="E1356" s="132"/>
      <c r="F1356" s="170"/>
      <c r="G1356" s="150"/>
      <c r="H1356" s="152"/>
      <c r="I1356" s="204"/>
      <c r="J1356" s="285"/>
      <c r="K1356" s="251"/>
      <c r="L1356" s="133" t="str">
        <f>IF(AND(I1356&lt;&gt;"",ISERROR(IF(ISERROR(VLOOKUP(I1356*1,Summary!$C$8:$C$153,1,0)),VLOOKUP(I1356,Summary!$C$8:$C$153,1,0),VLOOKUP(I1356*1,Summary!$C$8:$C$153,1,0)))),"Add account Number to Summary","")</f>
        <v/>
      </c>
      <c r="M1356" s="131" t="str">
        <f t="shared" si="21"/>
        <v/>
      </c>
      <c r="N1356" s="287">
        <f>IF(C1356="Sale",SUMIFS($D$4:D1356,$B$4:B1356,B1356,$C$4:C1356,"")+SUMIFS($D$4:D1356,$B$4:B1356,B1356,$C$4:C1356,"Purch")-SUMIFS($D$4:D1356,$B$4:B1356,B1356,$C$4:C1356,"Sale"),0)</f>
        <v>0</v>
      </c>
    </row>
    <row r="1357" spans="1:14" x14ac:dyDescent="0.2">
      <c r="A1357" s="152"/>
      <c r="B1357" s="132"/>
      <c r="C1357" s="132"/>
      <c r="D1357" s="277"/>
      <c r="E1357" s="132"/>
      <c r="F1357" s="170"/>
      <c r="G1357" s="150"/>
      <c r="H1357" s="152"/>
      <c r="I1357" s="204"/>
      <c r="J1357" s="285"/>
      <c r="K1357" s="251"/>
      <c r="L1357" s="133" t="str">
        <f>IF(AND(I1357&lt;&gt;"",ISERROR(IF(ISERROR(VLOOKUP(I1357*1,Summary!$C$8:$C$153,1,0)),VLOOKUP(I1357,Summary!$C$8:$C$153,1,0),VLOOKUP(I1357*1,Summary!$C$8:$C$153,1,0)))),"Add account Number to Summary","")</f>
        <v/>
      </c>
      <c r="M1357" s="131" t="str">
        <f t="shared" si="21"/>
        <v/>
      </c>
      <c r="N1357" s="287">
        <f>IF(C1357="Sale",SUMIFS($D$4:D1357,$B$4:B1357,B1357,$C$4:C1357,"")+SUMIFS($D$4:D1357,$B$4:B1357,B1357,$C$4:C1357,"Purch")-SUMIFS($D$4:D1357,$B$4:B1357,B1357,$C$4:C1357,"Sale"),0)</f>
        <v>0</v>
      </c>
    </row>
    <row r="1358" spans="1:14" x14ac:dyDescent="0.2">
      <c r="A1358" s="152"/>
      <c r="B1358" s="132"/>
      <c r="C1358" s="132"/>
      <c r="D1358" s="277"/>
      <c r="E1358" s="132"/>
      <c r="F1358" s="170"/>
      <c r="G1358" s="150"/>
      <c r="H1358" s="152"/>
      <c r="I1358" s="204"/>
      <c r="J1358" s="285"/>
      <c r="K1358" s="251"/>
      <c r="L1358" s="133" t="str">
        <f>IF(AND(I1358&lt;&gt;"",ISERROR(IF(ISERROR(VLOOKUP(I1358*1,Summary!$C$8:$C$153,1,0)),VLOOKUP(I1358,Summary!$C$8:$C$153,1,0),VLOOKUP(I1358*1,Summary!$C$8:$C$153,1,0)))),"Add account Number to Summary","")</f>
        <v/>
      </c>
      <c r="M1358" s="131" t="str">
        <f t="shared" si="21"/>
        <v/>
      </c>
      <c r="N1358" s="287">
        <f>IF(C1358="Sale",SUMIFS($D$4:D1358,$B$4:B1358,B1358,$C$4:C1358,"")+SUMIFS($D$4:D1358,$B$4:B1358,B1358,$C$4:C1358,"Purch")-SUMIFS($D$4:D1358,$B$4:B1358,B1358,$C$4:C1358,"Sale"),0)</f>
        <v>0</v>
      </c>
    </row>
    <row r="1359" spans="1:14" x14ac:dyDescent="0.2">
      <c r="A1359" s="152"/>
      <c r="B1359" s="132"/>
      <c r="C1359" s="132"/>
      <c r="D1359" s="277"/>
      <c r="E1359" s="132"/>
      <c r="F1359" s="170"/>
      <c r="G1359" s="150"/>
      <c r="H1359" s="152"/>
      <c r="I1359" s="204"/>
      <c r="J1359" s="285"/>
      <c r="K1359" s="251"/>
      <c r="L1359" s="133" t="str">
        <f>IF(AND(I1359&lt;&gt;"",ISERROR(IF(ISERROR(VLOOKUP(I1359*1,Summary!$C$8:$C$153,1,0)),VLOOKUP(I1359,Summary!$C$8:$C$153,1,0),VLOOKUP(I1359*1,Summary!$C$8:$C$153,1,0)))),"Add account Number to Summary","")</f>
        <v/>
      </c>
      <c r="M1359" s="131" t="str">
        <f t="shared" si="21"/>
        <v/>
      </c>
      <c r="N1359" s="287">
        <f>IF(C1359="Sale",SUMIFS($D$4:D1359,$B$4:B1359,B1359,$C$4:C1359,"")+SUMIFS($D$4:D1359,$B$4:B1359,B1359,$C$4:C1359,"Purch")-SUMIFS($D$4:D1359,$B$4:B1359,B1359,$C$4:C1359,"Sale"),0)</f>
        <v>0</v>
      </c>
    </row>
    <row r="1360" spans="1:14" x14ac:dyDescent="0.2">
      <c r="A1360" s="152"/>
      <c r="B1360" s="132"/>
      <c r="C1360" s="132"/>
      <c r="D1360" s="277"/>
      <c r="E1360" s="132"/>
      <c r="F1360" s="170"/>
      <c r="G1360" s="150"/>
      <c r="H1360" s="152"/>
      <c r="I1360" s="204"/>
      <c r="J1360" s="285"/>
      <c r="K1360" s="251"/>
      <c r="L1360" s="133" t="str">
        <f>IF(AND(I1360&lt;&gt;"",ISERROR(IF(ISERROR(VLOOKUP(I1360*1,Summary!$C$8:$C$153,1,0)),VLOOKUP(I1360,Summary!$C$8:$C$153,1,0),VLOOKUP(I1360*1,Summary!$C$8:$C$153,1,0)))),"Add account Number to Summary","")</f>
        <v/>
      </c>
      <c r="M1360" s="131" t="str">
        <f t="shared" si="21"/>
        <v/>
      </c>
      <c r="N1360" s="287">
        <f>IF(C1360="Sale",SUMIFS($D$4:D1360,$B$4:B1360,B1360,$C$4:C1360,"")+SUMIFS($D$4:D1360,$B$4:B1360,B1360,$C$4:C1360,"Purch")-SUMIFS($D$4:D1360,$B$4:B1360,B1360,$C$4:C1360,"Sale"),0)</f>
        <v>0</v>
      </c>
    </row>
    <row r="1361" spans="1:14" x14ac:dyDescent="0.2">
      <c r="A1361" s="152"/>
      <c r="B1361" s="132"/>
      <c r="C1361" s="132"/>
      <c r="D1361" s="277"/>
      <c r="E1361" s="132"/>
      <c r="F1361" s="170"/>
      <c r="G1361" s="150"/>
      <c r="H1361" s="152"/>
      <c r="I1361" s="204"/>
      <c r="J1361" s="285"/>
      <c r="K1361" s="251"/>
      <c r="L1361" s="133" t="str">
        <f>IF(AND(I1361&lt;&gt;"",ISERROR(IF(ISERROR(VLOOKUP(I1361*1,Summary!$C$8:$C$153,1,0)),VLOOKUP(I1361,Summary!$C$8:$C$153,1,0),VLOOKUP(I1361*1,Summary!$C$8:$C$153,1,0)))),"Add account Number to Summary","")</f>
        <v/>
      </c>
      <c r="M1361" s="131" t="str">
        <f t="shared" si="21"/>
        <v/>
      </c>
      <c r="N1361" s="287">
        <f>IF(C1361="Sale",SUMIFS($D$4:D1361,$B$4:B1361,B1361,$C$4:C1361,"")+SUMIFS($D$4:D1361,$B$4:B1361,B1361,$C$4:C1361,"Purch")-SUMIFS($D$4:D1361,$B$4:B1361,B1361,$C$4:C1361,"Sale"),0)</f>
        <v>0</v>
      </c>
    </row>
    <row r="1362" spans="1:14" x14ac:dyDescent="0.2">
      <c r="A1362" s="152"/>
      <c r="B1362" s="132"/>
      <c r="C1362" s="132"/>
      <c r="D1362" s="277"/>
      <c r="E1362" s="132"/>
      <c r="F1362" s="170"/>
      <c r="G1362" s="150"/>
      <c r="H1362" s="152"/>
      <c r="I1362" s="204"/>
      <c r="J1362" s="285"/>
      <c r="K1362" s="251"/>
      <c r="L1362" s="133" t="str">
        <f>IF(AND(I1362&lt;&gt;"",ISERROR(IF(ISERROR(VLOOKUP(I1362*1,Summary!$C$8:$C$153,1,0)),VLOOKUP(I1362,Summary!$C$8:$C$153,1,0),VLOOKUP(I1362*1,Summary!$C$8:$C$153,1,0)))),"Add account Number to Summary","")</f>
        <v/>
      </c>
      <c r="M1362" s="131" t="str">
        <f t="shared" si="21"/>
        <v/>
      </c>
      <c r="N1362" s="287">
        <f>IF(C1362="Sale",SUMIFS($D$4:D1362,$B$4:B1362,B1362,$C$4:C1362,"")+SUMIFS($D$4:D1362,$B$4:B1362,B1362,$C$4:C1362,"Purch")-SUMIFS($D$4:D1362,$B$4:B1362,B1362,$C$4:C1362,"Sale"),0)</f>
        <v>0</v>
      </c>
    </row>
    <row r="1363" spans="1:14" x14ac:dyDescent="0.2">
      <c r="A1363" s="152"/>
      <c r="B1363" s="132"/>
      <c r="C1363" s="132"/>
      <c r="D1363" s="277"/>
      <c r="E1363" s="132"/>
      <c r="F1363" s="170"/>
      <c r="G1363" s="150"/>
      <c r="H1363" s="152"/>
      <c r="I1363" s="204"/>
      <c r="J1363" s="285"/>
      <c r="K1363" s="251"/>
      <c r="L1363" s="133" t="str">
        <f>IF(AND(I1363&lt;&gt;"",ISERROR(IF(ISERROR(VLOOKUP(I1363*1,Summary!$C$8:$C$153,1,0)),VLOOKUP(I1363,Summary!$C$8:$C$153,1,0),VLOOKUP(I1363*1,Summary!$C$8:$C$153,1,0)))),"Add account Number to Summary","")</f>
        <v/>
      </c>
      <c r="M1363" s="131" t="str">
        <f t="shared" si="21"/>
        <v/>
      </c>
      <c r="N1363" s="287">
        <f>IF(C1363="Sale",SUMIFS($D$4:D1363,$B$4:B1363,B1363,$C$4:C1363,"")+SUMIFS($D$4:D1363,$B$4:B1363,B1363,$C$4:C1363,"Purch")-SUMIFS($D$4:D1363,$B$4:B1363,B1363,$C$4:C1363,"Sale"),0)</f>
        <v>0</v>
      </c>
    </row>
    <row r="1364" spans="1:14" x14ac:dyDescent="0.2">
      <c r="A1364" s="152"/>
      <c r="B1364" s="132"/>
      <c r="C1364" s="132"/>
      <c r="D1364" s="277"/>
      <c r="E1364" s="132"/>
      <c r="F1364" s="170"/>
      <c r="G1364" s="150"/>
      <c r="H1364" s="152"/>
      <c r="I1364" s="204"/>
      <c r="J1364" s="285"/>
      <c r="K1364" s="251"/>
      <c r="L1364" s="133" t="str">
        <f>IF(AND(I1364&lt;&gt;"",ISERROR(IF(ISERROR(VLOOKUP(I1364*1,Summary!$C$8:$C$153,1,0)),VLOOKUP(I1364,Summary!$C$8:$C$153,1,0),VLOOKUP(I1364*1,Summary!$C$8:$C$153,1,0)))),"Add account Number to Summary","")</f>
        <v/>
      </c>
      <c r="M1364" s="131" t="str">
        <f t="shared" si="21"/>
        <v/>
      </c>
      <c r="N1364" s="287">
        <f>IF(C1364="Sale",SUMIFS($D$4:D1364,$B$4:B1364,B1364,$C$4:C1364,"")+SUMIFS($D$4:D1364,$B$4:B1364,B1364,$C$4:C1364,"Purch")-SUMIFS($D$4:D1364,$B$4:B1364,B1364,$C$4:C1364,"Sale"),0)</f>
        <v>0</v>
      </c>
    </row>
    <row r="1365" spans="1:14" x14ac:dyDescent="0.2">
      <c r="A1365" s="152"/>
      <c r="B1365" s="132"/>
      <c r="C1365" s="132"/>
      <c r="D1365" s="277"/>
      <c r="E1365" s="132"/>
      <c r="F1365" s="170"/>
      <c r="G1365" s="150"/>
      <c r="H1365" s="152"/>
      <c r="I1365" s="204"/>
      <c r="J1365" s="285"/>
      <c r="K1365" s="251"/>
      <c r="L1365" s="133" t="str">
        <f>IF(AND(I1365&lt;&gt;"",ISERROR(IF(ISERROR(VLOOKUP(I1365*1,Summary!$C$8:$C$153,1,0)),VLOOKUP(I1365,Summary!$C$8:$C$153,1,0),VLOOKUP(I1365*1,Summary!$C$8:$C$153,1,0)))),"Add account Number to Summary","")</f>
        <v/>
      </c>
      <c r="M1365" s="131" t="str">
        <f t="shared" si="21"/>
        <v/>
      </c>
      <c r="N1365" s="287">
        <f>IF(C1365="Sale",SUMIFS($D$4:D1365,$B$4:B1365,B1365,$C$4:C1365,"")+SUMIFS($D$4:D1365,$B$4:B1365,B1365,$C$4:C1365,"Purch")-SUMIFS($D$4:D1365,$B$4:B1365,B1365,$C$4:C1365,"Sale"),0)</f>
        <v>0</v>
      </c>
    </row>
    <row r="1366" spans="1:14" x14ac:dyDescent="0.2">
      <c r="A1366" s="152"/>
      <c r="B1366" s="132"/>
      <c r="C1366" s="132"/>
      <c r="D1366" s="277"/>
      <c r="E1366" s="132"/>
      <c r="F1366" s="170"/>
      <c r="G1366" s="150"/>
      <c r="H1366" s="152"/>
      <c r="I1366" s="204"/>
      <c r="J1366" s="285"/>
      <c r="K1366" s="251"/>
      <c r="L1366" s="133" t="str">
        <f>IF(AND(I1366&lt;&gt;"",ISERROR(IF(ISERROR(VLOOKUP(I1366*1,Summary!$C$8:$C$153,1,0)),VLOOKUP(I1366,Summary!$C$8:$C$153,1,0),VLOOKUP(I1366*1,Summary!$C$8:$C$153,1,0)))),"Add account Number to Summary","")</f>
        <v/>
      </c>
      <c r="M1366" s="131" t="str">
        <f t="shared" si="21"/>
        <v/>
      </c>
      <c r="N1366" s="287">
        <f>IF(C1366="Sale",SUMIFS($D$4:D1366,$B$4:B1366,B1366,$C$4:C1366,"")+SUMIFS($D$4:D1366,$B$4:B1366,B1366,$C$4:C1366,"Purch")-SUMIFS($D$4:D1366,$B$4:B1366,B1366,$C$4:C1366,"Sale"),0)</f>
        <v>0</v>
      </c>
    </row>
    <row r="1367" spans="1:14" x14ac:dyDescent="0.2">
      <c r="A1367" s="152"/>
      <c r="B1367" s="132"/>
      <c r="C1367" s="132"/>
      <c r="D1367" s="277"/>
      <c r="E1367" s="132"/>
      <c r="F1367" s="170"/>
      <c r="G1367" s="150"/>
      <c r="H1367" s="152"/>
      <c r="I1367" s="204"/>
      <c r="J1367" s="285"/>
      <c r="K1367" s="251"/>
      <c r="L1367" s="133" t="str">
        <f>IF(AND(I1367&lt;&gt;"",ISERROR(IF(ISERROR(VLOOKUP(I1367*1,Summary!$C$8:$C$153,1,0)),VLOOKUP(I1367,Summary!$C$8:$C$153,1,0),VLOOKUP(I1367*1,Summary!$C$8:$C$153,1,0)))),"Add account Number to Summary","")</f>
        <v/>
      </c>
      <c r="M1367" s="131" t="str">
        <f t="shared" si="21"/>
        <v/>
      </c>
      <c r="N1367" s="287">
        <f>IF(C1367="Sale",SUMIFS($D$4:D1367,$B$4:B1367,B1367,$C$4:C1367,"")+SUMIFS($D$4:D1367,$B$4:B1367,B1367,$C$4:C1367,"Purch")-SUMIFS($D$4:D1367,$B$4:B1367,B1367,$C$4:C1367,"Sale"),0)</f>
        <v>0</v>
      </c>
    </row>
    <row r="1368" spans="1:14" x14ac:dyDescent="0.2">
      <c r="A1368" s="152"/>
      <c r="B1368" s="132"/>
      <c r="C1368" s="132"/>
      <c r="D1368" s="277"/>
      <c r="E1368" s="132"/>
      <c r="F1368" s="170"/>
      <c r="G1368" s="150"/>
      <c r="H1368" s="152"/>
      <c r="I1368" s="204"/>
      <c r="J1368" s="285"/>
      <c r="K1368" s="251"/>
      <c r="L1368" s="133" t="str">
        <f>IF(AND(I1368&lt;&gt;"",ISERROR(IF(ISERROR(VLOOKUP(I1368*1,Summary!$C$8:$C$153,1,0)),VLOOKUP(I1368,Summary!$C$8:$C$153,1,0),VLOOKUP(I1368*1,Summary!$C$8:$C$153,1,0)))),"Add account Number to Summary","")</f>
        <v/>
      </c>
      <c r="M1368" s="131" t="str">
        <f t="shared" si="21"/>
        <v/>
      </c>
      <c r="N1368" s="287">
        <f>IF(C1368="Sale",SUMIFS($D$4:D1368,$B$4:B1368,B1368,$C$4:C1368,"")+SUMIFS($D$4:D1368,$B$4:B1368,B1368,$C$4:C1368,"Purch")-SUMIFS($D$4:D1368,$B$4:B1368,B1368,$C$4:C1368,"Sale"),0)</f>
        <v>0</v>
      </c>
    </row>
    <row r="1369" spans="1:14" x14ac:dyDescent="0.2">
      <c r="A1369" s="152"/>
      <c r="B1369" s="132"/>
      <c r="C1369" s="132"/>
      <c r="D1369" s="277"/>
      <c r="E1369" s="132"/>
      <c r="F1369" s="170"/>
      <c r="G1369" s="150"/>
      <c r="H1369" s="152"/>
      <c r="I1369" s="204"/>
      <c r="J1369" s="285"/>
      <c r="K1369" s="251"/>
      <c r="L1369" s="133" t="str">
        <f>IF(AND(I1369&lt;&gt;"",ISERROR(IF(ISERROR(VLOOKUP(I1369*1,Summary!$C$8:$C$153,1,0)),VLOOKUP(I1369,Summary!$C$8:$C$153,1,0),VLOOKUP(I1369*1,Summary!$C$8:$C$153,1,0)))),"Add account Number to Summary","")</f>
        <v/>
      </c>
      <c r="M1369" s="131" t="str">
        <f t="shared" si="21"/>
        <v/>
      </c>
      <c r="N1369" s="287">
        <f>IF(C1369="Sale",SUMIFS($D$4:D1369,$B$4:B1369,B1369,$C$4:C1369,"")+SUMIFS($D$4:D1369,$B$4:B1369,B1369,$C$4:C1369,"Purch")-SUMIFS($D$4:D1369,$B$4:B1369,B1369,$C$4:C1369,"Sale"),0)</f>
        <v>0</v>
      </c>
    </row>
    <row r="1370" spans="1:14" x14ac:dyDescent="0.2">
      <c r="A1370" s="152"/>
      <c r="B1370" s="132"/>
      <c r="C1370" s="132"/>
      <c r="D1370" s="277"/>
      <c r="E1370" s="132"/>
      <c r="F1370" s="170"/>
      <c r="G1370" s="150"/>
      <c r="H1370" s="152"/>
      <c r="I1370" s="204"/>
      <c r="J1370" s="285"/>
      <c r="K1370" s="251"/>
      <c r="L1370" s="133" t="str">
        <f>IF(AND(I1370&lt;&gt;"",ISERROR(IF(ISERROR(VLOOKUP(I1370*1,Summary!$C$8:$C$153,1,0)),VLOOKUP(I1370,Summary!$C$8:$C$153,1,0),VLOOKUP(I1370*1,Summary!$C$8:$C$153,1,0)))),"Add account Number to Summary","")</f>
        <v/>
      </c>
      <c r="M1370" s="131" t="str">
        <f t="shared" si="21"/>
        <v/>
      </c>
      <c r="N1370" s="287">
        <f>IF(C1370="Sale",SUMIFS($D$4:D1370,$B$4:B1370,B1370,$C$4:C1370,"")+SUMIFS($D$4:D1370,$B$4:B1370,B1370,$C$4:C1370,"Purch")-SUMIFS($D$4:D1370,$B$4:B1370,B1370,$C$4:C1370,"Sale"),0)</f>
        <v>0</v>
      </c>
    </row>
    <row r="1371" spans="1:14" x14ac:dyDescent="0.2">
      <c r="A1371" s="152"/>
      <c r="B1371" s="132"/>
      <c r="C1371" s="132"/>
      <c r="D1371" s="277"/>
      <c r="E1371" s="132"/>
      <c r="F1371" s="170"/>
      <c r="G1371" s="150"/>
      <c r="H1371" s="152"/>
      <c r="I1371" s="204"/>
      <c r="J1371" s="285"/>
      <c r="K1371" s="251"/>
      <c r="L1371" s="133" t="str">
        <f>IF(AND(I1371&lt;&gt;"",ISERROR(IF(ISERROR(VLOOKUP(I1371*1,Summary!$C$8:$C$153,1,0)),VLOOKUP(I1371,Summary!$C$8:$C$153,1,0),VLOOKUP(I1371*1,Summary!$C$8:$C$153,1,0)))),"Add account Number to Summary","")</f>
        <v/>
      </c>
      <c r="M1371" s="131" t="str">
        <f t="shared" si="21"/>
        <v/>
      </c>
      <c r="N1371" s="287">
        <f>IF(C1371="Sale",SUMIFS($D$4:D1371,$B$4:B1371,B1371,$C$4:C1371,"")+SUMIFS($D$4:D1371,$B$4:B1371,B1371,$C$4:C1371,"Purch")-SUMIFS($D$4:D1371,$B$4:B1371,B1371,$C$4:C1371,"Sale"),0)</f>
        <v>0</v>
      </c>
    </row>
    <row r="1372" spans="1:14" x14ac:dyDescent="0.2">
      <c r="A1372" s="152"/>
      <c r="B1372" s="132"/>
      <c r="C1372" s="132"/>
      <c r="D1372" s="277"/>
      <c r="E1372" s="132"/>
      <c r="F1372" s="170"/>
      <c r="G1372" s="150"/>
      <c r="H1372" s="152"/>
      <c r="I1372" s="204"/>
      <c r="J1372" s="285"/>
      <c r="K1372" s="251"/>
      <c r="L1372" s="133" t="str">
        <f>IF(AND(I1372&lt;&gt;"",ISERROR(IF(ISERROR(VLOOKUP(I1372*1,Summary!$C$8:$C$153,1,0)),VLOOKUP(I1372,Summary!$C$8:$C$153,1,0),VLOOKUP(I1372*1,Summary!$C$8:$C$153,1,0)))),"Add account Number to Summary","")</f>
        <v/>
      </c>
      <c r="M1372" s="131" t="str">
        <f t="shared" si="21"/>
        <v/>
      </c>
      <c r="N1372" s="287">
        <f>IF(C1372="Sale",SUMIFS($D$4:D1372,$B$4:B1372,B1372,$C$4:C1372,"")+SUMIFS($D$4:D1372,$B$4:B1372,B1372,$C$4:C1372,"Purch")-SUMIFS($D$4:D1372,$B$4:B1372,B1372,$C$4:C1372,"Sale"),0)</f>
        <v>0</v>
      </c>
    </row>
    <row r="1373" spans="1:14" x14ac:dyDescent="0.2">
      <c r="A1373" s="152"/>
      <c r="B1373" s="132"/>
      <c r="C1373" s="132"/>
      <c r="D1373" s="277"/>
      <c r="E1373" s="132"/>
      <c r="F1373" s="170"/>
      <c r="G1373" s="150"/>
      <c r="H1373" s="152"/>
      <c r="I1373" s="204"/>
      <c r="J1373" s="285"/>
      <c r="K1373" s="251"/>
      <c r="L1373" s="133" t="str">
        <f>IF(AND(I1373&lt;&gt;"",ISERROR(IF(ISERROR(VLOOKUP(I1373*1,Summary!$C$8:$C$153,1,0)),VLOOKUP(I1373,Summary!$C$8:$C$153,1,0),VLOOKUP(I1373*1,Summary!$C$8:$C$153,1,0)))),"Add account Number to Summary","")</f>
        <v/>
      </c>
      <c r="M1373" s="131" t="str">
        <f t="shared" si="21"/>
        <v/>
      </c>
      <c r="N1373" s="287">
        <f>IF(C1373="Sale",SUMIFS($D$4:D1373,$B$4:B1373,B1373,$C$4:C1373,"")+SUMIFS($D$4:D1373,$B$4:B1373,B1373,$C$4:C1373,"Purch")-SUMIFS($D$4:D1373,$B$4:B1373,B1373,$C$4:C1373,"Sale"),0)</f>
        <v>0</v>
      </c>
    </row>
    <row r="1374" spans="1:14" x14ac:dyDescent="0.2">
      <c r="A1374" s="152"/>
      <c r="B1374" s="132"/>
      <c r="C1374" s="132"/>
      <c r="D1374" s="277"/>
      <c r="E1374" s="132"/>
      <c r="F1374" s="170"/>
      <c r="G1374" s="150"/>
      <c r="H1374" s="152"/>
      <c r="I1374" s="204"/>
      <c r="J1374" s="285"/>
      <c r="K1374" s="251"/>
      <c r="L1374" s="133" t="str">
        <f>IF(AND(I1374&lt;&gt;"",ISERROR(IF(ISERROR(VLOOKUP(I1374*1,Summary!$C$8:$C$153,1,0)),VLOOKUP(I1374,Summary!$C$8:$C$153,1,0),VLOOKUP(I1374*1,Summary!$C$8:$C$153,1,0)))),"Add account Number to Summary","")</f>
        <v/>
      </c>
      <c r="M1374" s="131" t="str">
        <f t="shared" si="21"/>
        <v/>
      </c>
      <c r="N1374" s="287">
        <f>IF(C1374="Sale",SUMIFS($D$4:D1374,$B$4:B1374,B1374,$C$4:C1374,"")+SUMIFS($D$4:D1374,$B$4:B1374,B1374,$C$4:C1374,"Purch")-SUMIFS($D$4:D1374,$B$4:B1374,B1374,$C$4:C1374,"Sale"),0)</f>
        <v>0</v>
      </c>
    </row>
    <row r="1375" spans="1:14" x14ac:dyDescent="0.2">
      <c r="A1375" s="152"/>
      <c r="B1375" s="132"/>
      <c r="C1375" s="132"/>
      <c r="D1375" s="277"/>
      <c r="E1375" s="132"/>
      <c r="F1375" s="170"/>
      <c r="G1375" s="150"/>
      <c r="H1375" s="152"/>
      <c r="I1375" s="204"/>
      <c r="J1375" s="285"/>
      <c r="K1375" s="251"/>
      <c r="L1375" s="133" t="str">
        <f>IF(AND(I1375&lt;&gt;"",ISERROR(IF(ISERROR(VLOOKUP(I1375*1,Summary!$C$8:$C$153,1,0)),VLOOKUP(I1375,Summary!$C$8:$C$153,1,0),VLOOKUP(I1375*1,Summary!$C$8:$C$153,1,0)))),"Add account Number to Summary","")</f>
        <v/>
      </c>
      <c r="M1375" s="131" t="str">
        <f t="shared" si="21"/>
        <v/>
      </c>
      <c r="N1375" s="287">
        <f>IF(C1375="Sale",SUMIFS($D$4:D1375,$B$4:B1375,B1375,$C$4:C1375,"")+SUMIFS($D$4:D1375,$B$4:B1375,B1375,$C$4:C1375,"Purch")-SUMIFS($D$4:D1375,$B$4:B1375,B1375,$C$4:C1375,"Sale"),0)</f>
        <v>0</v>
      </c>
    </row>
    <row r="1376" spans="1:14" x14ac:dyDescent="0.2">
      <c r="A1376" s="152"/>
      <c r="B1376" s="132"/>
      <c r="C1376" s="132"/>
      <c r="D1376" s="277"/>
      <c r="E1376" s="132"/>
      <c r="F1376" s="170"/>
      <c r="G1376" s="150"/>
      <c r="H1376" s="152"/>
      <c r="I1376" s="204"/>
      <c r="J1376" s="285"/>
      <c r="K1376" s="251"/>
      <c r="L1376" s="133" t="str">
        <f>IF(AND(I1376&lt;&gt;"",ISERROR(IF(ISERROR(VLOOKUP(I1376*1,Summary!$C$8:$C$153,1,0)),VLOOKUP(I1376,Summary!$C$8:$C$153,1,0),VLOOKUP(I1376*1,Summary!$C$8:$C$153,1,0)))),"Add account Number to Summary","")</f>
        <v/>
      </c>
      <c r="M1376" s="131" t="str">
        <f t="shared" si="21"/>
        <v/>
      </c>
      <c r="N1376" s="287">
        <f>IF(C1376="Sale",SUMIFS($D$4:D1376,$B$4:B1376,B1376,$C$4:C1376,"")+SUMIFS($D$4:D1376,$B$4:B1376,B1376,$C$4:C1376,"Purch")-SUMIFS($D$4:D1376,$B$4:B1376,B1376,$C$4:C1376,"Sale"),0)</f>
        <v>0</v>
      </c>
    </row>
    <row r="1377" spans="1:14" x14ac:dyDescent="0.2">
      <c r="A1377" s="152"/>
      <c r="B1377" s="132"/>
      <c r="C1377" s="132"/>
      <c r="D1377" s="277"/>
      <c r="E1377" s="132"/>
      <c r="F1377" s="170"/>
      <c r="G1377" s="150"/>
      <c r="H1377" s="152"/>
      <c r="I1377" s="204"/>
      <c r="J1377" s="285"/>
      <c r="K1377" s="251"/>
      <c r="L1377" s="133" t="str">
        <f>IF(AND(I1377&lt;&gt;"",ISERROR(IF(ISERROR(VLOOKUP(I1377*1,Summary!$C$8:$C$153,1,0)),VLOOKUP(I1377,Summary!$C$8:$C$153,1,0),VLOOKUP(I1377*1,Summary!$C$8:$C$153,1,0)))),"Add account Number to Summary","")</f>
        <v/>
      </c>
      <c r="M1377" s="131" t="str">
        <f t="shared" si="21"/>
        <v/>
      </c>
      <c r="N1377" s="287">
        <f>IF(C1377="Sale",SUMIFS($D$4:D1377,$B$4:B1377,B1377,$C$4:C1377,"")+SUMIFS($D$4:D1377,$B$4:B1377,B1377,$C$4:C1377,"Purch")-SUMIFS($D$4:D1377,$B$4:B1377,B1377,$C$4:C1377,"Sale"),0)</f>
        <v>0</v>
      </c>
    </row>
    <row r="1378" spans="1:14" x14ac:dyDescent="0.2">
      <c r="A1378" s="152"/>
      <c r="B1378" s="132"/>
      <c r="C1378" s="132"/>
      <c r="D1378" s="277"/>
      <c r="E1378" s="132"/>
      <c r="F1378" s="170"/>
      <c r="G1378" s="150"/>
      <c r="H1378" s="152"/>
      <c r="I1378" s="204"/>
      <c r="J1378" s="285"/>
      <c r="K1378" s="251"/>
      <c r="L1378" s="133" t="str">
        <f>IF(AND(I1378&lt;&gt;"",ISERROR(IF(ISERROR(VLOOKUP(I1378*1,Summary!$C$8:$C$153,1,0)),VLOOKUP(I1378,Summary!$C$8:$C$153,1,0),VLOOKUP(I1378*1,Summary!$C$8:$C$153,1,0)))),"Add account Number to Summary","")</f>
        <v/>
      </c>
      <c r="M1378" s="131" t="str">
        <f t="shared" si="21"/>
        <v/>
      </c>
      <c r="N1378" s="287">
        <f>IF(C1378="Sale",SUMIFS($D$4:D1378,$B$4:B1378,B1378,$C$4:C1378,"")+SUMIFS($D$4:D1378,$B$4:B1378,B1378,$C$4:C1378,"Purch")-SUMIFS($D$4:D1378,$B$4:B1378,B1378,$C$4:C1378,"Sale"),0)</f>
        <v>0</v>
      </c>
    </row>
    <row r="1379" spans="1:14" x14ac:dyDescent="0.2">
      <c r="A1379" s="152"/>
      <c r="B1379" s="132"/>
      <c r="C1379" s="132"/>
      <c r="D1379" s="277"/>
      <c r="E1379" s="132"/>
      <c r="F1379" s="170"/>
      <c r="G1379" s="150"/>
      <c r="H1379" s="152"/>
      <c r="I1379" s="204"/>
      <c r="J1379" s="285"/>
      <c r="K1379" s="251"/>
      <c r="L1379" s="133" t="str">
        <f>IF(AND(I1379&lt;&gt;"",ISERROR(IF(ISERROR(VLOOKUP(I1379*1,Summary!$C$8:$C$153,1,0)),VLOOKUP(I1379,Summary!$C$8:$C$153,1,0),VLOOKUP(I1379*1,Summary!$C$8:$C$153,1,0)))),"Add account Number to Summary","")</f>
        <v/>
      </c>
      <c r="M1379" s="131" t="str">
        <f t="shared" si="21"/>
        <v/>
      </c>
      <c r="N1379" s="287">
        <f>IF(C1379="Sale",SUMIFS($D$4:D1379,$B$4:B1379,B1379,$C$4:C1379,"")+SUMIFS($D$4:D1379,$B$4:B1379,B1379,$C$4:C1379,"Purch")-SUMIFS($D$4:D1379,$B$4:B1379,B1379,$C$4:C1379,"Sale"),0)</f>
        <v>0</v>
      </c>
    </row>
    <row r="1380" spans="1:14" x14ac:dyDescent="0.2">
      <c r="A1380" s="152"/>
      <c r="B1380" s="132"/>
      <c r="C1380" s="132"/>
      <c r="D1380" s="277"/>
      <c r="E1380" s="132"/>
      <c r="F1380" s="170"/>
      <c r="G1380" s="150"/>
      <c r="H1380" s="152"/>
      <c r="I1380" s="204"/>
      <c r="J1380" s="285"/>
      <c r="K1380" s="251"/>
      <c r="L1380" s="133" t="str">
        <f>IF(AND(I1380&lt;&gt;"",ISERROR(IF(ISERROR(VLOOKUP(I1380*1,Summary!$C$8:$C$153,1,0)),VLOOKUP(I1380,Summary!$C$8:$C$153,1,0),VLOOKUP(I1380*1,Summary!$C$8:$C$153,1,0)))),"Add account Number to Summary","")</f>
        <v/>
      </c>
      <c r="M1380" s="131" t="str">
        <f t="shared" si="21"/>
        <v/>
      </c>
      <c r="N1380" s="287">
        <f>IF(C1380="Sale",SUMIFS($D$4:D1380,$B$4:B1380,B1380,$C$4:C1380,"")+SUMIFS($D$4:D1380,$B$4:B1380,B1380,$C$4:C1380,"Purch")-SUMIFS($D$4:D1380,$B$4:B1380,B1380,$C$4:C1380,"Sale"),0)</f>
        <v>0</v>
      </c>
    </row>
    <row r="1381" spans="1:14" x14ac:dyDescent="0.2">
      <c r="A1381" s="152"/>
      <c r="B1381" s="132"/>
      <c r="C1381" s="132"/>
      <c r="D1381" s="277"/>
      <c r="E1381" s="132"/>
      <c r="F1381" s="170"/>
      <c r="G1381" s="150"/>
      <c r="H1381" s="152"/>
      <c r="I1381" s="204"/>
      <c r="J1381" s="285"/>
      <c r="K1381" s="251"/>
      <c r="L1381" s="133" t="str">
        <f>IF(AND(I1381&lt;&gt;"",ISERROR(IF(ISERROR(VLOOKUP(I1381*1,Summary!$C$8:$C$153,1,0)),VLOOKUP(I1381,Summary!$C$8:$C$153,1,0),VLOOKUP(I1381*1,Summary!$C$8:$C$153,1,0)))),"Add account Number to Summary","")</f>
        <v/>
      </c>
      <c r="M1381" s="131" t="str">
        <f t="shared" si="21"/>
        <v/>
      </c>
      <c r="N1381" s="287">
        <f>IF(C1381="Sale",SUMIFS($D$4:D1381,$B$4:B1381,B1381,$C$4:C1381,"")+SUMIFS($D$4:D1381,$B$4:B1381,B1381,$C$4:C1381,"Purch")-SUMIFS($D$4:D1381,$B$4:B1381,B1381,$C$4:C1381,"Sale"),0)</f>
        <v>0</v>
      </c>
    </row>
    <row r="1382" spans="1:14" x14ac:dyDescent="0.2">
      <c r="A1382" s="152"/>
      <c r="B1382" s="132"/>
      <c r="C1382" s="132"/>
      <c r="D1382" s="277"/>
      <c r="E1382" s="132"/>
      <c r="F1382" s="170"/>
      <c r="G1382" s="150"/>
      <c r="H1382" s="152"/>
      <c r="I1382" s="204"/>
      <c r="J1382" s="285"/>
      <c r="K1382" s="251"/>
      <c r="L1382" s="133" t="str">
        <f>IF(AND(I1382&lt;&gt;"",ISERROR(IF(ISERROR(VLOOKUP(I1382*1,Summary!$C$8:$C$153,1,0)),VLOOKUP(I1382,Summary!$C$8:$C$153,1,0),VLOOKUP(I1382*1,Summary!$C$8:$C$153,1,0)))),"Add account Number to Summary","")</f>
        <v/>
      </c>
      <c r="M1382" s="131" t="str">
        <f t="shared" si="21"/>
        <v/>
      </c>
      <c r="N1382" s="287">
        <f>IF(C1382="Sale",SUMIFS($D$4:D1382,$B$4:B1382,B1382,$C$4:C1382,"")+SUMIFS($D$4:D1382,$B$4:B1382,B1382,$C$4:C1382,"Purch")-SUMIFS($D$4:D1382,$B$4:B1382,B1382,$C$4:C1382,"Sale"),0)</f>
        <v>0</v>
      </c>
    </row>
    <row r="1383" spans="1:14" x14ac:dyDescent="0.2">
      <c r="A1383" s="152"/>
      <c r="B1383" s="132"/>
      <c r="C1383" s="132"/>
      <c r="D1383" s="277"/>
      <c r="E1383" s="132"/>
      <c r="F1383" s="170"/>
      <c r="G1383" s="150"/>
      <c r="H1383" s="152"/>
      <c r="I1383" s="204"/>
      <c r="J1383" s="285"/>
      <c r="K1383" s="251"/>
      <c r="L1383" s="133" t="str">
        <f>IF(AND(I1383&lt;&gt;"",ISERROR(IF(ISERROR(VLOOKUP(I1383*1,Summary!$C$8:$C$153,1,0)),VLOOKUP(I1383,Summary!$C$8:$C$153,1,0),VLOOKUP(I1383*1,Summary!$C$8:$C$153,1,0)))),"Add account Number to Summary","")</f>
        <v/>
      </c>
      <c r="M1383" s="131" t="str">
        <f t="shared" si="21"/>
        <v/>
      </c>
      <c r="N1383" s="287">
        <f>IF(C1383="Sale",SUMIFS($D$4:D1383,$B$4:B1383,B1383,$C$4:C1383,"")+SUMIFS($D$4:D1383,$B$4:B1383,B1383,$C$4:C1383,"Purch")-SUMIFS($D$4:D1383,$B$4:B1383,B1383,$C$4:C1383,"Sale"),0)</f>
        <v>0</v>
      </c>
    </row>
    <row r="1384" spans="1:14" x14ac:dyDescent="0.2">
      <c r="A1384" s="152"/>
      <c r="B1384" s="132"/>
      <c r="C1384" s="132"/>
      <c r="D1384" s="277"/>
      <c r="E1384" s="132"/>
      <c r="F1384" s="170"/>
      <c r="G1384" s="150"/>
      <c r="H1384" s="152"/>
      <c r="I1384" s="204"/>
      <c r="J1384" s="285"/>
      <c r="K1384" s="251"/>
      <c r="L1384" s="133" t="str">
        <f>IF(AND(I1384&lt;&gt;"",ISERROR(IF(ISERROR(VLOOKUP(I1384*1,Summary!$C$8:$C$153,1,0)),VLOOKUP(I1384,Summary!$C$8:$C$153,1,0),VLOOKUP(I1384*1,Summary!$C$8:$C$153,1,0)))),"Add account Number to Summary","")</f>
        <v/>
      </c>
      <c r="M1384" s="131" t="str">
        <f t="shared" si="21"/>
        <v/>
      </c>
      <c r="N1384" s="287">
        <f>IF(C1384="Sale",SUMIFS($D$4:D1384,$B$4:B1384,B1384,$C$4:C1384,"")+SUMIFS($D$4:D1384,$B$4:B1384,B1384,$C$4:C1384,"Purch")-SUMIFS($D$4:D1384,$B$4:B1384,B1384,$C$4:C1384,"Sale"),0)</f>
        <v>0</v>
      </c>
    </row>
    <row r="1385" spans="1:14" x14ac:dyDescent="0.2">
      <c r="A1385" s="152"/>
      <c r="B1385" s="132"/>
      <c r="C1385" s="132"/>
      <c r="D1385" s="277"/>
      <c r="E1385" s="132"/>
      <c r="F1385" s="170"/>
      <c r="G1385" s="150"/>
      <c r="H1385" s="152"/>
      <c r="I1385" s="204"/>
      <c r="J1385" s="285"/>
      <c r="K1385" s="251"/>
      <c r="L1385" s="133" t="str">
        <f>IF(AND(I1385&lt;&gt;"",ISERROR(IF(ISERROR(VLOOKUP(I1385*1,Summary!$C$8:$C$153,1,0)),VLOOKUP(I1385,Summary!$C$8:$C$153,1,0),VLOOKUP(I1385*1,Summary!$C$8:$C$153,1,0)))),"Add account Number to Summary","")</f>
        <v/>
      </c>
      <c r="M1385" s="131" t="str">
        <f t="shared" si="21"/>
        <v/>
      </c>
      <c r="N1385" s="287">
        <f>IF(C1385="Sale",SUMIFS($D$4:D1385,$B$4:B1385,B1385,$C$4:C1385,"")+SUMIFS($D$4:D1385,$B$4:B1385,B1385,$C$4:C1385,"Purch")-SUMIFS($D$4:D1385,$B$4:B1385,B1385,$C$4:C1385,"Sale"),0)</f>
        <v>0</v>
      </c>
    </row>
    <row r="1386" spans="1:14" x14ac:dyDescent="0.2">
      <c r="A1386" s="152"/>
      <c r="B1386" s="132"/>
      <c r="C1386" s="132"/>
      <c r="D1386" s="277"/>
      <c r="E1386" s="132"/>
      <c r="F1386" s="170"/>
      <c r="G1386" s="150"/>
      <c r="H1386" s="152"/>
      <c r="I1386" s="204"/>
      <c r="J1386" s="285"/>
      <c r="K1386" s="251"/>
      <c r="L1386" s="133" t="str">
        <f>IF(AND(I1386&lt;&gt;"",ISERROR(IF(ISERROR(VLOOKUP(I1386*1,Summary!$C$8:$C$153,1,0)),VLOOKUP(I1386,Summary!$C$8:$C$153,1,0),VLOOKUP(I1386*1,Summary!$C$8:$C$153,1,0)))),"Add account Number to Summary","")</f>
        <v/>
      </c>
      <c r="M1386" s="131" t="str">
        <f t="shared" si="21"/>
        <v/>
      </c>
      <c r="N1386" s="287">
        <f>IF(C1386="Sale",SUMIFS($D$4:D1386,$B$4:B1386,B1386,$C$4:C1386,"")+SUMIFS($D$4:D1386,$B$4:B1386,B1386,$C$4:C1386,"Purch")-SUMIFS($D$4:D1386,$B$4:B1386,B1386,$C$4:C1386,"Sale"),0)</f>
        <v>0</v>
      </c>
    </row>
    <row r="1387" spans="1:14" x14ac:dyDescent="0.2">
      <c r="A1387" s="152"/>
      <c r="B1387" s="132"/>
      <c r="C1387" s="132"/>
      <c r="D1387" s="277"/>
      <c r="E1387" s="132"/>
      <c r="F1387" s="170"/>
      <c r="G1387" s="150"/>
      <c r="H1387" s="152"/>
      <c r="I1387" s="204"/>
      <c r="J1387" s="285"/>
      <c r="K1387" s="251"/>
      <c r="L1387" s="133" t="str">
        <f>IF(AND(I1387&lt;&gt;"",ISERROR(IF(ISERROR(VLOOKUP(I1387*1,Summary!$C$8:$C$153,1,0)),VLOOKUP(I1387,Summary!$C$8:$C$153,1,0),VLOOKUP(I1387*1,Summary!$C$8:$C$153,1,0)))),"Add account Number to Summary","")</f>
        <v/>
      </c>
      <c r="M1387" s="131" t="str">
        <f t="shared" si="21"/>
        <v/>
      </c>
      <c r="N1387" s="287">
        <f>IF(C1387="Sale",SUMIFS($D$4:D1387,$B$4:B1387,B1387,$C$4:C1387,"")+SUMIFS($D$4:D1387,$B$4:B1387,B1387,$C$4:C1387,"Purch")-SUMIFS($D$4:D1387,$B$4:B1387,B1387,$C$4:C1387,"Sale"),0)</f>
        <v>0</v>
      </c>
    </row>
    <row r="1388" spans="1:14" x14ac:dyDescent="0.2">
      <c r="A1388" s="152"/>
      <c r="B1388" s="132"/>
      <c r="C1388" s="132"/>
      <c r="D1388" s="277"/>
      <c r="E1388" s="132"/>
      <c r="F1388" s="170"/>
      <c r="G1388" s="150"/>
      <c r="H1388" s="152"/>
      <c r="I1388" s="204"/>
      <c r="J1388" s="285"/>
      <c r="K1388" s="251"/>
      <c r="L1388" s="133" t="str">
        <f>IF(AND(I1388&lt;&gt;"",ISERROR(IF(ISERROR(VLOOKUP(I1388*1,Summary!$C$8:$C$153,1,0)),VLOOKUP(I1388,Summary!$C$8:$C$153,1,0),VLOOKUP(I1388*1,Summary!$C$8:$C$153,1,0)))),"Add account Number to Summary","")</f>
        <v/>
      </c>
      <c r="M1388" s="131" t="str">
        <f t="shared" ref="M1388:M1451" si="22">IF(K1388="Yes",IF(YEAR(A1388)&lt;&gt;YEAR(date),"Check Date",""),"")</f>
        <v/>
      </c>
      <c r="N1388" s="287">
        <f>IF(C1388="Sale",SUMIFS($D$4:D1388,$B$4:B1388,B1388,$C$4:C1388,"")+SUMIFS($D$4:D1388,$B$4:B1388,B1388,$C$4:C1388,"Purch")-SUMIFS($D$4:D1388,$B$4:B1388,B1388,$C$4:C1388,"Sale"),0)</f>
        <v>0</v>
      </c>
    </row>
    <row r="1389" spans="1:14" x14ac:dyDescent="0.2">
      <c r="A1389" s="152"/>
      <c r="B1389" s="132"/>
      <c r="C1389" s="132"/>
      <c r="D1389" s="277"/>
      <c r="E1389" s="132"/>
      <c r="F1389" s="170"/>
      <c r="G1389" s="150"/>
      <c r="H1389" s="152"/>
      <c r="I1389" s="204"/>
      <c r="J1389" s="285"/>
      <c r="K1389" s="251"/>
      <c r="L1389" s="133" t="str">
        <f>IF(AND(I1389&lt;&gt;"",ISERROR(IF(ISERROR(VLOOKUP(I1389*1,Summary!$C$8:$C$153,1,0)),VLOOKUP(I1389,Summary!$C$8:$C$153,1,0),VLOOKUP(I1389*1,Summary!$C$8:$C$153,1,0)))),"Add account Number to Summary","")</f>
        <v/>
      </c>
      <c r="M1389" s="131" t="str">
        <f t="shared" si="22"/>
        <v/>
      </c>
      <c r="N1389" s="287">
        <f>IF(C1389="Sale",SUMIFS($D$4:D1389,$B$4:B1389,B1389,$C$4:C1389,"")+SUMIFS($D$4:D1389,$B$4:B1389,B1389,$C$4:C1389,"Purch")-SUMIFS($D$4:D1389,$B$4:B1389,B1389,$C$4:C1389,"Sale"),0)</f>
        <v>0</v>
      </c>
    </row>
    <row r="1390" spans="1:14" x14ac:dyDescent="0.2">
      <c r="A1390" s="152"/>
      <c r="B1390" s="132"/>
      <c r="C1390" s="132"/>
      <c r="D1390" s="277"/>
      <c r="E1390" s="132"/>
      <c r="F1390" s="170"/>
      <c r="G1390" s="150"/>
      <c r="H1390" s="152"/>
      <c r="I1390" s="204"/>
      <c r="J1390" s="285"/>
      <c r="K1390" s="251"/>
      <c r="L1390" s="133" t="str">
        <f>IF(AND(I1390&lt;&gt;"",ISERROR(IF(ISERROR(VLOOKUP(I1390*1,Summary!$C$8:$C$153,1,0)),VLOOKUP(I1390,Summary!$C$8:$C$153,1,0),VLOOKUP(I1390*1,Summary!$C$8:$C$153,1,0)))),"Add account Number to Summary","")</f>
        <v/>
      </c>
      <c r="M1390" s="131" t="str">
        <f t="shared" si="22"/>
        <v/>
      </c>
      <c r="N1390" s="287">
        <f>IF(C1390="Sale",SUMIFS($D$4:D1390,$B$4:B1390,B1390,$C$4:C1390,"")+SUMIFS($D$4:D1390,$B$4:B1390,B1390,$C$4:C1390,"Purch")-SUMIFS($D$4:D1390,$B$4:B1390,B1390,$C$4:C1390,"Sale"),0)</f>
        <v>0</v>
      </c>
    </row>
    <row r="1391" spans="1:14" x14ac:dyDescent="0.2">
      <c r="A1391" s="152"/>
      <c r="B1391" s="132"/>
      <c r="C1391" s="132"/>
      <c r="D1391" s="277"/>
      <c r="E1391" s="132"/>
      <c r="F1391" s="170"/>
      <c r="G1391" s="150"/>
      <c r="H1391" s="152"/>
      <c r="I1391" s="204"/>
      <c r="J1391" s="285"/>
      <c r="K1391" s="251"/>
      <c r="L1391" s="133" t="str">
        <f>IF(AND(I1391&lt;&gt;"",ISERROR(IF(ISERROR(VLOOKUP(I1391*1,Summary!$C$8:$C$153,1,0)),VLOOKUP(I1391,Summary!$C$8:$C$153,1,0),VLOOKUP(I1391*1,Summary!$C$8:$C$153,1,0)))),"Add account Number to Summary","")</f>
        <v/>
      </c>
      <c r="M1391" s="131" t="str">
        <f t="shared" si="22"/>
        <v/>
      </c>
      <c r="N1391" s="287">
        <f>IF(C1391="Sale",SUMIFS($D$4:D1391,$B$4:B1391,B1391,$C$4:C1391,"")+SUMIFS($D$4:D1391,$B$4:B1391,B1391,$C$4:C1391,"Purch")-SUMIFS($D$4:D1391,$B$4:B1391,B1391,$C$4:C1391,"Sale"),0)</f>
        <v>0</v>
      </c>
    </row>
    <row r="1392" spans="1:14" x14ac:dyDescent="0.2">
      <c r="A1392" s="152"/>
      <c r="B1392" s="132"/>
      <c r="C1392" s="132"/>
      <c r="D1392" s="277"/>
      <c r="E1392" s="132"/>
      <c r="F1392" s="170"/>
      <c r="G1392" s="150"/>
      <c r="H1392" s="152"/>
      <c r="I1392" s="204"/>
      <c r="J1392" s="285"/>
      <c r="K1392" s="251"/>
      <c r="L1392" s="133" t="str">
        <f>IF(AND(I1392&lt;&gt;"",ISERROR(IF(ISERROR(VLOOKUP(I1392*1,Summary!$C$8:$C$153,1,0)),VLOOKUP(I1392,Summary!$C$8:$C$153,1,0),VLOOKUP(I1392*1,Summary!$C$8:$C$153,1,0)))),"Add account Number to Summary","")</f>
        <v/>
      </c>
      <c r="M1392" s="131" t="str">
        <f t="shared" si="22"/>
        <v/>
      </c>
      <c r="N1392" s="287">
        <f>IF(C1392="Sale",SUMIFS($D$4:D1392,$B$4:B1392,B1392,$C$4:C1392,"")+SUMIFS($D$4:D1392,$B$4:B1392,B1392,$C$4:C1392,"Purch")-SUMIFS($D$4:D1392,$B$4:B1392,B1392,$C$4:C1392,"Sale"),0)</f>
        <v>0</v>
      </c>
    </row>
    <row r="1393" spans="1:14" x14ac:dyDescent="0.2">
      <c r="A1393" s="152"/>
      <c r="B1393" s="132"/>
      <c r="C1393" s="132"/>
      <c r="D1393" s="277"/>
      <c r="E1393" s="132"/>
      <c r="F1393" s="170"/>
      <c r="G1393" s="150"/>
      <c r="H1393" s="152"/>
      <c r="I1393" s="204"/>
      <c r="J1393" s="285"/>
      <c r="K1393" s="251"/>
      <c r="L1393" s="133" t="str">
        <f>IF(AND(I1393&lt;&gt;"",ISERROR(IF(ISERROR(VLOOKUP(I1393*1,Summary!$C$8:$C$153,1,0)),VLOOKUP(I1393,Summary!$C$8:$C$153,1,0),VLOOKUP(I1393*1,Summary!$C$8:$C$153,1,0)))),"Add account Number to Summary","")</f>
        <v/>
      </c>
      <c r="M1393" s="131" t="str">
        <f t="shared" si="22"/>
        <v/>
      </c>
      <c r="N1393" s="287">
        <f>IF(C1393="Sale",SUMIFS($D$4:D1393,$B$4:B1393,B1393,$C$4:C1393,"")+SUMIFS($D$4:D1393,$B$4:B1393,B1393,$C$4:C1393,"Purch")-SUMIFS($D$4:D1393,$B$4:B1393,B1393,$C$4:C1393,"Sale"),0)</f>
        <v>0</v>
      </c>
    </row>
    <row r="1394" spans="1:14" x14ac:dyDescent="0.2">
      <c r="A1394" s="152"/>
      <c r="B1394" s="132"/>
      <c r="C1394" s="132"/>
      <c r="D1394" s="277"/>
      <c r="E1394" s="132"/>
      <c r="F1394" s="170"/>
      <c r="G1394" s="150"/>
      <c r="H1394" s="152"/>
      <c r="I1394" s="204"/>
      <c r="J1394" s="285"/>
      <c r="K1394" s="251"/>
      <c r="L1394" s="133" t="str">
        <f>IF(AND(I1394&lt;&gt;"",ISERROR(IF(ISERROR(VLOOKUP(I1394*1,Summary!$C$8:$C$153,1,0)),VLOOKUP(I1394,Summary!$C$8:$C$153,1,0),VLOOKUP(I1394*1,Summary!$C$8:$C$153,1,0)))),"Add account Number to Summary","")</f>
        <v/>
      </c>
      <c r="M1394" s="131" t="str">
        <f t="shared" si="22"/>
        <v/>
      </c>
      <c r="N1394" s="287">
        <f>IF(C1394="Sale",SUMIFS($D$4:D1394,$B$4:B1394,B1394,$C$4:C1394,"")+SUMIFS($D$4:D1394,$B$4:B1394,B1394,$C$4:C1394,"Purch")-SUMIFS($D$4:D1394,$B$4:B1394,B1394,$C$4:C1394,"Sale"),0)</f>
        <v>0</v>
      </c>
    </row>
    <row r="1395" spans="1:14" x14ac:dyDescent="0.2">
      <c r="A1395" s="152"/>
      <c r="B1395" s="132"/>
      <c r="C1395" s="132"/>
      <c r="D1395" s="277"/>
      <c r="E1395" s="132"/>
      <c r="F1395" s="170"/>
      <c r="G1395" s="150"/>
      <c r="H1395" s="152"/>
      <c r="I1395" s="204"/>
      <c r="J1395" s="285"/>
      <c r="K1395" s="251"/>
      <c r="L1395" s="133" t="str">
        <f>IF(AND(I1395&lt;&gt;"",ISERROR(IF(ISERROR(VLOOKUP(I1395*1,Summary!$C$8:$C$153,1,0)),VLOOKUP(I1395,Summary!$C$8:$C$153,1,0),VLOOKUP(I1395*1,Summary!$C$8:$C$153,1,0)))),"Add account Number to Summary","")</f>
        <v/>
      </c>
      <c r="M1395" s="131" t="str">
        <f t="shared" si="22"/>
        <v/>
      </c>
      <c r="N1395" s="287">
        <f>IF(C1395="Sale",SUMIFS($D$4:D1395,$B$4:B1395,B1395,$C$4:C1395,"")+SUMIFS($D$4:D1395,$B$4:B1395,B1395,$C$4:C1395,"Purch")-SUMIFS($D$4:D1395,$B$4:B1395,B1395,$C$4:C1395,"Sale"),0)</f>
        <v>0</v>
      </c>
    </row>
    <row r="1396" spans="1:14" x14ac:dyDescent="0.2">
      <c r="A1396" s="152"/>
      <c r="B1396" s="132"/>
      <c r="C1396" s="132"/>
      <c r="D1396" s="277"/>
      <c r="E1396" s="132"/>
      <c r="F1396" s="170"/>
      <c r="G1396" s="150"/>
      <c r="H1396" s="152"/>
      <c r="I1396" s="204"/>
      <c r="J1396" s="285"/>
      <c r="K1396" s="251"/>
      <c r="L1396" s="133" t="str">
        <f>IF(AND(I1396&lt;&gt;"",ISERROR(IF(ISERROR(VLOOKUP(I1396*1,Summary!$C$8:$C$153,1,0)),VLOOKUP(I1396,Summary!$C$8:$C$153,1,0),VLOOKUP(I1396*1,Summary!$C$8:$C$153,1,0)))),"Add account Number to Summary","")</f>
        <v/>
      </c>
      <c r="M1396" s="131" t="str">
        <f t="shared" si="22"/>
        <v/>
      </c>
      <c r="N1396" s="287">
        <f>IF(C1396="Sale",SUMIFS($D$4:D1396,$B$4:B1396,B1396,$C$4:C1396,"")+SUMIFS($D$4:D1396,$B$4:B1396,B1396,$C$4:C1396,"Purch")-SUMIFS($D$4:D1396,$B$4:B1396,B1396,$C$4:C1396,"Sale"),0)</f>
        <v>0</v>
      </c>
    </row>
    <row r="1397" spans="1:14" x14ac:dyDescent="0.2">
      <c r="A1397" s="152"/>
      <c r="B1397" s="132"/>
      <c r="C1397" s="132"/>
      <c r="D1397" s="277"/>
      <c r="E1397" s="132"/>
      <c r="F1397" s="170"/>
      <c r="G1397" s="150"/>
      <c r="H1397" s="152"/>
      <c r="I1397" s="204"/>
      <c r="J1397" s="285"/>
      <c r="K1397" s="251"/>
      <c r="L1397" s="133" t="str">
        <f>IF(AND(I1397&lt;&gt;"",ISERROR(IF(ISERROR(VLOOKUP(I1397*1,Summary!$C$8:$C$153,1,0)),VLOOKUP(I1397,Summary!$C$8:$C$153,1,0),VLOOKUP(I1397*1,Summary!$C$8:$C$153,1,0)))),"Add account Number to Summary","")</f>
        <v/>
      </c>
      <c r="M1397" s="131" t="str">
        <f t="shared" si="22"/>
        <v/>
      </c>
      <c r="N1397" s="287">
        <f>IF(C1397="Sale",SUMIFS($D$4:D1397,$B$4:B1397,B1397,$C$4:C1397,"")+SUMIFS($D$4:D1397,$B$4:B1397,B1397,$C$4:C1397,"Purch")-SUMIFS($D$4:D1397,$B$4:B1397,B1397,$C$4:C1397,"Sale"),0)</f>
        <v>0</v>
      </c>
    </row>
    <row r="1398" spans="1:14" x14ac:dyDescent="0.2">
      <c r="A1398" s="152"/>
      <c r="B1398" s="132"/>
      <c r="C1398" s="132"/>
      <c r="D1398" s="277"/>
      <c r="E1398" s="132"/>
      <c r="F1398" s="170"/>
      <c r="G1398" s="150"/>
      <c r="H1398" s="152"/>
      <c r="I1398" s="204"/>
      <c r="J1398" s="285"/>
      <c r="K1398" s="251"/>
      <c r="L1398" s="133" t="str">
        <f>IF(AND(I1398&lt;&gt;"",ISERROR(IF(ISERROR(VLOOKUP(I1398*1,Summary!$C$8:$C$153,1,0)),VLOOKUP(I1398,Summary!$C$8:$C$153,1,0),VLOOKUP(I1398*1,Summary!$C$8:$C$153,1,0)))),"Add account Number to Summary","")</f>
        <v/>
      </c>
      <c r="M1398" s="131" t="str">
        <f t="shared" si="22"/>
        <v/>
      </c>
      <c r="N1398" s="287">
        <f>IF(C1398="Sale",SUMIFS($D$4:D1398,$B$4:B1398,B1398,$C$4:C1398,"")+SUMIFS($D$4:D1398,$B$4:B1398,B1398,$C$4:C1398,"Purch")-SUMIFS($D$4:D1398,$B$4:B1398,B1398,$C$4:C1398,"Sale"),0)</f>
        <v>0</v>
      </c>
    </row>
    <row r="1399" spans="1:14" x14ac:dyDescent="0.2">
      <c r="A1399" s="152"/>
      <c r="B1399" s="132"/>
      <c r="C1399" s="132"/>
      <c r="D1399" s="277"/>
      <c r="E1399" s="132"/>
      <c r="F1399" s="170"/>
      <c r="G1399" s="150"/>
      <c r="H1399" s="152"/>
      <c r="I1399" s="204"/>
      <c r="J1399" s="285"/>
      <c r="K1399" s="251"/>
      <c r="L1399" s="133" t="str">
        <f>IF(AND(I1399&lt;&gt;"",ISERROR(IF(ISERROR(VLOOKUP(I1399*1,Summary!$C$8:$C$153,1,0)),VLOOKUP(I1399,Summary!$C$8:$C$153,1,0),VLOOKUP(I1399*1,Summary!$C$8:$C$153,1,0)))),"Add account Number to Summary","")</f>
        <v/>
      </c>
      <c r="M1399" s="131" t="str">
        <f t="shared" si="22"/>
        <v/>
      </c>
      <c r="N1399" s="287">
        <f>IF(C1399="Sale",SUMIFS($D$4:D1399,$B$4:B1399,B1399,$C$4:C1399,"")+SUMIFS($D$4:D1399,$B$4:B1399,B1399,$C$4:C1399,"Purch")-SUMIFS($D$4:D1399,$B$4:B1399,B1399,$C$4:C1399,"Sale"),0)</f>
        <v>0</v>
      </c>
    </row>
    <row r="1400" spans="1:14" x14ac:dyDescent="0.2">
      <c r="A1400" s="152"/>
      <c r="B1400" s="132"/>
      <c r="C1400" s="132"/>
      <c r="D1400" s="277"/>
      <c r="E1400" s="132"/>
      <c r="F1400" s="170"/>
      <c r="G1400" s="150"/>
      <c r="H1400" s="152"/>
      <c r="I1400" s="204"/>
      <c r="J1400" s="285"/>
      <c r="K1400" s="251"/>
      <c r="L1400" s="133" t="str">
        <f>IF(AND(I1400&lt;&gt;"",ISERROR(IF(ISERROR(VLOOKUP(I1400*1,Summary!$C$8:$C$153,1,0)),VLOOKUP(I1400,Summary!$C$8:$C$153,1,0),VLOOKUP(I1400*1,Summary!$C$8:$C$153,1,0)))),"Add account Number to Summary","")</f>
        <v/>
      </c>
      <c r="M1400" s="131" t="str">
        <f t="shared" si="22"/>
        <v/>
      </c>
      <c r="N1400" s="287">
        <f>IF(C1400="Sale",SUMIFS($D$4:D1400,$B$4:B1400,B1400,$C$4:C1400,"")+SUMIFS($D$4:D1400,$B$4:B1400,B1400,$C$4:C1400,"Purch")-SUMIFS($D$4:D1400,$B$4:B1400,B1400,$C$4:C1400,"Sale"),0)</f>
        <v>0</v>
      </c>
    </row>
    <row r="1401" spans="1:14" x14ac:dyDescent="0.2">
      <c r="A1401" s="152"/>
      <c r="B1401" s="132"/>
      <c r="C1401" s="132"/>
      <c r="D1401" s="277"/>
      <c r="E1401" s="132"/>
      <c r="F1401" s="170"/>
      <c r="G1401" s="150"/>
      <c r="H1401" s="152"/>
      <c r="I1401" s="204"/>
      <c r="J1401" s="285"/>
      <c r="K1401" s="251"/>
      <c r="L1401" s="133" t="str">
        <f>IF(AND(I1401&lt;&gt;"",ISERROR(IF(ISERROR(VLOOKUP(I1401*1,Summary!$C$8:$C$153,1,0)),VLOOKUP(I1401,Summary!$C$8:$C$153,1,0),VLOOKUP(I1401*1,Summary!$C$8:$C$153,1,0)))),"Add account Number to Summary","")</f>
        <v/>
      </c>
      <c r="M1401" s="131" t="str">
        <f t="shared" si="22"/>
        <v/>
      </c>
      <c r="N1401" s="287">
        <f>IF(C1401="Sale",SUMIFS($D$4:D1401,$B$4:B1401,B1401,$C$4:C1401,"")+SUMIFS($D$4:D1401,$B$4:B1401,B1401,$C$4:C1401,"Purch")-SUMIFS($D$4:D1401,$B$4:B1401,B1401,$C$4:C1401,"Sale"),0)</f>
        <v>0</v>
      </c>
    </row>
    <row r="1402" spans="1:14" x14ac:dyDescent="0.2">
      <c r="A1402" s="152"/>
      <c r="B1402" s="132"/>
      <c r="C1402" s="132"/>
      <c r="D1402" s="277"/>
      <c r="E1402" s="132"/>
      <c r="F1402" s="170"/>
      <c r="G1402" s="150"/>
      <c r="H1402" s="152"/>
      <c r="I1402" s="204"/>
      <c r="J1402" s="285"/>
      <c r="K1402" s="251"/>
      <c r="L1402" s="133" t="str">
        <f>IF(AND(I1402&lt;&gt;"",ISERROR(IF(ISERROR(VLOOKUP(I1402*1,Summary!$C$8:$C$153,1,0)),VLOOKUP(I1402,Summary!$C$8:$C$153,1,0),VLOOKUP(I1402*1,Summary!$C$8:$C$153,1,0)))),"Add account Number to Summary","")</f>
        <v/>
      </c>
      <c r="M1402" s="131" t="str">
        <f t="shared" si="22"/>
        <v/>
      </c>
      <c r="N1402" s="287">
        <f>IF(C1402="Sale",SUMIFS($D$4:D1402,$B$4:B1402,B1402,$C$4:C1402,"")+SUMIFS($D$4:D1402,$B$4:B1402,B1402,$C$4:C1402,"Purch")-SUMIFS($D$4:D1402,$B$4:B1402,B1402,$C$4:C1402,"Sale"),0)</f>
        <v>0</v>
      </c>
    </row>
    <row r="1403" spans="1:14" x14ac:dyDescent="0.2">
      <c r="A1403" s="152"/>
      <c r="B1403" s="132"/>
      <c r="C1403" s="132"/>
      <c r="D1403" s="277"/>
      <c r="E1403" s="132"/>
      <c r="F1403" s="170"/>
      <c r="G1403" s="150"/>
      <c r="H1403" s="152"/>
      <c r="I1403" s="204"/>
      <c r="J1403" s="285"/>
      <c r="K1403" s="251"/>
      <c r="L1403" s="133" t="str">
        <f>IF(AND(I1403&lt;&gt;"",ISERROR(IF(ISERROR(VLOOKUP(I1403*1,Summary!$C$8:$C$153,1,0)),VLOOKUP(I1403,Summary!$C$8:$C$153,1,0),VLOOKUP(I1403*1,Summary!$C$8:$C$153,1,0)))),"Add account Number to Summary","")</f>
        <v/>
      </c>
      <c r="M1403" s="131" t="str">
        <f t="shared" si="22"/>
        <v/>
      </c>
      <c r="N1403" s="287">
        <f>IF(C1403="Sale",SUMIFS($D$4:D1403,$B$4:B1403,B1403,$C$4:C1403,"")+SUMIFS($D$4:D1403,$B$4:B1403,B1403,$C$4:C1403,"Purch")-SUMIFS($D$4:D1403,$B$4:B1403,B1403,$C$4:C1403,"Sale"),0)</f>
        <v>0</v>
      </c>
    </row>
    <row r="1404" spans="1:14" x14ac:dyDescent="0.2">
      <c r="A1404" s="152"/>
      <c r="B1404" s="132"/>
      <c r="C1404" s="132"/>
      <c r="D1404" s="277"/>
      <c r="E1404" s="132"/>
      <c r="F1404" s="170"/>
      <c r="G1404" s="150"/>
      <c r="H1404" s="152"/>
      <c r="I1404" s="204"/>
      <c r="J1404" s="285"/>
      <c r="K1404" s="251"/>
      <c r="L1404" s="133" t="str">
        <f>IF(AND(I1404&lt;&gt;"",ISERROR(IF(ISERROR(VLOOKUP(I1404*1,Summary!$C$8:$C$153,1,0)),VLOOKUP(I1404,Summary!$C$8:$C$153,1,0),VLOOKUP(I1404*1,Summary!$C$8:$C$153,1,0)))),"Add account Number to Summary","")</f>
        <v/>
      </c>
      <c r="M1404" s="131" t="str">
        <f t="shared" si="22"/>
        <v/>
      </c>
      <c r="N1404" s="287">
        <f>IF(C1404="Sale",SUMIFS($D$4:D1404,$B$4:B1404,B1404,$C$4:C1404,"")+SUMIFS($D$4:D1404,$B$4:B1404,B1404,$C$4:C1404,"Purch")-SUMIFS($D$4:D1404,$B$4:B1404,B1404,$C$4:C1404,"Sale"),0)</f>
        <v>0</v>
      </c>
    </row>
    <row r="1405" spans="1:14" x14ac:dyDescent="0.2">
      <c r="A1405" s="152"/>
      <c r="B1405" s="132"/>
      <c r="C1405" s="132"/>
      <c r="D1405" s="277"/>
      <c r="E1405" s="132"/>
      <c r="F1405" s="170"/>
      <c r="G1405" s="150"/>
      <c r="H1405" s="152"/>
      <c r="I1405" s="204"/>
      <c r="J1405" s="285"/>
      <c r="K1405" s="251"/>
      <c r="L1405" s="133" t="str">
        <f>IF(AND(I1405&lt;&gt;"",ISERROR(IF(ISERROR(VLOOKUP(I1405*1,Summary!$C$8:$C$153,1,0)),VLOOKUP(I1405,Summary!$C$8:$C$153,1,0),VLOOKUP(I1405*1,Summary!$C$8:$C$153,1,0)))),"Add account Number to Summary","")</f>
        <v/>
      </c>
      <c r="M1405" s="131" t="str">
        <f t="shared" si="22"/>
        <v/>
      </c>
      <c r="N1405" s="287">
        <f>IF(C1405="Sale",SUMIFS($D$4:D1405,$B$4:B1405,B1405,$C$4:C1405,"")+SUMIFS($D$4:D1405,$B$4:B1405,B1405,$C$4:C1405,"Purch")-SUMIFS($D$4:D1405,$B$4:B1405,B1405,$C$4:C1405,"Sale"),0)</f>
        <v>0</v>
      </c>
    </row>
    <row r="1406" spans="1:14" x14ac:dyDescent="0.2">
      <c r="A1406" s="152"/>
      <c r="B1406" s="132"/>
      <c r="C1406" s="132"/>
      <c r="D1406" s="277"/>
      <c r="E1406" s="132"/>
      <c r="F1406" s="170"/>
      <c r="G1406" s="150"/>
      <c r="H1406" s="152"/>
      <c r="I1406" s="204"/>
      <c r="J1406" s="285"/>
      <c r="K1406" s="251"/>
      <c r="L1406" s="133" t="str">
        <f>IF(AND(I1406&lt;&gt;"",ISERROR(IF(ISERROR(VLOOKUP(I1406*1,Summary!$C$8:$C$153,1,0)),VLOOKUP(I1406,Summary!$C$8:$C$153,1,0),VLOOKUP(I1406*1,Summary!$C$8:$C$153,1,0)))),"Add account Number to Summary","")</f>
        <v/>
      </c>
      <c r="M1406" s="131" t="str">
        <f t="shared" si="22"/>
        <v/>
      </c>
      <c r="N1406" s="287">
        <f>IF(C1406="Sale",SUMIFS($D$4:D1406,$B$4:B1406,B1406,$C$4:C1406,"")+SUMIFS($D$4:D1406,$B$4:B1406,B1406,$C$4:C1406,"Purch")-SUMIFS($D$4:D1406,$B$4:B1406,B1406,$C$4:C1406,"Sale"),0)</f>
        <v>0</v>
      </c>
    </row>
    <row r="1407" spans="1:14" x14ac:dyDescent="0.2">
      <c r="A1407" s="152"/>
      <c r="B1407" s="132"/>
      <c r="C1407" s="132"/>
      <c r="D1407" s="277"/>
      <c r="E1407" s="132"/>
      <c r="F1407" s="170"/>
      <c r="G1407" s="150"/>
      <c r="H1407" s="152"/>
      <c r="I1407" s="204"/>
      <c r="J1407" s="285"/>
      <c r="K1407" s="251"/>
      <c r="L1407" s="133" t="str">
        <f>IF(AND(I1407&lt;&gt;"",ISERROR(IF(ISERROR(VLOOKUP(I1407*1,Summary!$C$8:$C$153,1,0)),VLOOKUP(I1407,Summary!$C$8:$C$153,1,0),VLOOKUP(I1407*1,Summary!$C$8:$C$153,1,0)))),"Add account Number to Summary","")</f>
        <v/>
      </c>
      <c r="M1407" s="131" t="str">
        <f t="shared" si="22"/>
        <v/>
      </c>
      <c r="N1407" s="287">
        <f>IF(C1407="Sale",SUMIFS($D$4:D1407,$B$4:B1407,B1407,$C$4:C1407,"")+SUMIFS($D$4:D1407,$B$4:B1407,B1407,$C$4:C1407,"Purch")-SUMIFS($D$4:D1407,$B$4:B1407,B1407,$C$4:C1407,"Sale"),0)</f>
        <v>0</v>
      </c>
    </row>
    <row r="1408" spans="1:14" x14ac:dyDescent="0.2">
      <c r="A1408" s="152"/>
      <c r="B1408" s="132"/>
      <c r="C1408" s="132"/>
      <c r="D1408" s="277"/>
      <c r="E1408" s="132"/>
      <c r="F1408" s="170"/>
      <c r="G1408" s="150"/>
      <c r="H1408" s="152"/>
      <c r="I1408" s="204"/>
      <c r="J1408" s="285"/>
      <c r="K1408" s="251"/>
      <c r="L1408" s="133" t="str">
        <f>IF(AND(I1408&lt;&gt;"",ISERROR(IF(ISERROR(VLOOKUP(I1408*1,Summary!$C$8:$C$153,1,0)),VLOOKUP(I1408,Summary!$C$8:$C$153,1,0),VLOOKUP(I1408*1,Summary!$C$8:$C$153,1,0)))),"Add account Number to Summary","")</f>
        <v/>
      </c>
      <c r="M1408" s="131" t="str">
        <f t="shared" si="22"/>
        <v/>
      </c>
      <c r="N1408" s="287">
        <f>IF(C1408="Sale",SUMIFS($D$4:D1408,$B$4:B1408,B1408,$C$4:C1408,"")+SUMIFS($D$4:D1408,$B$4:B1408,B1408,$C$4:C1408,"Purch")-SUMIFS($D$4:D1408,$B$4:B1408,B1408,$C$4:C1408,"Sale"),0)</f>
        <v>0</v>
      </c>
    </row>
    <row r="1409" spans="1:14" x14ac:dyDescent="0.2">
      <c r="A1409" s="152"/>
      <c r="B1409" s="132"/>
      <c r="C1409" s="132"/>
      <c r="D1409" s="277"/>
      <c r="E1409" s="132"/>
      <c r="F1409" s="170"/>
      <c r="G1409" s="150"/>
      <c r="H1409" s="152"/>
      <c r="I1409" s="204"/>
      <c r="J1409" s="285"/>
      <c r="K1409" s="251"/>
      <c r="L1409" s="133" t="str">
        <f>IF(AND(I1409&lt;&gt;"",ISERROR(IF(ISERROR(VLOOKUP(I1409*1,Summary!$C$8:$C$153,1,0)),VLOOKUP(I1409,Summary!$C$8:$C$153,1,0),VLOOKUP(I1409*1,Summary!$C$8:$C$153,1,0)))),"Add account Number to Summary","")</f>
        <v/>
      </c>
      <c r="M1409" s="131" t="str">
        <f t="shared" si="22"/>
        <v/>
      </c>
      <c r="N1409" s="287">
        <f>IF(C1409="Sale",SUMIFS($D$4:D1409,$B$4:B1409,B1409,$C$4:C1409,"")+SUMIFS($D$4:D1409,$B$4:B1409,B1409,$C$4:C1409,"Purch")-SUMIFS($D$4:D1409,$B$4:B1409,B1409,$C$4:C1409,"Sale"),0)</f>
        <v>0</v>
      </c>
    </row>
    <row r="1410" spans="1:14" x14ac:dyDescent="0.2">
      <c r="A1410" s="152"/>
      <c r="B1410" s="132"/>
      <c r="C1410" s="132"/>
      <c r="D1410" s="277"/>
      <c r="E1410" s="132"/>
      <c r="F1410" s="170"/>
      <c r="G1410" s="150"/>
      <c r="H1410" s="152"/>
      <c r="I1410" s="204"/>
      <c r="J1410" s="285"/>
      <c r="K1410" s="251"/>
      <c r="L1410" s="133" t="str">
        <f>IF(AND(I1410&lt;&gt;"",ISERROR(IF(ISERROR(VLOOKUP(I1410*1,Summary!$C$8:$C$153,1,0)),VLOOKUP(I1410,Summary!$C$8:$C$153,1,0),VLOOKUP(I1410*1,Summary!$C$8:$C$153,1,0)))),"Add account Number to Summary","")</f>
        <v/>
      </c>
      <c r="M1410" s="131" t="str">
        <f t="shared" si="22"/>
        <v/>
      </c>
      <c r="N1410" s="287">
        <f>IF(C1410="Sale",SUMIFS($D$4:D1410,$B$4:B1410,B1410,$C$4:C1410,"")+SUMIFS($D$4:D1410,$B$4:B1410,B1410,$C$4:C1410,"Purch")-SUMIFS($D$4:D1410,$B$4:B1410,B1410,$C$4:C1410,"Sale"),0)</f>
        <v>0</v>
      </c>
    </row>
    <row r="1411" spans="1:14" x14ac:dyDescent="0.2">
      <c r="A1411" s="152"/>
      <c r="B1411" s="132"/>
      <c r="C1411" s="132"/>
      <c r="D1411" s="277"/>
      <c r="E1411" s="132"/>
      <c r="F1411" s="170"/>
      <c r="G1411" s="150"/>
      <c r="H1411" s="152"/>
      <c r="I1411" s="204"/>
      <c r="J1411" s="285"/>
      <c r="K1411" s="251"/>
      <c r="L1411" s="133" t="str">
        <f>IF(AND(I1411&lt;&gt;"",ISERROR(IF(ISERROR(VLOOKUP(I1411*1,Summary!$C$8:$C$153,1,0)),VLOOKUP(I1411,Summary!$C$8:$C$153,1,0),VLOOKUP(I1411*1,Summary!$C$8:$C$153,1,0)))),"Add account Number to Summary","")</f>
        <v/>
      </c>
      <c r="M1411" s="131" t="str">
        <f t="shared" si="22"/>
        <v/>
      </c>
      <c r="N1411" s="287">
        <f>IF(C1411="Sale",SUMIFS($D$4:D1411,$B$4:B1411,B1411,$C$4:C1411,"")+SUMIFS($D$4:D1411,$B$4:B1411,B1411,$C$4:C1411,"Purch")-SUMIFS($D$4:D1411,$B$4:B1411,B1411,$C$4:C1411,"Sale"),0)</f>
        <v>0</v>
      </c>
    </row>
    <row r="1412" spans="1:14" x14ac:dyDescent="0.2">
      <c r="A1412" s="152"/>
      <c r="B1412" s="132"/>
      <c r="C1412" s="132"/>
      <c r="D1412" s="277"/>
      <c r="E1412" s="132"/>
      <c r="F1412" s="170"/>
      <c r="G1412" s="150"/>
      <c r="H1412" s="152"/>
      <c r="I1412" s="204"/>
      <c r="J1412" s="285"/>
      <c r="K1412" s="251"/>
      <c r="L1412" s="133" t="str">
        <f>IF(AND(I1412&lt;&gt;"",ISERROR(IF(ISERROR(VLOOKUP(I1412*1,Summary!$C$8:$C$153,1,0)),VLOOKUP(I1412,Summary!$C$8:$C$153,1,0),VLOOKUP(I1412*1,Summary!$C$8:$C$153,1,0)))),"Add account Number to Summary","")</f>
        <v/>
      </c>
      <c r="M1412" s="131" t="str">
        <f t="shared" si="22"/>
        <v/>
      </c>
      <c r="N1412" s="287">
        <f>IF(C1412="Sale",SUMIFS($D$4:D1412,$B$4:B1412,B1412,$C$4:C1412,"")+SUMIFS($D$4:D1412,$B$4:B1412,B1412,$C$4:C1412,"Purch")-SUMIFS($D$4:D1412,$B$4:B1412,B1412,$C$4:C1412,"Sale"),0)</f>
        <v>0</v>
      </c>
    </row>
    <row r="1413" spans="1:14" x14ac:dyDescent="0.2">
      <c r="A1413" s="152"/>
      <c r="B1413" s="132"/>
      <c r="C1413" s="132"/>
      <c r="D1413" s="277"/>
      <c r="E1413" s="132"/>
      <c r="F1413" s="170"/>
      <c r="G1413" s="150"/>
      <c r="H1413" s="152"/>
      <c r="I1413" s="204"/>
      <c r="J1413" s="285"/>
      <c r="K1413" s="251"/>
      <c r="L1413" s="133" t="str">
        <f>IF(AND(I1413&lt;&gt;"",ISERROR(IF(ISERROR(VLOOKUP(I1413*1,Summary!$C$8:$C$153,1,0)),VLOOKUP(I1413,Summary!$C$8:$C$153,1,0),VLOOKUP(I1413*1,Summary!$C$8:$C$153,1,0)))),"Add account Number to Summary","")</f>
        <v/>
      </c>
      <c r="M1413" s="131" t="str">
        <f t="shared" si="22"/>
        <v/>
      </c>
      <c r="N1413" s="287">
        <f>IF(C1413="Sale",SUMIFS($D$4:D1413,$B$4:B1413,B1413,$C$4:C1413,"")+SUMIFS($D$4:D1413,$B$4:B1413,B1413,$C$4:C1413,"Purch")-SUMIFS($D$4:D1413,$B$4:B1413,B1413,$C$4:C1413,"Sale"),0)</f>
        <v>0</v>
      </c>
    </row>
    <row r="1414" spans="1:14" x14ac:dyDescent="0.2">
      <c r="A1414" s="152"/>
      <c r="B1414" s="132"/>
      <c r="C1414" s="132"/>
      <c r="D1414" s="277"/>
      <c r="E1414" s="132"/>
      <c r="F1414" s="170"/>
      <c r="G1414" s="150"/>
      <c r="H1414" s="152"/>
      <c r="I1414" s="204"/>
      <c r="J1414" s="285"/>
      <c r="K1414" s="251"/>
      <c r="L1414" s="133" t="str">
        <f>IF(AND(I1414&lt;&gt;"",ISERROR(IF(ISERROR(VLOOKUP(I1414*1,Summary!$C$8:$C$153,1,0)),VLOOKUP(I1414,Summary!$C$8:$C$153,1,0),VLOOKUP(I1414*1,Summary!$C$8:$C$153,1,0)))),"Add account Number to Summary","")</f>
        <v/>
      </c>
      <c r="M1414" s="131" t="str">
        <f t="shared" si="22"/>
        <v/>
      </c>
      <c r="N1414" s="287">
        <f>IF(C1414="Sale",SUMIFS($D$4:D1414,$B$4:B1414,B1414,$C$4:C1414,"")+SUMIFS($D$4:D1414,$B$4:B1414,B1414,$C$4:C1414,"Purch")-SUMIFS($D$4:D1414,$B$4:B1414,B1414,$C$4:C1414,"Sale"),0)</f>
        <v>0</v>
      </c>
    </row>
    <row r="1415" spans="1:14" x14ac:dyDescent="0.2">
      <c r="A1415" s="152"/>
      <c r="B1415" s="132"/>
      <c r="C1415" s="132"/>
      <c r="D1415" s="277"/>
      <c r="E1415" s="132"/>
      <c r="F1415" s="170"/>
      <c r="G1415" s="150"/>
      <c r="H1415" s="152"/>
      <c r="I1415" s="204"/>
      <c r="J1415" s="285"/>
      <c r="K1415" s="251"/>
      <c r="L1415" s="133" t="str">
        <f>IF(AND(I1415&lt;&gt;"",ISERROR(IF(ISERROR(VLOOKUP(I1415*1,Summary!$C$8:$C$153,1,0)),VLOOKUP(I1415,Summary!$C$8:$C$153,1,0),VLOOKUP(I1415*1,Summary!$C$8:$C$153,1,0)))),"Add account Number to Summary","")</f>
        <v/>
      </c>
      <c r="M1415" s="131" t="str">
        <f t="shared" si="22"/>
        <v/>
      </c>
      <c r="N1415" s="287">
        <f>IF(C1415="Sale",SUMIFS($D$4:D1415,$B$4:B1415,B1415,$C$4:C1415,"")+SUMIFS($D$4:D1415,$B$4:B1415,B1415,$C$4:C1415,"Purch")-SUMIFS($D$4:D1415,$B$4:B1415,B1415,$C$4:C1415,"Sale"),0)</f>
        <v>0</v>
      </c>
    </row>
    <row r="1416" spans="1:14" x14ac:dyDescent="0.2">
      <c r="A1416" s="152"/>
      <c r="B1416" s="132"/>
      <c r="C1416" s="132"/>
      <c r="D1416" s="277"/>
      <c r="E1416" s="132"/>
      <c r="F1416" s="170"/>
      <c r="G1416" s="150"/>
      <c r="H1416" s="152"/>
      <c r="I1416" s="204"/>
      <c r="J1416" s="285"/>
      <c r="K1416" s="251"/>
      <c r="L1416" s="133" t="str">
        <f>IF(AND(I1416&lt;&gt;"",ISERROR(IF(ISERROR(VLOOKUP(I1416*1,Summary!$C$8:$C$153,1,0)),VLOOKUP(I1416,Summary!$C$8:$C$153,1,0),VLOOKUP(I1416*1,Summary!$C$8:$C$153,1,0)))),"Add account Number to Summary","")</f>
        <v/>
      </c>
      <c r="M1416" s="131" t="str">
        <f t="shared" si="22"/>
        <v/>
      </c>
      <c r="N1416" s="287">
        <f>IF(C1416="Sale",SUMIFS($D$4:D1416,$B$4:B1416,B1416,$C$4:C1416,"")+SUMIFS($D$4:D1416,$B$4:B1416,B1416,$C$4:C1416,"Purch")-SUMIFS($D$4:D1416,$B$4:B1416,B1416,$C$4:C1416,"Sale"),0)</f>
        <v>0</v>
      </c>
    </row>
    <row r="1417" spans="1:14" x14ac:dyDescent="0.2">
      <c r="A1417" s="152"/>
      <c r="B1417" s="132"/>
      <c r="C1417" s="132"/>
      <c r="D1417" s="277"/>
      <c r="E1417" s="132"/>
      <c r="F1417" s="170"/>
      <c r="G1417" s="150"/>
      <c r="H1417" s="152"/>
      <c r="I1417" s="204"/>
      <c r="J1417" s="285"/>
      <c r="K1417" s="251"/>
      <c r="L1417" s="133" t="str">
        <f>IF(AND(I1417&lt;&gt;"",ISERROR(IF(ISERROR(VLOOKUP(I1417*1,Summary!$C$8:$C$153,1,0)),VLOOKUP(I1417,Summary!$C$8:$C$153,1,0),VLOOKUP(I1417*1,Summary!$C$8:$C$153,1,0)))),"Add account Number to Summary","")</f>
        <v/>
      </c>
      <c r="M1417" s="131" t="str">
        <f t="shared" si="22"/>
        <v/>
      </c>
      <c r="N1417" s="287">
        <f>IF(C1417="Sale",SUMIFS($D$4:D1417,$B$4:B1417,B1417,$C$4:C1417,"")+SUMIFS($D$4:D1417,$B$4:B1417,B1417,$C$4:C1417,"Purch")-SUMIFS($D$4:D1417,$B$4:B1417,B1417,$C$4:C1417,"Sale"),0)</f>
        <v>0</v>
      </c>
    </row>
    <row r="1418" spans="1:14" x14ac:dyDescent="0.2">
      <c r="A1418" s="152"/>
      <c r="B1418" s="132"/>
      <c r="C1418" s="132"/>
      <c r="D1418" s="277"/>
      <c r="E1418" s="132"/>
      <c r="F1418" s="170"/>
      <c r="G1418" s="150"/>
      <c r="H1418" s="152"/>
      <c r="I1418" s="204"/>
      <c r="J1418" s="285"/>
      <c r="K1418" s="251"/>
      <c r="L1418" s="133" t="str">
        <f>IF(AND(I1418&lt;&gt;"",ISERROR(IF(ISERROR(VLOOKUP(I1418*1,Summary!$C$8:$C$153,1,0)),VLOOKUP(I1418,Summary!$C$8:$C$153,1,0),VLOOKUP(I1418*1,Summary!$C$8:$C$153,1,0)))),"Add account Number to Summary","")</f>
        <v/>
      </c>
      <c r="M1418" s="131" t="str">
        <f t="shared" si="22"/>
        <v/>
      </c>
      <c r="N1418" s="287">
        <f>IF(C1418="Sale",SUMIFS($D$4:D1418,$B$4:B1418,B1418,$C$4:C1418,"")+SUMIFS($D$4:D1418,$B$4:B1418,B1418,$C$4:C1418,"Purch")-SUMIFS($D$4:D1418,$B$4:B1418,B1418,$C$4:C1418,"Sale"),0)</f>
        <v>0</v>
      </c>
    </row>
    <row r="1419" spans="1:14" x14ac:dyDescent="0.2">
      <c r="A1419" s="152"/>
      <c r="B1419" s="132"/>
      <c r="C1419" s="132"/>
      <c r="D1419" s="277"/>
      <c r="E1419" s="132"/>
      <c r="F1419" s="170"/>
      <c r="G1419" s="150"/>
      <c r="H1419" s="152"/>
      <c r="I1419" s="204"/>
      <c r="J1419" s="285"/>
      <c r="K1419" s="251"/>
      <c r="L1419" s="133" t="str">
        <f>IF(AND(I1419&lt;&gt;"",ISERROR(IF(ISERROR(VLOOKUP(I1419*1,Summary!$C$8:$C$153,1,0)),VLOOKUP(I1419,Summary!$C$8:$C$153,1,0),VLOOKUP(I1419*1,Summary!$C$8:$C$153,1,0)))),"Add account Number to Summary","")</f>
        <v/>
      </c>
      <c r="M1419" s="131" t="str">
        <f t="shared" si="22"/>
        <v/>
      </c>
      <c r="N1419" s="287">
        <f>IF(C1419="Sale",SUMIFS($D$4:D1419,$B$4:B1419,B1419,$C$4:C1419,"")+SUMIFS($D$4:D1419,$B$4:B1419,B1419,$C$4:C1419,"Purch")-SUMIFS($D$4:D1419,$B$4:B1419,B1419,$C$4:C1419,"Sale"),0)</f>
        <v>0</v>
      </c>
    </row>
    <row r="1420" spans="1:14" x14ac:dyDescent="0.2">
      <c r="A1420" s="152"/>
      <c r="B1420" s="132"/>
      <c r="C1420" s="132"/>
      <c r="D1420" s="277"/>
      <c r="E1420" s="132"/>
      <c r="F1420" s="170"/>
      <c r="G1420" s="150"/>
      <c r="H1420" s="152"/>
      <c r="I1420" s="204"/>
      <c r="J1420" s="285"/>
      <c r="K1420" s="251"/>
      <c r="L1420" s="133" t="str">
        <f>IF(AND(I1420&lt;&gt;"",ISERROR(IF(ISERROR(VLOOKUP(I1420*1,Summary!$C$8:$C$153,1,0)),VLOOKUP(I1420,Summary!$C$8:$C$153,1,0),VLOOKUP(I1420*1,Summary!$C$8:$C$153,1,0)))),"Add account Number to Summary","")</f>
        <v/>
      </c>
      <c r="M1420" s="131" t="str">
        <f t="shared" si="22"/>
        <v/>
      </c>
      <c r="N1420" s="287">
        <f>IF(C1420="Sale",SUMIFS($D$4:D1420,$B$4:B1420,B1420,$C$4:C1420,"")+SUMIFS($D$4:D1420,$B$4:B1420,B1420,$C$4:C1420,"Purch")-SUMIFS($D$4:D1420,$B$4:B1420,B1420,$C$4:C1420,"Sale"),0)</f>
        <v>0</v>
      </c>
    </row>
    <row r="1421" spans="1:14" x14ac:dyDescent="0.2">
      <c r="A1421" s="152"/>
      <c r="B1421" s="132"/>
      <c r="C1421" s="132"/>
      <c r="D1421" s="277"/>
      <c r="E1421" s="132"/>
      <c r="F1421" s="170"/>
      <c r="G1421" s="150"/>
      <c r="H1421" s="152"/>
      <c r="I1421" s="204"/>
      <c r="J1421" s="285"/>
      <c r="K1421" s="251"/>
      <c r="L1421" s="133" t="str">
        <f>IF(AND(I1421&lt;&gt;"",ISERROR(IF(ISERROR(VLOOKUP(I1421*1,Summary!$C$8:$C$153,1,0)),VLOOKUP(I1421,Summary!$C$8:$C$153,1,0),VLOOKUP(I1421*1,Summary!$C$8:$C$153,1,0)))),"Add account Number to Summary","")</f>
        <v/>
      </c>
      <c r="M1421" s="131" t="str">
        <f t="shared" si="22"/>
        <v/>
      </c>
      <c r="N1421" s="287">
        <f>IF(C1421="Sale",SUMIFS($D$4:D1421,$B$4:B1421,B1421,$C$4:C1421,"")+SUMIFS($D$4:D1421,$B$4:B1421,B1421,$C$4:C1421,"Purch")-SUMIFS($D$4:D1421,$B$4:B1421,B1421,$C$4:C1421,"Sale"),0)</f>
        <v>0</v>
      </c>
    </row>
    <row r="1422" spans="1:14" x14ac:dyDescent="0.2">
      <c r="A1422" s="152"/>
      <c r="B1422" s="132"/>
      <c r="C1422" s="132"/>
      <c r="D1422" s="277"/>
      <c r="E1422" s="132"/>
      <c r="F1422" s="170"/>
      <c r="G1422" s="150"/>
      <c r="H1422" s="152"/>
      <c r="I1422" s="204"/>
      <c r="J1422" s="285"/>
      <c r="K1422" s="251"/>
      <c r="L1422" s="133" t="str">
        <f>IF(AND(I1422&lt;&gt;"",ISERROR(IF(ISERROR(VLOOKUP(I1422*1,Summary!$C$8:$C$153,1,0)),VLOOKUP(I1422,Summary!$C$8:$C$153,1,0),VLOOKUP(I1422*1,Summary!$C$8:$C$153,1,0)))),"Add account Number to Summary","")</f>
        <v/>
      </c>
      <c r="M1422" s="131" t="str">
        <f t="shared" si="22"/>
        <v/>
      </c>
      <c r="N1422" s="287">
        <f>IF(C1422="Sale",SUMIFS($D$4:D1422,$B$4:B1422,B1422,$C$4:C1422,"")+SUMIFS($D$4:D1422,$B$4:B1422,B1422,$C$4:C1422,"Purch")-SUMIFS($D$4:D1422,$B$4:B1422,B1422,$C$4:C1422,"Sale"),0)</f>
        <v>0</v>
      </c>
    </row>
    <row r="1423" spans="1:14" x14ac:dyDescent="0.2">
      <c r="A1423" s="152"/>
      <c r="B1423" s="132"/>
      <c r="C1423" s="132"/>
      <c r="D1423" s="277"/>
      <c r="E1423" s="132"/>
      <c r="F1423" s="170"/>
      <c r="G1423" s="150"/>
      <c r="H1423" s="152"/>
      <c r="I1423" s="204"/>
      <c r="J1423" s="285"/>
      <c r="K1423" s="251"/>
      <c r="L1423" s="133" t="str">
        <f>IF(AND(I1423&lt;&gt;"",ISERROR(IF(ISERROR(VLOOKUP(I1423*1,Summary!$C$8:$C$153,1,0)),VLOOKUP(I1423,Summary!$C$8:$C$153,1,0),VLOOKUP(I1423*1,Summary!$C$8:$C$153,1,0)))),"Add account Number to Summary","")</f>
        <v/>
      </c>
      <c r="M1423" s="131" t="str">
        <f t="shared" si="22"/>
        <v/>
      </c>
      <c r="N1423" s="287">
        <f>IF(C1423="Sale",SUMIFS($D$4:D1423,$B$4:B1423,B1423,$C$4:C1423,"")+SUMIFS($D$4:D1423,$B$4:B1423,B1423,$C$4:C1423,"Purch")-SUMIFS($D$4:D1423,$B$4:B1423,B1423,$C$4:C1423,"Sale"),0)</f>
        <v>0</v>
      </c>
    </row>
    <row r="1424" spans="1:14" x14ac:dyDescent="0.2">
      <c r="A1424" s="152"/>
      <c r="B1424" s="132"/>
      <c r="C1424" s="132"/>
      <c r="D1424" s="277"/>
      <c r="E1424" s="132"/>
      <c r="F1424" s="170"/>
      <c r="G1424" s="150"/>
      <c r="H1424" s="152"/>
      <c r="I1424" s="204"/>
      <c r="J1424" s="285"/>
      <c r="K1424" s="251"/>
      <c r="L1424" s="133" t="str">
        <f>IF(AND(I1424&lt;&gt;"",ISERROR(IF(ISERROR(VLOOKUP(I1424*1,Summary!$C$8:$C$153,1,0)),VLOOKUP(I1424,Summary!$C$8:$C$153,1,0),VLOOKUP(I1424*1,Summary!$C$8:$C$153,1,0)))),"Add account Number to Summary","")</f>
        <v/>
      </c>
      <c r="M1424" s="131" t="str">
        <f t="shared" si="22"/>
        <v/>
      </c>
      <c r="N1424" s="287">
        <f>IF(C1424="Sale",SUMIFS($D$4:D1424,$B$4:B1424,B1424,$C$4:C1424,"")+SUMIFS($D$4:D1424,$B$4:B1424,B1424,$C$4:C1424,"Purch")-SUMIFS($D$4:D1424,$B$4:B1424,B1424,$C$4:C1424,"Sale"),0)</f>
        <v>0</v>
      </c>
    </row>
    <row r="1425" spans="1:14" x14ac:dyDescent="0.2">
      <c r="A1425" s="152"/>
      <c r="B1425" s="132"/>
      <c r="C1425" s="132"/>
      <c r="D1425" s="277"/>
      <c r="E1425" s="132"/>
      <c r="F1425" s="170"/>
      <c r="G1425" s="150"/>
      <c r="H1425" s="152"/>
      <c r="I1425" s="204"/>
      <c r="J1425" s="285"/>
      <c r="K1425" s="251"/>
      <c r="L1425" s="133" t="str">
        <f>IF(AND(I1425&lt;&gt;"",ISERROR(IF(ISERROR(VLOOKUP(I1425*1,Summary!$C$8:$C$153,1,0)),VLOOKUP(I1425,Summary!$C$8:$C$153,1,0),VLOOKUP(I1425*1,Summary!$C$8:$C$153,1,0)))),"Add account Number to Summary","")</f>
        <v/>
      </c>
      <c r="M1425" s="131" t="str">
        <f t="shared" si="22"/>
        <v/>
      </c>
      <c r="N1425" s="287">
        <f>IF(C1425="Sale",SUMIFS($D$4:D1425,$B$4:B1425,B1425,$C$4:C1425,"")+SUMIFS($D$4:D1425,$B$4:B1425,B1425,$C$4:C1425,"Purch")-SUMIFS($D$4:D1425,$B$4:B1425,B1425,$C$4:C1425,"Sale"),0)</f>
        <v>0</v>
      </c>
    </row>
    <row r="1426" spans="1:14" x14ac:dyDescent="0.2">
      <c r="A1426" s="152"/>
      <c r="B1426" s="132"/>
      <c r="C1426" s="132"/>
      <c r="D1426" s="277"/>
      <c r="E1426" s="132"/>
      <c r="F1426" s="170"/>
      <c r="G1426" s="150"/>
      <c r="H1426" s="152"/>
      <c r="I1426" s="204"/>
      <c r="J1426" s="285"/>
      <c r="K1426" s="251"/>
      <c r="L1426" s="133" t="str">
        <f>IF(AND(I1426&lt;&gt;"",ISERROR(IF(ISERROR(VLOOKUP(I1426*1,Summary!$C$8:$C$153,1,0)),VLOOKUP(I1426,Summary!$C$8:$C$153,1,0),VLOOKUP(I1426*1,Summary!$C$8:$C$153,1,0)))),"Add account Number to Summary","")</f>
        <v/>
      </c>
      <c r="M1426" s="131" t="str">
        <f t="shared" si="22"/>
        <v/>
      </c>
      <c r="N1426" s="287">
        <f>IF(C1426="Sale",SUMIFS($D$4:D1426,$B$4:B1426,B1426,$C$4:C1426,"")+SUMIFS($D$4:D1426,$B$4:B1426,B1426,$C$4:C1426,"Purch")-SUMIFS($D$4:D1426,$B$4:B1426,B1426,$C$4:C1426,"Sale"),0)</f>
        <v>0</v>
      </c>
    </row>
    <row r="1427" spans="1:14" x14ac:dyDescent="0.2">
      <c r="A1427" s="152"/>
      <c r="B1427" s="132"/>
      <c r="C1427" s="132"/>
      <c r="D1427" s="277"/>
      <c r="E1427" s="132"/>
      <c r="F1427" s="170"/>
      <c r="G1427" s="150"/>
      <c r="H1427" s="152"/>
      <c r="I1427" s="204"/>
      <c r="J1427" s="285"/>
      <c r="K1427" s="251"/>
      <c r="L1427" s="133" t="str">
        <f>IF(AND(I1427&lt;&gt;"",ISERROR(IF(ISERROR(VLOOKUP(I1427*1,Summary!$C$8:$C$153,1,0)),VLOOKUP(I1427,Summary!$C$8:$C$153,1,0),VLOOKUP(I1427*1,Summary!$C$8:$C$153,1,0)))),"Add account Number to Summary","")</f>
        <v/>
      </c>
      <c r="M1427" s="131" t="str">
        <f t="shared" si="22"/>
        <v/>
      </c>
      <c r="N1427" s="287">
        <f>IF(C1427="Sale",SUMIFS($D$4:D1427,$B$4:B1427,B1427,$C$4:C1427,"")+SUMIFS($D$4:D1427,$B$4:B1427,B1427,$C$4:C1427,"Purch")-SUMIFS($D$4:D1427,$B$4:B1427,B1427,$C$4:C1427,"Sale"),0)</f>
        <v>0</v>
      </c>
    </row>
    <row r="1428" spans="1:14" x14ac:dyDescent="0.2">
      <c r="A1428" s="152"/>
      <c r="B1428" s="132"/>
      <c r="C1428" s="132"/>
      <c r="D1428" s="277"/>
      <c r="E1428" s="132"/>
      <c r="F1428" s="170"/>
      <c r="G1428" s="150"/>
      <c r="H1428" s="152"/>
      <c r="I1428" s="204"/>
      <c r="J1428" s="285"/>
      <c r="K1428" s="251"/>
      <c r="L1428" s="133" t="str">
        <f>IF(AND(I1428&lt;&gt;"",ISERROR(IF(ISERROR(VLOOKUP(I1428*1,Summary!$C$8:$C$153,1,0)),VLOOKUP(I1428,Summary!$C$8:$C$153,1,0),VLOOKUP(I1428*1,Summary!$C$8:$C$153,1,0)))),"Add account Number to Summary","")</f>
        <v/>
      </c>
      <c r="M1428" s="131" t="str">
        <f t="shared" si="22"/>
        <v/>
      </c>
      <c r="N1428" s="287">
        <f>IF(C1428="Sale",SUMIFS($D$4:D1428,$B$4:B1428,B1428,$C$4:C1428,"")+SUMIFS($D$4:D1428,$B$4:B1428,B1428,$C$4:C1428,"Purch")-SUMIFS($D$4:D1428,$B$4:B1428,B1428,$C$4:C1428,"Sale"),0)</f>
        <v>0</v>
      </c>
    </row>
    <row r="1429" spans="1:14" x14ac:dyDescent="0.2">
      <c r="A1429" s="152"/>
      <c r="B1429" s="132"/>
      <c r="C1429" s="132"/>
      <c r="D1429" s="277"/>
      <c r="E1429" s="132"/>
      <c r="F1429" s="170"/>
      <c r="G1429" s="150"/>
      <c r="H1429" s="152"/>
      <c r="I1429" s="204"/>
      <c r="J1429" s="285"/>
      <c r="K1429" s="251"/>
      <c r="L1429" s="133" t="str">
        <f>IF(AND(I1429&lt;&gt;"",ISERROR(IF(ISERROR(VLOOKUP(I1429*1,Summary!$C$8:$C$153,1,0)),VLOOKUP(I1429,Summary!$C$8:$C$153,1,0),VLOOKUP(I1429*1,Summary!$C$8:$C$153,1,0)))),"Add account Number to Summary","")</f>
        <v/>
      </c>
      <c r="M1429" s="131" t="str">
        <f t="shared" si="22"/>
        <v/>
      </c>
      <c r="N1429" s="287">
        <f>IF(C1429="Sale",SUMIFS($D$4:D1429,$B$4:B1429,B1429,$C$4:C1429,"")+SUMIFS($D$4:D1429,$B$4:B1429,B1429,$C$4:C1429,"Purch")-SUMIFS($D$4:D1429,$B$4:B1429,B1429,$C$4:C1429,"Sale"),0)</f>
        <v>0</v>
      </c>
    </row>
    <row r="1430" spans="1:14" x14ac:dyDescent="0.2">
      <c r="A1430" s="152"/>
      <c r="B1430" s="132"/>
      <c r="C1430" s="132"/>
      <c r="D1430" s="277"/>
      <c r="E1430" s="132"/>
      <c r="F1430" s="170"/>
      <c r="G1430" s="150"/>
      <c r="H1430" s="152"/>
      <c r="I1430" s="204"/>
      <c r="J1430" s="285"/>
      <c r="K1430" s="251"/>
      <c r="L1430" s="133" t="str">
        <f>IF(AND(I1430&lt;&gt;"",ISERROR(IF(ISERROR(VLOOKUP(I1430*1,Summary!$C$8:$C$153,1,0)),VLOOKUP(I1430,Summary!$C$8:$C$153,1,0),VLOOKUP(I1430*1,Summary!$C$8:$C$153,1,0)))),"Add account Number to Summary","")</f>
        <v/>
      </c>
      <c r="M1430" s="131" t="str">
        <f t="shared" si="22"/>
        <v/>
      </c>
      <c r="N1430" s="287">
        <f>IF(C1430="Sale",SUMIFS($D$4:D1430,$B$4:B1430,B1430,$C$4:C1430,"")+SUMIFS($D$4:D1430,$B$4:B1430,B1430,$C$4:C1430,"Purch")-SUMIFS($D$4:D1430,$B$4:B1430,B1430,$C$4:C1430,"Sale"),0)</f>
        <v>0</v>
      </c>
    </row>
    <row r="1431" spans="1:14" x14ac:dyDescent="0.2">
      <c r="A1431" s="152"/>
      <c r="B1431" s="132"/>
      <c r="C1431" s="132"/>
      <c r="D1431" s="277"/>
      <c r="E1431" s="132"/>
      <c r="F1431" s="170"/>
      <c r="G1431" s="150"/>
      <c r="H1431" s="152"/>
      <c r="I1431" s="204"/>
      <c r="J1431" s="285"/>
      <c r="K1431" s="251"/>
      <c r="L1431" s="133" t="str">
        <f>IF(AND(I1431&lt;&gt;"",ISERROR(IF(ISERROR(VLOOKUP(I1431*1,Summary!$C$8:$C$153,1,0)),VLOOKUP(I1431,Summary!$C$8:$C$153,1,0),VLOOKUP(I1431*1,Summary!$C$8:$C$153,1,0)))),"Add account Number to Summary","")</f>
        <v/>
      </c>
      <c r="M1431" s="131" t="str">
        <f t="shared" si="22"/>
        <v/>
      </c>
      <c r="N1431" s="287">
        <f>IF(C1431="Sale",SUMIFS($D$4:D1431,$B$4:B1431,B1431,$C$4:C1431,"")+SUMIFS($D$4:D1431,$B$4:B1431,B1431,$C$4:C1431,"Purch")-SUMIFS($D$4:D1431,$B$4:B1431,B1431,$C$4:C1431,"Sale"),0)</f>
        <v>0</v>
      </c>
    </row>
    <row r="1432" spans="1:14" x14ac:dyDescent="0.2">
      <c r="A1432" s="152"/>
      <c r="B1432" s="132"/>
      <c r="C1432" s="132"/>
      <c r="D1432" s="277"/>
      <c r="E1432" s="132"/>
      <c r="F1432" s="170"/>
      <c r="G1432" s="150"/>
      <c r="H1432" s="152"/>
      <c r="I1432" s="204"/>
      <c r="J1432" s="285"/>
      <c r="K1432" s="251"/>
      <c r="L1432" s="133" t="str">
        <f>IF(AND(I1432&lt;&gt;"",ISERROR(IF(ISERROR(VLOOKUP(I1432*1,Summary!$C$8:$C$153,1,0)),VLOOKUP(I1432,Summary!$C$8:$C$153,1,0),VLOOKUP(I1432*1,Summary!$C$8:$C$153,1,0)))),"Add account Number to Summary","")</f>
        <v/>
      </c>
      <c r="M1432" s="131" t="str">
        <f t="shared" si="22"/>
        <v/>
      </c>
      <c r="N1432" s="287">
        <f>IF(C1432="Sale",SUMIFS($D$4:D1432,$B$4:B1432,B1432,$C$4:C1432,"")+SUMIFS($D$4:D1432,$B$4:B1432,B1432,$C$4:C1432,"Purch")-SUMIFS($D$4:D1432,$B$4:B1432,B1432,$C$4:C1432,"Sale"),0)</f>
        <v>0</v>
      </c>
    </row>
    <row r="1433" spans="1:14" x14ac:dyDescent="0.2">
      <c r="A1433" s="152"/>
      <c r="B1433" s="132"/>
      <c r="C1433" s="132"/>
      <c r="D1433" s="277"/>
      <c r="E1433" s="132"/>
      <c r="F1433" s="170"/>
      <c r="G1433" s="150"/>
      <c r="H1433" s="152"/>
      <c r="I1433" s="204"/>
      <c r="J1433" s="285"/>
      <c r="K1433" s="251"/>
      <c r="L1433" s="133" t="str">
        <f>IF(AND(I1433&lt;&gt;"",ISERROR(IF(ISERROR(VLOOKUP(I1433*1,Summary!$C$8:$C$153,1,0)),VLOOKUP(I1433,Summary!$C$8:$C$153,1,0),VLOOKUP(I1433*1,Summary!$C$8:$C$153,1,0)))),"Add account Number to Summary","")</f>
        <v/>
      </c>
      <c r="M1433" s="131" t="str">
        <f t="shared" si="22"/>
        <v/>
      </c>
      <c r="N1433" s="287">
        <f>IF(C1433="Sale",SUMIFS($D$4:D1433,$B$4:B1433,B1433,$C$4:C1433,"")+SUMIFS($D$4:D1433,$B$4:B1433,B1433,$C$4:C1433,"Purch")-SUMIFS($D$4:D1433,$B$4:B1433,B1433,$C$4:C1433,"Sale"),0)</f>
        <v>0</v>
      </c>
    </row>
    <row r="1434" spans="1:14" x14ac:dyDescent="0.2">
      <c r="A1434" s="152"/>
      <c r="B1434" s="132"/>
      <c r="C1434" s="132"/>
      <c r="D1434" s="277"/>
      <c r="E1434" s="132"/>
      <c r="F1434" s="170"/>
      <c r="G1434" s="150"/>
      <c r="H1434" s="152"/>
      <c r="I1434" s="204"/>
      <c r="J1434" s="285"/>
      <c r="K1434" s="251"/>
      <c r="L1434" s="133" t="str">
        <f>IF(AND(I1434&lt;&gt;"",ISERROR(IF(ISERROR(VLOOKUP(I1434*1,Summary!$C$8:$C$153,1,0)),VLOOKUP(I1434,Summary!$C$8:$C$153,1,0),VLOOKUP(I1434*1,Summary!$C$8:$C$153,1,0)))),"Add account Number to Summary","")</f>
        <v/>
      </c>
      <c r="M1434" s="131" t="str">
        <f t="shared" si="22"/>
        <v/>
      </c>
      <c r="N1434" s="287">
        <f>IF(C1434="Sale",SUMIFS($D$4:D1434,$B$4:B1434,B1434,$C$4:C1434,"")+SUMIFS($D$4:D1434,$B$4:B1434,B1434,$C$4:C1434,"Purch")-SUMIFS($D$4:D1434,$B$4:B1434,B1434,$C$4:C1434,"Sale"),0)</f>
        <v>0</v>
      </c>
    </row>
    <row r="1435" spans="1:14" x14ac:dyDescent="0.2">
      <c r="A1435" s="152"/>
      <c r="B1435" s="132"/>
      <c r="C1435" s="132"/>
      <c r="D1435" s="277"/>
      <c r="E1435" s="132"/>
      <c r="F1435" s="170"/>
      <c r="G1435" s="150"/>
      <c r="H1435" s="152"/>
      <c r="I1435" s="204"/>
      <c r="J1435" s="285"/>
      <c r="K1435" s="251"/>
      <c r="L1435" s="133" t="str">
        <f>IF(AND(I1435&lt;&gt;"",ISERROR(IF(ISERROR(VLOOKUP(I1435*1,Summary!$C$8:$C$153,1,0)),VLOOKUP(I1435,Summary!$C$8:$C$153,1,0),VLOOKUP(I1435*1,Summary!$C$8:$C$153,1,0)))),"Add account Number to Summary","")</f>
        <v/>
      </c>
      <c r="M1435" s="131" t="str">
        <f t="shared" si="22"/>
        <v/>
      </c>
      <c r="N1435" s="287">
        <f>IF(C1435="Sale",SUMIFS($D$4:D1435,$B$4:B1435,B1435,$C$4:C1435,"")+SUMIFS($D$4:D1435,$B$4:B1435,B1435,$C$4:C1435,"Purch")-SUMIFS($D$4:D1435,$B$4:B1435,B1435,$C$4:C1435,"Sale"),0)</f>
        <v>0</v>
      </c>
    </row>
    <row r="1436" spans="1:14" x14ac:dyDescent="0.2">
      <c r="A1436" s="152"/>
      <c r="B1436" s="132"/>
      <c r="C1436" s="132"/>
      <c r="D1436" s="277"/>
      <c r="E1436" s="132"/>
      <c r="F1436" s="170"/>
      <c r="G1436" s="150"/>
      <c r="H1436" s="152"/>
      <c r="I1436" s="204"/>
      <c r="J1436" s="285"/>
      <c r="K1436" s="251"/>
      <c r="L1436" s="133" t="str">
        <f>IF(AND(I1436&lt;&gt;"",ISERROR(IF(ISERROR(VLOOKUP(I1436*1,Summary!$C$8:$C$153,1,0)),VLOOKUP(I1436,Summary!$C$8:$C$153,1,0),VLOOKUP(I1436*1,Summary!$C$8:$C$153,1,0)))),"Add account Number to Summary","")</f>
        <v/>
      </c>
      <c r="M1436" s="131" t="str">
        <f t="shared" si="22"/>
        <v/>
      </c>
      <c r="N1436" s="287">
        <f>IF(C1436="Sale",SUMIFS($D$4:D1436,$B$4:B1436,B1436,$C$4:C1436,"")+SUMIFS($D$4:D1436,$B$4:B1436,B1436,$C$4:C1436,"Purch")-SUMIFS($D$4:D1436,$B$4:B1436,B1436,$C$4:C1436,"Sale"),0)</f>
        <v>0</v>
      </c>
    </row>
    <row r="1437" spans="1:14" x14ac:dyDescent="0.2">
      <c r="A1437" s="152"/>
      <c r="B1437" s="132"/>
      <c r="C1437" s="132"/>
      <c r="D1437" s="277"/>
      <c r="E1437" s="132"/>
      <c r="F1437" s="170"/>
      <c r="G1437" s="150"/>
      <c r="H1437" s="152"/>
      <c r="I1437" s="204"/>
      <c r="J1437" s="285"/>
      <c r="K1437" s="251"/>
      <c r="L1437" s="133" t="str">
        <f>IF(AND(I1437&lt;&gt;"",ISERROR(IF(ISERROR(VLOOKUP(I1437*1,Summary!$C$8:$C$153,1,0)),VLOOKUP(I1437,Summary!$C$8:$C$153,1,0),VLOOKUP(I1437*1,Summary!$C$8:$C$153,1,0)))),"Add account Number to Summary","")</f>
        <v/>
      </c>
      <c r="M1437" s="131" t="str">
        <f t="shared" si="22"/>
        <v/>
      </c>
      <c r="N1437" s="287">
        <f>IF(C1437="Sale",SUMIFS($D$4:D1437,$B$4:B1437,B1437,$C$4:C1437,"")+SUMIFS($D$4:D1437,$B$4:B1437,B1437,$C$4:C1437,"Purch")-SUMIFS($D$4:D1437,$B$4:B1437,B1437,$C$4:C1437,"Sale"),0)</f>
        <v>0</v>
      </c>
    </row>
    <row r="1438" spans="1:14" x14ac:dyDescent="0.2">
      <c r="A1438" s="152"/>
      <c r="B1438" s="132"/>
      <c r="C1438" s="132"/>
      <c r="D1438" s="277"/>
      <c r="E1438" s="132"/>
      <c r="F1438" s="170"/>
      <c r="G1438" s="150"/>
      <c r="H1438" s="152"/>
      <c r="I1438" s="204"/>
      <c r="J1438" s="285"/>
      <c r="K1438" s="251"/>
      <c r="L1438" s="133" t="str">
        <f>IF(AND(I1438&lt;&gt;"",ISERROR(IF(ISERROR(VLOOKUP(I1438*1,Summary!$C$8:$C$153,1,0)),VLOOKUP(I1438,Summary!$C$8:$C$153,1,0),VLOOKUP(I1438*1,Summary!$C$8:$C$153,1,0)))),"Add account Number to Summary","")</f>
        <v/>
      </c>
      <c r="M1438" s="131" t="str">
        <f t="shared" si="22"/>
        <v/>
      </c>
      <c r="N1438" s="287">
        <f>IF(C1438="Sale",SUMIFS($D$4:D1438,$B$4:B1438,B1438,$C$4:C1438,"")+SUMIFS($D$4:D1438,$B$4:B1438,B1438,$C$4:C1438,"Purch")-SUMIFS($D$4:D1438,$B$4:B1438,B1438,$C$4:C1438,"Sale"),0)</f>
        <v>0</v>
      </c>
    </row>
    <row r="1439" spans="1:14" x14ac:dyDescent="0.2">
      <c r="A1439" s="152"/>
      <c r="B1439" s="132"/>
      <c r="C1439" s="132"/>
      <c r="D1439" s="277"/>
      <c r="E1439" s="132"/>
      <c r="F1439" s="170"/>
      <c r="G1439" s="150"/>
      <c r="H1439" s="152"/>
      <c r="I1439" s="204"/>
      <c r="J1439" s="285"/>
      <c r="K1439" s="251"/>
      <c r="L1439" s="133" t="str">
        <f>IF(AND(I1439&lt;&gt;"",ISERROR(IF(ISERROR(VLOOKUP(I1439*1,Summary!$C$8:$C$153,1,0)),VLOOKUP(I1439,Summary!$C$8:$C$153,1,0),VLOOKUP(I1439*1,Summary!$C$8:$C$153,1,0)))),"Add account Number to Summary","")</f>
        <v/>
      </c>
      <c r="M1439" s="131" t="str">
        <f t="shared" si="22"/>
        <v/>
      </c>
      <c r="N1439" s="287">
        <f>IF(C1439="Sale",SUMIFS($D$4:D1439,$B$4:B1439,B1439,$C$4:C1439,"")+SUMIFS($D$4:D1439,$B$4:B1439,B1439,$C$4:C1439,"Purch")-SUMIFS($D$4:D1439,$B$4:B1439,B1439,$C$4:C1439,"Sale"),0)</f>
        <v>0</v>
      </c>
    </row>
    <row r="1440" spans="1:14" x14ac:dyDescent="0.2">
      <c r="A1440" s="152"/>
      <c r="B1440" s="132"/>
      <c r="C1440" s="132"/>
      <c r="D1440" s="277"/>
      <c r="E1440" s="132"/>
      <c r="F1440" s="170"/>
      <c r="G1440" s="150"/>
      <c r="H1440" s="152"/>
      <c r="I1440" s="204"/>
      <c r="J1440" s="285"/>
      <c r="K1440" s="251"/>
      <c r="L1440" s="133" t="str">
        <f>IF(AND(I1440&lt;&gt;"",ISERROR(IF(ISERROR(VLOOKUP(I1440*1,Summary!$C$8:$C$153,1,0)),VLOOKUP(I1440,Summary!$C$8:$C$153,1,0),VLOOKUP(I1440*1,Summary!$C$8:$C$153,1,0)))),"Add account Number to Summary","")</f>
        <v/>
      </c>
      <c r="M1440" s="131" t="str">
        <f t="shared" si="22"/>
        <v/>
      </c>
      <c r="N1440" s="287">
        <f>IF(C1440="Sale",SUMIFS($D$4:D1440,$B$4:B1440,B1440,$C$4:C1440,"")+SUMIFS($D$4:D1440,$B$4:B1440,B1440,$C$4:C1440,"Purch")-SUMIFS($D$4:D1440,$B$4:B1440,B1440,$C$4:C1440,"Sale"),0)</f>
        <v>0</v>
      </c>
    </row>
    <row r="1441" spans="1:14" x14ac:dyDescent="0.2">
      <c r="A1441" s="152"/>
      <c r="B1441" s="132"/>
      <c r="C1441" s="132"/>
      <c r="D1441" s="277"/>
      <c r="E1441" s="132"/>
      <c r="F1441" s="170"/>
      <c r="G1441" s="150"/>
      <c r="H1441" s="152"/>
      <c r="I1441" s="204"/>
      <c r="J1441" s="285"/>
      <c r="K1441" s="251"/>
      <c r="L1441" s="133" t="str">
        <f>IF(AND(I1441&lt;&gt;"",ISERROR(IF(ISERROR(VLOOKUP(I1441*1,Summary!$C$8:$C$153,1,0)),VLOOKUP(I1441,Summary!$C$8:$C$153,1,0),VLOOKUP(I1441*1,Summary!$C$8:$C$153,1,0)))),"Add account Number to Summary","")</f>
        <v/>
      </c>
      <c r="M1441" s="131" t="str">
        <f t="shared" si="22"/>
        <v/>
      </c>
      <c r="N1441" s="287">
        <f>IF(C1441="Sale",SUMIFS($D$4:D1441,$B$4:B1441,B1441,$C$4:C1441,"")+SUMIFS($D$4:D1441,$B$4:B1441,B1441,$C$4:C1441,"Purch")-SUMIFS($D$4:D1441,$B$4:B1441,B1441,$C$4:C1441,"Sale"),0)</f>
        <v>0</v>
      </c>
    </row>
    <row r="1442" spans="1:14" x14ac:dyDescent="0.2">
      <c r="A1442" s="152"/>
      <c r="B1442" s="132"/>
      <c r="C1442" s="132"/>
      <c r="D1442" s="277"/>
      <c r="E1442" s="132"/>
      <c r="F1442" s="170"/>
      <c r="G1442" s="150"/>
      <c r="H1442" s="152"/>
      <c r="I1442" s="204"/>
      <c r="J1442" s="285"/>
      <c r="K1442" s="251"/>
      <c r="L1442" s="133" t="str">
        <f>IF(AND(I1442&lt;&gt;"",ISERROR(IF(ISERROR(VLOOKUP(I1442*1,Summary!$C$8:$C$153,1,0)),VLOOKUP(I1442,Summary!$C$8:$C$153,1,0),VLOOKUP(I1442*1,Summary!$C$8:$C$153,1,0)))),"Add account Number to Summary","")</f>
        <v/>
      </c>
      <c r="M1442" s="131" t="str">
        <f t="shared" si="22"/>
        <v/>
      </c>
      <c r="N1442" s="287">
        <f>IF(C1442="Sale",SUMIFS($D$4:D1442,$B$4:B1442,B1442,$C$4:C1442,"")+SUMIFS($D$4:D1442,$B$4:B1442,B1442,$C$4:C1442,"Purch")-SUMIFS($D$4:D1442,$B$4:B1442,B1442,$C$4:C1442,"Sale"),0)</f>
        <v>0</v>
      </c>
    </row>
    <row r="1443" spans="1:14" x14ac:dyDescent="0.2">
      <c r="A1443" s="152"/>
      <c r="B1443" s="132"/>
      <c r="C1443" s="132"/>
      <c r="D1443" s="277"/>
      <c r="E1443" s="132"/>
      <c r="F1443" s="170"/>
      <c r="G1443" s="150"/>
      <c r="H1443" s="152"/>
      <c r="I1443" s="204"/>
      <c r="J1443" s="285"/>
      <c r="K1443" s="251"/>
      <c r="L1443" s="133" t="str">
        <f>IF(AND(I1443&lt;&gt;"",ISERROR(IF(ISERROR(VLOOKUP(I1443*1,Summary!$C$8:$C$153,1,0)),VLOOKUP(I1443,Summary!$C$8:$C$153,1,0),VLOOKUP(I1443*1,Summary!$C$8:$C$153,1,0)))),"Add account Number to Summary","")</f>
        <v/>
      </c>
      <c r="M1443" s="131" t="str">
        <f t="shared" si="22"/>
        <v/>
      </c>
      <c r="N1443" s="287">
        <f>IF(C1443="Sale",SUMIFS($D$4:D1443,$B$4:B1443,B1443,$C$4:C1443,"")+SUMIFS($D$4:D1443,$B$4:B1443,B1443,$C$4:C1443,"Purch")-SUMIFS($D$4:D1443,$B$4:B1443,B1443,$C$4:C1443,"Sale"),0)</f>
        <v>0</v>
      </c>
    </row>
    <row r="1444" spans="1:14" x14ac:dyDescent="0.2">
      <c r="A1444" s="152"/>
      <c r="B1444" s="132"/>
      <c r="C1444" s="132"/>
      <c r="D1444" s="277"/>
      <c r="E1444" s="132"/>
      <c r="F1444" s="170"/>
      <c r="G1444" s="150"/>
      <c r="H1444" s="152"/>
      <c r="I1444" s="204"/>
      <c r="J1444" s="285"/>
      <c r="K1444" s="251"/>
      <c r="L1444" s="133" t="str">
        <f>IF(AND(I1444&lt;&gt;"",ISERROR(IF(ISERROR(VLOOKUP(I1444*1,Summary!$C$8:$C$153,1,0)),VLOOKUP(I1444,Summary!$C$8:$C$153,1,0),VLOOKUP(I1444*1,Summary!$C$8:$C$153,1,0)))),"Add account Number to Summary","")</f>
        <v/>
      </c>
      <c r="M1444" s="131" t="str">
        <f t="shared" si="22"/>
        <v/>
      </c>
      <c r="N1444" s="287">
        <f>IF(C1444="Sale",SUMIFS($D$4:D1444,$B$4:B1444,B1444,$C$4:C1444,"")+SUMIFS($D$4:D1444,$B$4:B1444,B1444,$C$4:C1444,"Purch")-SUMIFS($D$4:D1444,$B$4:B1444,B1444,$C$4:C1444,"Sale"),0)</f>
        <v>0</v>
      </c>
    </row>
    <row r="1445" spans="1:14" x14ac:dyDescent="0.2">
      <c r="A1445" s="152"/>
      <c r="B1445" s="132"/>
      <c r="C1445" s="132"/>
      <c r="D1445" s="277"/>
      <c r="E1445" s="132"/>
      <c r="F1445" s="170"/>
      <c r="G1445" s="150"/>
      <c r="H1445" s="152"/>
      <c r="I1445" s="204"/>
      <c r="J1445" s="285"/>
      <c r="K1445" s="251"/>
      <c r="L1445" s="133" t="str">
        <f>IF(AND(I1445&lt;&gt;"",ISERROR(IF(ISERROR(VLOOKUP(I1445*1,Summary!$C$8:$C$153,1,0)),VLOOKUP(I1445,Summary!$C$8:$C$153,1,0),VLOOKUP(I1445*1,Summary!$C$8:$C$153,1,0)))),"Add account Number to Summary","")</f>
        <v/>
      </c>
      <c r="M1445" s="131" t="str">
        <f t="shared" si="22"/>
        <v/>
      </c>
      <c r="N1445" s="287">
        <f>IF(C1445="Sale",SUMIFS($D$4:D1445,$B$4:B1445,B1445,$C$4:C1445,"")+SUMIFS($D$4:D1445,$B$4:B1445,B1445,$C$4:C1445,"Purch")-SUMIFS($D$4:D1445,$B$4:B1445,B1445,$C$4:C1445,"Sale"),0)</f>
        <v>0</v>
      </c>
    </row>
    <row r="1446" spans="1:14" x14ac:dyDescent="0.2">
      <c r="A1446" s="152"/>
      <c r="B1446" s="132"/>
      <c r="C1446" s="132"/>
      <c r="D1446" s="277"/>
      <c r="E1446" s="132"/>
      <c r="F1446" s="170"/>
      <c r="G1446" s="150"/>
      <c r="H1446" s="152"/>
      <c r="I1446" s="204"/>
      <c r="J1446" s="285"/>
      <c r="K1446" s="251"/>
      <c r="L1446" s="133" t="str">
        <f>IF(AND(I1446&lt;&gt;"",ISERROR(IF(ISERROR(VLOOKUP(I1446*1,Summary!$C$8:$C$153,1,0)),VLOOKUP(I1446,Summary!$C$8:$C$153,1,0),VLOOKUP(I1446*1,Summary!$C$8:$C$153,1,0)))),"Add account Number to Summary","")</f>
        <v/>
      </c>
      <c r="M1446" s="131" t="str">
        <f t="shared" si="22"/>
        <v/>
      </c>
      <c r="N1446" s="287">
        <f>IF(C1446="Sale",SUMIFS($D$4:D1446,$B$4:B1446,B1446,$C$4:C1446,"")+SUMIFS($D$4:D1446,$B$4:B1446,B1446,$C$4:C1446,"Purch")-SUMIFS($D$4:D1446,$B$4:B1446,B1446,$C$4:C1446,"Sale"),0)</f>
        <v>0</v>
      </c>
    </row>
    <row r="1447" spans="1:14" x14ac:dyDescent="0.2">
      <c r="A1447" s="152"/>
      <c r="B1447" s="132"/>
      <c r="C1447" s="132"/>
      <c r="D1447" s="277"/>
      <c r="E1447" s="132"/>
      <c r="F1447" s="170"/>
      <c r="G1447" s="150"/>
      <c r="H1447" s="152"/>
      <c r="I1447" s="204"/>
      <c r="J1447" s="285"/>
      <c r="K1447" s="251"/>
      <c r="L1447" s="133" t="str">
        <f>IF(AND(I1447&lt;&gt;"",ISERROR(IF(ISERROR(VLOOKUP(I1447*1,Summary!$C$8:$C$153,1,0)),VLOOKUP(I1447,Summary!$C$8:$C$153,1,0),VLOOKUP(I1447*1,Summary!$C$8:$C$153,1,0)))),"Add account Number to Summary","")</f>
        <v/>
      </c>
      <c r="M1447" s="131" t="str">
        <f t="shared" si="22"/>
        <v/>
      </c>
      <c r="N1447" s="287">
        <f>IF(C1447="Sale",SUMIFS($D$4:D1447,$B$4:B1447,B1447,$C$4:C1447,"")+SUMIFS($D$4:D1447,$B$4:B1447,B1447,$C$4:C1447,"Purch")-SUMIFS($D$4:D1447,$B$4:B1447,B1447,$C$4:C1447,"Sale"),0)</f>
        <v>0</v>
      </c>
    </row>
    <row r="1448" spans="1:14" x14ac:dyDescent="0.2">
      <c r="A1448" s="152"/>
      <c r="B1448" s="132"/>
      <c r="C1448" s="132"/>
      <c r="D1448" s="277"/>
      <c r="E1448" s="132"/>
      <c r="F1448" s="170"/>
      <c r="G1448" s="150"/>
      <c r="H1448" s="152"/>
      <c r="I1448" s="204"/>
      <c r="J1448" s="285"/>
      <c r="K1448" s="251"/>
      <c r="L1448" s="133" t="str">
        <f>IF(AND(I1448&lt;&gt;"",ISERROR(IF(ISERROR(VLOOKUP(I1448*1,Summary!$C$8:$C$153,1,0)),VLOOKUP(I1448,Summary!$C$8:$C$153,1,0),VLOOKUP(I1448*1,Summary!$C$8:$C$153,1,0)))),"Add account Number to Summary","")</f>
        <v/>
      </c>
      <c r="M1448" s="131" t="str">
        <f t="shared" si="22"/>
        <v/>
      </c>
      <c r="N1448" s="287">
        <f>IF(C1448="Sale",SUMIFS($D$4:D1448,$B$4:B1448,B1448,$C$4:C1448,"")+SUMIFS($D$4:D1448,$B$4:B1448,B1448,$C$4:C1448,"Purch")-SUMIFS($D$4:D1448,$B$4:B1448,B1448,$C$4:C1448,"Sale"),0)</f>
        <v>0</v>
      </c>
    </row>
    <row r="1449" spans="1:14" x14ac:dyDescent="0.2">
      <c r="A1449" s="152"/>
      <c r="B1449" s="132"/>
      <c r="C1449" s="132"/>
      <c r="D1449" s="277"/>
      <c r="E1449" s="132"/>
      <c r="F1449" s="170"/>
      <c r="G1449" s="150"/>
      <c r="H1449" s="152"/>
      <c r="I1449" s="204"/>
      <c r="J1449" s="285"/>
      <c r="K1449" s="251"/>
      <c r="L1449" s="133" t="str">
        <f>IF(AND(I1449&lt;&gt;"",ISERROR(IF(ISERROR(VLOOKUP(I1449*1,Summary!$C$8:$C$153,1,0)),VLOOKUP(I1449,Summary!$C$8:$C$153,1,0),VLOOKUP(I1449*1,Summary!$C$8:$C$153,1,0)))),"Add account Number to Summary","")</f>
        <v/>
      </c>
      <c r="M1449" s="131" t="str">
        <f t="shared" si="22"/>
        <v/>
      </c>
      <c r="N1449" s="287">
        <f>IF(C1449="Sale",SUMIFS($D$4:D1449,$B$4:B1449,B1449,$C$4:C1449,"")+SUMIFS($D$4:D1449,$B$4:B1449,B1449,$C$4:C1449,"Purch")-SUMIFS($D$4:D1449,$B$4:B1449,B1449,$C$4:C1449,"Sale"),0)</f>
        <v>0</v>
      </c>
    </row>
    <row r="1450" spans="1:14" x14ac:dyDescent="0.2">
      <c r="A1450" s="152"/>
      <c r="B1450" s="132"/>
      <c r="C1450" s="132"/>
      <c r="D1450" s="277"/>
      <c r="E1450" s="132"/>
      <c r="F1450" s="170"/>
      <c r="G1450" s="150"/>
      <c r="H1450" s="152"/>
      <c r="I1450" s="204"/>
      <c r="J1450" s="285"/>
      <c r="K1450" s="251"/>
      <c r="L1450" s="133" t="str">
        <f>IF(AND(I1450&lt;&gt;"",ISERROR(IF(ISERROR(VLOOKUP(I1450*1,Summary!$C$8:$C$153,1,0)),VLOOKUP(I1450,Summary!$C$8:$C$153,1,0),VLOOKUP(I1450*1,Summary!$C$8:$C$153,1,0)))),"Add account Number to Summary","")</f>
        <v/>
      </c>
      <c r="M1450" s="131" t="str">
        <f t="shared" si="22"/>
        <v/>
      </c>
      <c r="N1450" s="287">
        <f>IF(C1450="Sale",SUMIFS($D$4:D1450,$B$4:B1450,B1450,$C$4:C1450,"")+SUMIFS($D$4:D1450,$B$4:B1450,B1450,$C$4:C1450,"Purch")-SUMIFS($D$4:D1450,$B$4:B1450,B1450,$C$4:C1450,"Sale"),0)</f>
        <v>0</v>
      </c>
    </row>
    <row r="1451" spans="1:14" x14ac:dyDescent="0.2">
      <c r="A1451" s="152"/>
      <c r="B1451" s="132"/>
      <c r="C1451" s="132"/>
      <c r="D1451" s="277"/>
      <c r="E1451" s="132"/>
      <c r="F1451" s="170"/>
      <c r="G1451" s="150"/>
      <c r="H1451" s="152"/>
      <c r="I1451" s="204"/>
      <c r="J1451" s="285"/>
      <c r="K1451" s="251"/>
      <c r="L1451" s="133" t="str">
        <f>IF(AND(I1451&lt;&gt;"",ISERROR(IF(ISERROR(VLOOKUP(I1451*1,Summary!$C$8:$C$153,1,0)),VLOOKUP(I1451,Summary!$C$8:$C$153,1,0),VLOOKUP(I1451*1,Summary!$C$8:$C$153,1,0)))),"Add account Number to Summary","")</f>
        <v/>
      </c>
      <c r="M1451" s="131" t="str">
        <f t="shared" si="22"/>
        <v/>
      </c>
      <c r="N1451" s="287">
        <f>IF(C1451="Sale",SUMIFS($D$4:D1451,$B$4:B1451,B1451,$C$4:C1451,"")+SUMIFS($D$4:D1451,$B$4:B1451,B1451,$C$4:C1451,"Purch")-SUMIFS($D$4:D1451,$B$4:B1451,B1451,$C$4:C1451,"Sale"),0)</f>
        <v>0</v>
      </c>
    </row>
    <row r="1452" spans="1:14" x14ac:dyDescent="0.2">
      <c r="A1452" s="152"/>
      <c r="B1452" s="132"/>
      <c r="C1452" s="132"/>
      <c r="D1452" s="277"/>
      <c r="E1452" s="132"/>
      <c r="F1452" s="170"/>
      <c r="G1452" s="150"/>
      <c r="H1452" s="152"/>
      <c r="I1452" s="204"/>
      <c r="J1452" s="285"/>
      <c r="K1452" s="251"/>
      <c r="L1452" s="133" t="str">
        <f>IF(AND(I1452&lt;&gt;"",ISERROR(IF(ISERROR(VLOOKUP(I1452*1,Summary!$C$8:$C$153,1,0)),VLOOKUP(I1452,Summary!$C$8:$C$153,1,0),VLOOKUP(I1452*1,Summary!$C$8:$C$153,1,0)))),"Add account Number to Summary","")</f>
        <v/>
      </c>
      <c r="M1452" s="131" t="str">
        <f t="shared" ref="M1452:M1515" si="23">IF(K1452="Yes",IF(YEAR(A1452)&lt;&gt;YEAR(date),"Check Date",""),"")</f>
        <v/>
      </c>
      <c r="N1452" s="287">
        <f>IF(C1452="Sale",SUMIFS($D$4:D1452,$B$4:B1452,B1452,$C$4:C1452,"")+SUMIFS($D$4:D1452,$B$4:B1452,B1452,$C$4:C1452,"Purch")-SUMIFS($D$4:D1452,$B$4:B1452,B1452,$C$4:C1452,"Sale"),0)</f>
        <v>0</v>
      </c>
    </row>
    <row r="1453" spans="1:14" x14ac:dyDescent="0.2">
      <c r="A1453" s="152"/>
      <c r="B1453" s="132"/>
      <c r="C1453" s="132"/>
      <c r="D1453" s="277"/>
      <c r="E1453" s="132"/>
      <c r="F1453" s="170"/>
      <c r="G1453" s="150"/>
      <c r="H1453" s="152"/>
      <c r="I1453" s="204"/>
      <c r="J1453" s="285"/>
      <c r="K1453" s="251"/>
      <c r="L1453" s="133" t="str">
        <f>IF(AND(I1453&lt;&gt;"",ISERROR(IF(ISERROR(VLOOKUP(I1453*1,Summary!$C$8:$C$153,1,0)),VLOOKUP(I1453,Summary!$C$8:$C$153,1,0),VLOOKUP(I1453*1,Summary!$C$8:$C$153,1,0)))),"Add account Number to Summary","")</f>
        <v/>
      </c>
      <c r="M1453" s="131" t="str">
        <f t="shared" si="23"/>
        <v/>
      </c>
      <c r="N1453" s="287">
        <f>IF(C1453="Sale",SUMIFS($D$4:D1453,$B$4:B1453,B1453,$C$4:C1453,"")+SUMIFS($D$4:D1453,$B$4:B1453,B1453,$C$4:C1453,"Purch")-SUMIFS($D$4:D1453,$B$4:B1453,B1453,$C$4:C1453,"Sale"),0)</f>
        <v>0</v>
      </c>
    </row>
    <row r="1454" spans="1:14" x14ac:dyDescent="0.2">
      <c r="A1454" s="152"/>
      <c r="B1454" s="132"/>
      <c r="C1454" s="132"/>
      <c r="D1454" s="277"/>
      <c r="E1454" s="132"/>
      <c r="F1454" s="170"/>
      <c r="G1454" s="150"/>
      <c r="H1454" s="152"/>
      <c r="I1454" s="204"/>
      <c r="J1454" s="285"/>
      <c r="K1454" s="251"/>
      <c r="L1454" s="133" t="str">
        <f>IF(AND(I1454&lt;&gt;"",ISERROR(IF(ISERROR(VLOOKUP(I1454*1,Summary!$C$8:$C$153,1,0)),VLOOKUP(I1454,Summary!$C$8:$C$153,1,0),VLOOKUP(I1454*1,Summary!$C$8:$C$153,1,0)))),"Add account Number to Summary","")</f>
        <v/>
      </c>
      <c r="M1454" s="131" t="str">
        <f t="shared" si="23"/>
        <v/>
      </c>
      <c r="N1454" s="287">
        <f>IF(C1454="Sale",SUMIFS($D$4:D1454,$B$4:B1454,B1454,$C$4:C1454,"")+SUMIFS($D$4:D1454,$B$4:B1454,B1454,$C$4:C1454,"Purch")-SUMIFS($D$4:D1454,$B$4:B1454,B1454,$C$4:C1454,"Sale"),0)</f>
        <v>0</v>
      </c>
    </row>
    <row r="1455" spans="1:14" x14ac:dyDescent="0.2">
      <c r="A1455" s="152"/>
      <c r="B1455" s="132"/>
      <c r="C1455" s="132"/>
      <c r="D1455" s="277"/>
      <c r="E1455" s="132"/>
      <c r="F1455" s="170"/>
      <c r="G1455" s="150"/>
      <c r="H1455" s="152"/>
      <c r="I1455" s="204"/>
      <c r="J1455" s="285"/>
      <c r="K1455" s="251"/>
      <c r="L1455" s="133" t="str">
        <f>IF(AND(I1455&lt;&gt;"",ISERROR(IF(ISERROR(VLOOKUP(I1455*1,Summary!$C$8:$C$153,1,0)),VLOOKUP(I1455,Summary!$C$8:$C$153,1,0),VLOOKUP(I1455*1,Summary!$C$8:$C$153,1,0)))),"Add account Number to Summary","")</f>
        <v/>
      </c>
      <c r="M1455" s="131" t="str">
        <f t="shared" si="23"/>
        <v/>
      </c>
      <c r="N1455" s="287">
        <f>IF(C1455="Sale",SUMIFS($D$4:D1455,$B$4:B1455,B1455,$C$4:C1455,"")+SUMIFS($D$4:D1455,$B$4:B1455,B1455,$C$4:C1455,"Purch")-SUMIFS($D$4:D1455,$B$4:B1455,B1455,$C$4:C1455,"Sale"),0)</f>
        <v>0</v>
      </c>
    </row>
    <row r="1456" spans="1:14" x14ac:dyDescent="0.2">
      <c r="A1456" s="152"/>
      <c r="B1456" s="132"/>
      <c r="C1456" s="132"/>
      <c r="D1456" s="277"/>
      <c r="E1456" s="132"/>
      <c r="F1456" s="170"/>
      <c r="G1456" s="150"/>
      <c r="H1456" s="152"/>
      <c r="I1456" s="204"/>
      <c r="J1456" s="285"/>
      <c r="K1456" s="251"/>
      <c r="L1456" s="133" t="str">
        <f>IF(AND(I1456&lt;&gt;"",ISERROR(IF(ISERROR(VLOOKUP(I1456*1,Summary!$C$8:$C$153,1,0)),VLOOKUP(I1456,Summary!$C$8:$C$153,1,0),VLOOKUP(I1456*1,Summary!$C$8:$C$153,1,0)))),"Add account Number to Summary","")</f>
        <v/>
      </c>
      <c r="M1456" s="131" t="str">
        <f t="shared" si="23"/>
        <v/>
      </c>
      <c r="N1456" s="287">
        <f>IF(C1456="Sale",SUMIFS($D$4:D1456,$B$4:B1456,B1456,$C$4:C1456,"")+SUMIFS($D$4:D1456,$B$4:B1456,B1456,$C$4:C1456,"Purch")-SUMIFS($D$4:D1456,$B$4:B1456,B1456,$C$4:C1456,"Sale"),0)</f>
        <v>0</v>
      </c>
    </row>
    <row r="1457" spans="1:14" x14ac:dyDescent="0.2">
      <c r="A1457" s="152"/>
      <c r="B1457" s="132"/>
      <c r="C1457" s="132"/>
      <c r="D1457" s="277"/>
      <c r="E1457" s="132"/>
      <c r="F1457" s="170"/>
      <c r="G1457" s="150"/>
      <c r="H1457" s="152"/>
      <c r="I1457" s="204"/>
      <c r="J1457" s="285"/>
      <c r="K1457" s="251"/>
      <c r="L1457" s="133" t="str">
        <f>IF(AND(I1457&lt;&gt;"",ISERROR(IF(ISERROR(VLOOKUP(I1457*1,Summary!$C$8:$C$153,1,0)),VLOOKUP(I1457,Summary!$C$8:$C$153,1,0),VLOOKUP(I1457*1,Summary!$C$8:$C$153,1,0)))),"Add account Number to Summary","")</f>
        <v/>
      </c>
      <c r="M1457" s="131" t="str">
        <f t="shared" si="23"/>
        <v/>
      </c>
      <c r="N1457" s="287">
        <f>IF(C1457="Sale",SUMIFS($D$4:D1457,$B$4:B1457,B1457,$C$4:C1457,"")+SUMIFS($D$4:D1457,$B$4:B1457,B1457,$C$4:C1457,"Purch")-SUMIFS($D$4:D1457,$B$4:B1457,B1457,$C$4:C1457,"Sale"),0)</f>
        <v>0</v>
      </c>
    </row>
    <row r="1458" spans="1:14" x14ac:dyDescent="0.2">
      <c r="A1458" s="152"/>
      <c r="B1458" s="132"/>
      <c r="C1458" s="132"/>
      <c r="D1458" s="277"/>
      <c r="E1458" s="132"/>
      <c r="F1458" s="170"/>
      <c r="G1458" s="150"/>
      <c r="H1458" s="152"/>
      <c r="I1458" s="204"/>
      <c r="J1458" s="285"/>
      <c r="K1458" s="251"/>
      <c r="L1458" s="133" t="str">
        <f>IF(AND(I1458&lt;&gt;"",ISERROR(IF(ISERROR(VLOOKUP(I1458*1,Summary!$C$8:$C$153,1,0)),VLOOKUP(I1458,Summary!$C$8:$C$153,1,0),VLOOKUP(I1458*1,Summary!$C$8:$C$153,1,0)))),"Add account Number to Summary","")</f>
        <v/>
      </c>
      <c r="M1458" s="131" t="str">
        <f t="shared" si="23"/>
        <v/>
      </c>
      <c r="N1458" s="287">
        <f>IF(C1458="Sale",SUMIFS($D$4:D1458,$B$4:B1458,B1458,$C$4:C1458,"")+SUMIFS($D$4:D1458,$B$4:B1458,B1458,$C$4:C1458,"Purch")-SUMIFS($D$4:D1458,$B$4:B1458,B1458,$C$4:C1458,"Sale"),0)</f>
        <v>0</v>
      </c>
    </row>
    <row r="1459" spans="1:14" x14ac:dyDescent="0.2">
      <c r="A1459" s="152"/>
      <c r="B1459" s="132"/>
      <c r="C1459" s="132"/>
      <c r="D1459" s="277"/>
      <c r="E1459" s="132"/>
      <c r="F1459" s="170"/>
      <c r="G1459" s="150"/>
      <c r="H1459" s="152"/>
      <c r="I1459" s="204"/>
      <c r="J1459" s="285"/>
      <c r="K1459" s="251"/>
      <c r="L1459" s="133" t="str">
        <f>IF(AND(I1459&lt;&gt;"",ISERROR(IF(ISERROR(VLOOKUP(I1459*1,Summary!$C$8:$C$153,1,0)),VLOOKUP(I1459,Summary!$C$8:$C$153,1,0),VLOOKUP(I1459*1,Summary!$C$8:$C$153,1,0)))),"Add account Number to Summary","")</f>
        <v/>
      </c>
      <c r="M1459" s="131" t="str">
        <f t="shared" si="23"/>
        <v/>
      </c>
      <c r="N1459" s="287">
        <f>IF(C1459="Sale",SUMIFS($D$4:D1459,$B$4:B1459,B1459,$C$4:C1459,"")+SUMIFS($D$4:D1459,$B$4:B1459,B1459,$C$4:C1459,"Purch")-SUMIFS($D$4:D1459,$B$4:B1459,B1459,$C$4:C1459,"Sale"),0)</f>
        <v>0</v>
      </c>
    </row>
    <row r="1460" spans="1:14" x14ac:dyDescent="0.2">
      <c r="A1460" s="152"/>
      <c r="B1460" s="132"/>
      <c r="C1460" s="132"/>
      <c r="D1460" s="277"/>
      <c r="E1460" s="132"/>
      <c r="F1460" s="170"/>
      <c r="G1460" s="150"/>
      <c r="H1460" s="152"/>
      <c r="I1460" s="204"/>
      <c r="J1460" s="285"/>
      <c r="K1460" s="251"/>
      <c r="L1460" s="133" t="str">
        <f>IF(AND(I1460&lt;&gt;"",ISERROR(IF(ISERROR(VLOOKUP(I1460*1,Summary!$C$8:$C$153,1,0)),VLOOKUP(I1460,Summary!$C$8:$C$153,1,0),VLOOKUP(I1460*1,Summary!$C$8:$C$153,1,0)))),"Add account Number to Summary","")</f>
        <v/>
      </c>
      <c r="M1460" s="131" t="str">
        <f t="shared" si="23"/>
        <v/>
      </c>
      <c r="N1460" s="287">
        <f>IF(C1460="Sale",SUMIFS($D$4:D1460,$B$4:B1460,B1460,$C$4:C1460,"")+SUMIFS($D$4:D1460,$B$4:B1460,B1460,$C$4:C1460,"Purch")-SUMIFS($D$4:D1460,$B$4:B1460,B1460,$C$4:C1460,"Sale"),0)</f>
        <v>0</v>
      </c>
    </row>
    <row r="1461" spans="1:14" x14ac:dyDescent="0.2">
      <c r="A1461" s="152"/>
      <c r="B1461" s="132"/>
      <c r="C1461" s="132"/>
      <c r="D1461" s="277"/>
      <c r="E1461" s="132"/>
      <c r="F1461" s="170"/>
      <c r="G1461" s="150"/>
      <c r="H1461" s="152"/>
      <c r="I1461" s="204"/>
      <c r="J1461" s="285"/>
      <c r="K1461" s="251"/>
      <c r="L1461" s="133" t="str">
        <f>IF(AND(I1461&lt;&gt;"",ISERROR(IF(ISERROR(VLOOKUP(I1461*1,Summary!$C$8:$C$153,1,0)),VLOOKUP(I1461,Summary!$C$8:$C$153,1,0),VLOOKUP(I1461*1,Summary!$C$8:$C$153,1,0)))),"Add account Number to Summary","")</f>
        <v/>
      </c>
      <c r="M1461" s="131" t="str">
        <f t="shared" si="23"/>
        <v/>
      </c>
      <c r="N1461" s="287">
        <f>IF(C1461="Sale",SUMIFS($D$4:D1461,$B$4:B1461,B1461,$C$4:C1461,"")+SUMIFS($D$4:D1461,$B$4:B1461,B1461,$C$4:C1461,"Purch")-SUMIFS($D$4:D1461,$B$4:B1461,B1461,$C$4:C1461,"Sale"),0)</f>
        <v>0</v>
      </c>
    </row>
    <row r="1462" spans="1:14" x14ac:dyDescent="0.2">
      <c r="A1462" s="152"/>
      <c r="B1462" s="132"/>
      <c r="C1462" s="132"/>
      <c r="D1462" s="277"/>
      <c r="E1462" s="132"/>
      <c r="F1462" s="170"/>
      <c r="G1462" s="150"/>
      <c r="H1462" s="152"/>
      <c r="I1462" s="204"/>
      <c r="J1462" s="285"/>
      <c r="K1462" s="251"/>
      <c r="L1462" s="133" t="str">
        <f>IF(AND(I1462&lt;&gt;"",ISERROR(IF(ISERROR(VLOOKUP(I1462*1,Summary!$C$8:$C$153,1,0)),VLOOKUP(I1462,Summary!$C$8:$C$153,1,0),VLOOKUP(I1462*1,Summary!$C$8:$C$153,1,0)))),"Add account Number to Summary","")</f>
        <v/>
      </c>
      <c r="M1462" s="131" t="str">
        <f t="shared" si="23"/>
        <v/>
      </c>
      <c r="N1462" s="287">
        <f>IF(C1462="Sale",SUMIFS($D$4:D1462,$B$4:B1462,B1462,$C$4:C1462,"")+SUMIFS($D$4:D1462,$B$4:B1462,B1462,$C$4:C1462,"Purch")-SUMIFS($D$4:D1462,$B$4:B1462,B1462,$C$4:C1462,"Sale"),0)</f>
        <v>0</v>
      </c>
    </row>
    <row r="1463" spans="1:14" x14ac:dyDescent="0.2">
      <c r="A1463" s="152"/>
      <c r="B1463" s="132"/>
      <c r="C1463" s="132"/>
      <c r="D1463" s="277"/>
      <c r="E1463" s="132"/>
      <c r="F1463" s="170"/>
      <c r="G1463" s="150"/>
      <c r="H1463" s="152"/>
      <c r="I1463" s="204"/>
      <c r="J1463" s="285"/>
      <c r="K1463" s="251"/>
      <c r="L1463" s="133" t="str">
        <f>IF(AND(I1463&lt;&gt;"",ISERROR(IF(ISERROR(VLOOKUP(I1463*1,Summary!$C$8:$C$153,1,0)),VLOOKUP(I1463,Summary!$C$8:$C$153,1,0),VLOOKUP(I1463*1,Summary!$C$8:$C$153,1,0)))),"Add account Number to Summary","")</f>
        <v/>
      </c>
      <c r="M1463" s="131" t="str">
        <f t="shared" si="23"/>
        <v/>
      </c>
      <c r="N1463" s="287">
        <f>IF(C1463="Sale",SUMIFS($D$4:D1463,$B$4:B1463,B1463,$C$4:C1463,"")+SUMIFS($D$4:D1463,$B$4:B1463,B1463,$C$4:C1463,"Purch")-SUMIFS($D$4:D1463,$B$4:B1463,B1463,$C$4:C1463,"Sale"),0)</f>
        <v>0</v>
      </c>
    </row>
    <row r="1464" spans="1:14" x14ac:dyDescent="0.2">
      <c r="A1464" s="152"/>
      <c r="B1464" s="132"/>
      <c r="C1464" s="132"/>
      <c r="D1464" s="277"/>
      <c r="E1464" s="132"/>
      <c r="F1464" s="170"/>
      <c r="G1464" s="150"/>
      <c r="H1464" s="152"/>
      <c r="I1464" s="204"/>
      <c r="J1464" s="285"/>
      <c r="K1464" s="251"/>
      <c r="L1464" s="133" t="str">
        <f>IF(AND(I1464&lt;&gt;"",ISERROR(IF(ISERROR(VLOOKUP(I1464*1,Summary!$C$8:$C$153,1,0)),VLOOKUP(I1464,Summary!$C$8:$C$153,1,0),VLOOKUP(I1464*1,Summary!$C$8:$C$153,1,0)))),"Add account Number to Summary","")</f>
        <v/>
      </c>
      <c r="M1464" s="131" t="str">
        <f t="shared" si="23"/>
        <v/>
      </c>
      <c r="N1464" s="287">
        <f>IF(C1464="Sale",SUMIFS($D$4:D1464,$B$4:B1464,B1464,$C$4:C1464,"")+SUMIFS($D$4:D1464,$B$4:B1464,B1464,$C$4:C1464,"Purch")-SUMIFS($D$4:D1464,$B$4:B1464,B1464,$C$4:C1464,"Sale"),0)</f>
        <v>0</v>
      </c>
    </row>
    <row r="1465" spans="1:14" x14ac:dyDescent="0.2">
      <c r="A1465" s="152"/>
      <c r="B1465" s="132"/>
      <c r="C1465" s="132"/>
      <c r="D1465" s="277"/>
      <c r="E1465" s="132"/>
      <c r="F1465" s="170"/>
      <c r="G1465" s="150"/>
      <c r="H1465" s="152"/>
      <c r="I1465" s="204"/>
      <c r="J1465" s="285"/>
      <c r="K1465" s="251"/>
      <c r="L1465" s="133" t="str">
        <f>IF(AND(I1465&lt;&gt;"",ISERROR(IF(ISERROR(VLOOKUP(I1465*1,Summary!$C$8:$C$153,1,0)),VLOOKUP(I1465,Summary!$C$8:$C$153,1,0),VLOOKUP(I1465*1,Summary!$C$8:$C$153,1,0)))),"Add account Number to Summary","")</f>
        <v/>
      </c>
      <c r="M1465" s="131" t="str">
        <f t="shared" si="23"/>
        <v/>
      </c>
      <c r="N1465" s="287">
        <f>IF(C1465="Sale",SUMIFS($D$4:D1465,$B$4:B1465,B1465,$C$4:C1465,"")+SUMIFS($D$4:D1465,$B$4:B1465,B1465,$C$4:C1465,"Purch")-SUMIFS($D$4:D1465,$B$4:B1465,B1465,$C$4:C1465,"Sale"),0)</f>
        <v>0</v>
      </c>
    </row>
    <row r="1466" spans="1:14" x14ac:dyDescent="0.2">
      <c r="A1466" s="152"/>
      <c r="B1466" s="132"/>
      <c r="C1466" s="132"/>
      <c r="D1466" s="277"/>
      <c r="E1466" s="132"/>
      <c r="F1466" s="170"/>
      <c r="G1466" s="150"/>
      <c r="H1466" s="152"/>
      <c r="I1466" s="204"/>
      <c r="J1466" s="285"/>
      <c r="K1466" s="251"/>
      <c r="L1466" s="133" t="str">
        <f>IF(AND(I1466&lt;&gt;"",ISERROR(IF(ISERROR(VLOOKUP(I1466*1,Summary!$C$8:$C$153,1,0)),VLOOKUP(I1466,Summary!$C$8:$C$153,1,0),VLOOKUP(I1466*1,Summary!$C$8:$C$153,1,0)))),"Add account Number to Summary","")</f>
        <v/>
      </c>
      <c r="M1466" s="131" t="str">
        <f t="shared" si="23"/>
        <v/>
      </c>
      <c r="N1466" s="287">
        <f>IF(C1466="Sale",SUMIFS($D$4:D1466,$B$4:B1466,B1466,$C$4:C1466,"")+SUMIFS($D$4:D1466,$B$4:B1466,B1466,$C$4:C1466,"Purch")-SUMIFS($D$4:D1466,$B$4:B1466,B1466,$C$4:C1466,"Sale"),0)</f>
        <v>0</v>
      </c>
    </row>
    <row r="1467" spans="1:14" x14ac:dyDescent="0.2">
      <c r="A1467" s="152"/>
      <c r="B1467" s="132"/>
      <c r="C1467" s="132"/>
      <c r="D1467" s="277"/>
      <c r="E1467" s="132"/>
      <c r="F1467" s="170"/>
      <c r="G1467" s="150"/>
      <c r="H1467" s="152"/>
      <c r="I1467" s="204"/>
      <c r="J1467" s="285"/>
      <c r="K1467" s="251"/>
      <c r="L1467" s="133" t="str">
        <f>IF(AND(I1467&lt;&gt;"",ISERROR(IF(ISERROR(VLOOKUP(I1467*1,Summary!$C$8:$C$153,1,0)),VLOOKUP(I1467,Summary!$C$8:$C$153,1,0),VLOOKUP(I1467*1,Summary!$C$8:$C$153,1,0)))),"Add account Number to Summary","")</f>
        <v/>
      </c>
      <c r="M1467" s="131" t="str">
        <f t="shared" si="23"/>
        <v/>
      </c>
      <c r="N1467" s="287">
        <f>IF(C1467="Sale",SUMIFS($D$4:D1467,$B$4:B1467,B1467,$C$4:C1467,"")+SUMIFS($D$4:D1467,$B$4:B1467,B1467,$C$4:C1467,"Purch")-SUMIFS($D$4:D1467,$B$4:B1467,B1467,$C$4:C1467,"Sale"),0)</f>
        <v>0</v>
      </c>
    </row>
    <row r="1468" spans="1:14" x14ac:dyDescent="0.2">
      <c r="A1468" s="152"/>
      <c r="B1468" s="132"/>
      <c r="C1468" s="132"/>
      <c r="D1468" s="277"/>
      <c r="E1468" s="132"/>
      <c r="F1468" s="170"/>
      <c r="G1468" s="150"/>
      <c r="H1468" s="152"/>
      <c r="I1468" s="204"/>
      <c r="J1468" s="285"/>
      <c r="K1468" s="251"/>
      <c r="L1468" s="133" t="str">
        <f>IF(AND(I1468&lt;&gt;"",ISERROR(IF(ISERROR(VLOOKUP(I1468*1,Summary!$C$8:$C$153,1,0)),VLOOKUP(I1468,Summary!$C$8:$C$153,1,0),VLOOKUP(I1468*1,Summary!$C$8:$C$153,1,0)))),"Add account Number to Summary","")</f>
        <v/>
      </c>
      <c r="M1468" s="131" t="str">
        <f t="shared" si="23"/>
        <v/>
      </c>
      <c r="N1468" s="287">
        <f>IF(C1468="Sale",SUMIFS($D$4:D1468,$B$4:B1468,B1468,$C$4:C1468,"")+SUMIFS($D$4:D1468,$B$4:B1468,B1468,$C$4:C1468,"Purch")-SUMIFS($D$4:D1468,$B$4:B1468,B1468,$C$4:C1468,"Sale"),0)</f>
        <v>0</v>
      </c>
    </row>
    <row r="1469" spans="1:14" x14ac:dyDescent="0.2">
      <c r="A1469" s="152"/>
      <c r="B1469" s="132"/>
      <c r="C1469" s="132"/>
      <c r="D1469" s="277"/>
      <c r="E1469" s="132"/>
      <c r="F1469" s="170"/>
      <c r="G1469" s="150"/>
      <c r="H1469" s="152"/>
      <c r="I1469" s="204"/>
      <c r="J1469" s="285"/>
      <c r="K1469" s="251"/>
      <c r="L1469" s="133" t="str">
        <f>IF(AND(I1469&lt;&gt;"",ISERROR(IF(ISERROR(VLOOKUP(I1469*1,Summary!$C$8:$C$153,1,0)),VLOOKUP(I1469,Summary!$C$8:$C$153,1,0),VLOOKUP(I1469*1,Summary!$C$8:$C$153,1,0)))),"Add account Number to Summary","")</f>
        <v/>
      </c>
      <c r="M1469" s="131" t="str">
        <f t="shared" si="23"/>
        <v/>
      </c>
      <c r="N1469" s="287">
        <f>IF(C1469="Sale",SUMIFS($D$4:D1469,$B$4:B1469,B1469,$C$4:C1469,"")+SUMIFS($D$4:D1469,$B$4:B1469,B1469,$C$4:C1469,"Purch")-SUMIFS($D$4:D1469,$B$4:B1469,B1469,$C$4:C1469,"Sale"),0)</f>
        <v>0</v>
      </c>
    </row>
    <row r="1470" spans="1:14" x14ac:dyDescent="0.2">
      <c r="A1470" s="152"/>
      <c r="B1470" s="132"/>
      <c r="C1470" s="132"/>
      <c r="D1470" s="277"/>
      <c r="E1470" s="132"/>
      <c r="F1470" s="170"/>
      <c r="G1470" s="150"/>
      <c r="H1470" s="152"/>
      <c r="I1470" s="204"/>
      <c r="J1470" s="285"/>
      <c r="K1470" s="251"/>
      <c r="L1470" s="133" t="str">
        <f>IF(AND(I1470&lt;&gt;"",ISERROR(IF(ISERROR(VLOOKUP(I1470*1,Summary!$C$8:$C$153,1,0)),VLOOKUP(I1470,Summary!$C$8:$C$153,1,0),VLOOKUP(I1470*1,Summary!$C$8:$C$153,1,0)))),"Add account Number to Summary","")</f>
        <v/>
      </c>
      <c r="M1470" s="131" t="str">
        <f t="shared" si="23"/>
        <v/>
      </c>
      <c r="N1470" s="287">
        <f>IF(C1470="Sale",SUMIFS($D$4:D1470,$B$4:B1470,B1470,$C$4:C1470,"")+SUMIFS($D$4:D1470,$B$4:B1470,B1470,$C$4:C1470,"Purch")-SUMIFS($D$4:D1470,$B$4:B1470,B1470,$C$4:C1470,"Sale"),0)</f>
        <v>0</v>
      </c>
    </row>
    <row r="1471" spans="1:14" x14ac:dyDescent="0.2">
      <c r="A1471" s="152"/>
      <c r="B1471" s="132"/>
      <c r="C1471" s="132"/>
      <c r="D1471" s="277"/>
      <c r="E1471" s="132"/>
      <c r="F1471" s="170"/>
      <c r="G1471" s="150"/>
      <c r="H1471" s="152"/>
      <c r="I1471" s="204"/>
      <c r="J1471" s="285"/>
      <c r="K1471" s="251"/>
      <c r="L1471" s="133" t="str">
        <f>IF(AND(I1471&lt;&gt;"",ISERROR(IF(ISERROR(VLOOKUP(I1471*1,Summary!$C$8:$C$153,1,0)),VLOOKUP(I1471,Summary!$C$8:$C$153,1,0),VLOOKUP(I1471*1,Summary!$C$8:$C$153,1,0)))),"Add account Number to Summary","")</f>
        <v/>
      </c>
      <c r="M1471" s="131" t="str">
        <f t="shared" si="23"/>
        <v/>
      </c>
      <c r="N1471" s="287">
        <f>IF(C1471="Sale",SUMIFS($D$4:D1471,$B$4:B1471,B1471,$C$4:C1471,"")+SUMIFS($D$4:D1471,$B$4:B1471,B1471,$C$4:C1471,"Purch")-SUMIFS($D$4:D1471,$B$4:B1471,B1471,$C$4:C1471,"Sale"),0)</f>
        <v>0</v>
      </c>
    </row>
    <row r="1472" spans="1:14" x14ac:dyDescent="0.2">
      <c r="A1472" s="152"/>
      <c r="B1472" s="132"/>
      <c r="C1472" s="132"/>
      <c r="D1472" s="277"/>
      <c r="E1472" s="132"/>
      <c r="F1472" s="170"/>
      <c r="G1472" s="150"/>
      <c r="H1472" s="152"/>
      <c r="I1472" s="204"/>
      <c r="J1472" s="285"/>
      <c r="K1472" s="251"/>
      <c r="L1472" s="133" t="str">
        <f>IF(AND(I1472&lt;&gt;"",ISERROR(IF(ISERROR(VLOOKUP(I1472*1,Summary!$C$8:$C$153,1,0)),VLOOKUP(I1472,Summary!$C$8:$C$153,1,0),VLOOKUP(I1472*1,Summary!$C$8:$C$153,1,0)))),"Add account Number to Summary","")</f>
        <v/>
      </c>
      <c r="M1472" s="131" t="str">
        <f t="shared" si="23"/>
        <v/>
      </c>
      <c r="N1472" s="287">
        <f>IF(C1472="Sale",SUMIFS($D$4:D1472,$B$4:B1472,B1472,$C$4:C1472,"")+SUMIFS($D$4:D1472,$B$4:B1472,B1472,$C$4:C1472,"Purch")-SUMIFS($D$4:D1472,$B$4:B1472,B1472,$C$4:C1472,"Sale"),0)</f>
        <v>0</v>
      </c>
    </row>
    <row r="1473" spans="1:14" x14ac:dyDescent="0.2">
      <c r="A1473" s="152"/>
      <c r="B1473" s="132"/>
      <c r="C1473" s="132"/>
      <c r="D1473" s="277"/>
      <c r="E1473" s="132"/>
      <c r="F1473" s="170"/>
      <c r="G1473" s="150"/>
      <c r="H1473" s="152"/>
      <c r="I1473" s="204"/>
      <c r="J1473" s="285"/>
      <c r="K1473" s="251"/>
      <c r="L1473" s="133" t="str">
        <f>IF(AND(I1473&lt;&gt;"",ISERROR(IF(ISERROR(VLOOKUP(I1473*1,Summary!$C$8:$C$153,1,0)),VLOOKUP(I1473,Summary!$C$8:$C$153,1,0),VLOOKUP(I1473*1,Summary!$C$8:$C$153,1,0)))),"Add account Number to Summary","")</f>
        <v/>
      </c>
      <c r="M1473" s="131" t="str">
        <f t="shared" si="23"/>
        <v/>
      </c>
      <c r="N1473" s="287">
        <f>IF(C1473="Sale",SUMIFS($D$4:D1473,$B$4:B1473,B1473,$C$4:C1473,"")+SUMIFS($D$4:D1473,$B$4:B1473,B1473,$C$4:C1473,"Purch")-SUMIFS($D$4:D1473,$B$4:B1473,B1473,$C$4:C1473,"Sale"),0)</f>
        <v>0</v>
      </c>
    </row>
    <row r="1474" spans="1:14" x14ac:dyDescent="0.2">
      <c r="A1474" s="152"/>
      <c r="B1474" s="132"/>
      <c r="C1474" s="132"/>
      <c r="D1474" s="277"/>
      <c r="E1474" s="132"/>
      <c r="F1474" s="170"/>
      <c r="G1474" s="150"/>
      <c r="H1474" s="152"/>
      <c r="I1474" s="204"/>
      <c r="J1474" s="285"/>
      <c r="K1474" s="251"/>
      <c r="L1474" s="133" t="str">
        <f>IF(AND(I1474&lt;&gt;"",ISERROR(IF(ISERROR(VLOOKUP(I1474*1,Summary!$C$8:$C$153,1,0)),VLOOKUP(I1474,Summary!$C$8:$C$153,1,0),VLOOKUP(I1474*1,Summary!$C$8:$C$153,1,0)))),"Add account Number to Summary","")</f>
        <v/>
      </c>
      <c r="M1474" s="131" t="str">
        <f t="shared" si="23"/>
        <v/>
      </c>
      <c r="N1474" s="287">
        <f>IF(C1474="Sale",SUMIFS($D$4:D1474,$B$4:B1474,B1474,$C$4:C1474,"")+SUMIFS($D$4:D1474,$B$4:B1474,B1474,$C$4:C1474,"Purch")-SUMIFS($D$4:D1474,$B$4:B1474,B1474,$C$4:C1474,"Sale"),0)</f>
        <v>0</v>
      </c>
    </row>
    <row r="1475" spans="1:14" x14ac:dyDescent="0.2">
      <c r="A1475" s="152"/>
      <c r="B1475" s="132"/>
      <c r="C1475" s="132"/>
      <c r="D1475" s="277"/>
      <c r="E1475" s="132"/>
      <c r="F1475" s="170"/>
      <c r="G1475" s="150"/>
      <c r="H1475" s="152"/>
      <c r="I1475" s="204"/>
      <c r="J1475" s="285"/>
      <c r="K1475" s="251"/>
      <c r="L1475" s="133" t="str">
        <f>IF(AND(I1475&lt;&gt;"",ISERROR(IF(ISERROR(VLOOKUP(I1475*1,Summary!$C$8:$C$153,1,0)),VLOOKUP(I1475,Summary!$C$8:$C$153,1,0),VLOOKUP(I1475*1,Summary!$C$8:$C$153,1,0)))),"Add account Number to Summary","")</f>
        <v/>
      </c>
      <c r="M1475" s="131" t="str">
        <f t="shared" si="23"/>
        <v/>
      </c>
      <c r="N1475" s="287">
        <f>IF(C1475="Sale",SUMIFS($D$4:D1475,$B$4:B1475,B1475,$C$4:C1475,"")+SUMIFS($D$4:D1475,$B$4:B1475,B1475,$C$4:C1475,"Purch")-SUMIFS($D$4:D1475,$B$4:B1475,B1475,$C$4:C1475,"Sale"),0)</f>
        <v>0</v>
      </c>
    </row>
    <row r="1476" spans="1:14" x14ac:dyDescent="0.2">
      <c r="A1476" s="152"/>
      <c r="B1476" s="132"/>
      <c r="C1476" s="132"/>
      <c r="D1476" s="277"/>
      <c r="E1476" s="132"/>
      <c r="F1476" s="170"/>
      <c r="G1476" s="150"/>
      <c r="H1476" s="152"/>
      <c r="I1476" s="204"/>
      <c r="J1476" s="285"/>
      <c r="K1476" s="251"/>
      <c r="L1476" s="133" t="str">
        <f>IF(AND(I1476&lt;&gt;"",ISERROR(IF(ISERROR(VLOOKUP(I1476*1,Summary!$C$8:$C$153,1,0)),VLOOKUP(I1476,Summary!$C$8:$C$153,1,0),VLOOKUP(I1476*1,Summary!$C$8:$C$153,1,0)))),"Add account Number to Summary","")</f>
        <v/>
      </c>
      <c r="M1476" s="131" t="str">
        <f t="shared" si="23"/>
        <v/>
      </c>
      <c r="N1476" s="287">
        <f>IF(C1476="Sale",SUMIFS($D$4:D1476,$B$4:B1476,B1476,$C$4:C1476,"")+SUMIFS($D$4:D1476,$B$4:B1476,B1476,$C$4:C1476,"Purch")-SUMIFS($D$4:D1476,$B$4:B1476,B1476,$C$4:C1476,"Sale"),0)</f>
        <v>0</v>
      </c>
    </row>
    <row r="1477" spans="1:14" x14ac:dyDescent="0.2">
      <c r="A1477" s="152"/>
      <c r="B1477" s="132"/>
      <c r="C1477" s="132"/>
      <c r="D1477" s="277"/>
      <c r="E1477" s="132"/>
      <c r="F1477" s="170"/>
      <c r="G1477" s="150"/>
      <c r="H1477" s="152"/>
      <c r="I1477" s="204"/>
      <c r="J1477" s="285"/>
      <c r="K1477" s="251"/>
      <c r="L1477" s="133" t="str">
        <f>IF(AND(I1477&lt;&gt;"",ISERROR(IF(ISERROR(VLOOKUP(I1477*1,Summary!$C$8:$C$153,1,0)),VLOOKUP(I1477,Summary!$C$8:$C$153,1,0),VLOOKUP(I1477*1,Summary!$C$8:$C$153,1,0)))),"Add account Number to Summary","")</f>
        <v/>
      </c>
      <c r="M1477" s="131" t="str">
        <f t="shared" si="23"/>
        <v/>
      </c>
      <c r="N1477" s="287">
        <f>IF(C1477="Sale",SUMIFS($D$4:D1477,$B$4:B1477,B1477,$C$4:C1477,"")+SUMIFS($D$4:D1477,$B$4:B1477,B1477,$C$4:C1477,"Purch")-SUMIFS($D$4:D1477,$B$4:B1477,B1477,$C$4:C1477,"Sale"),0)</f>
        <v>0</v>
      </c>
    </row>
    <row r="1478" spans="1:14" x14ac:dyDescent="0.2">
      <c r="A1478" s="152"/>
      <c r="B1478" s="132"/>
      <c r="C1478" s="132"/>
      <c r="D1478" s="277"/>
      <c r="E1478" s="132"/>
      <c r="F1478" s="170"/>
      <c r="G1478" s="150"/>
      <c r="H1478" s="152"/>
      <c r="I1478" s="204"/>
      <c r="J1478" s="285"/>
      <c r="K1478" s="251"/>
      <c r="L1478" s="133" t="str">
        <f>IF(AND(I1478&lt;&gt;"",ISERROR(IF(ISERROR(VLOOKUP(I1478*1,Summary!$C$8:$C$153,1,0)),VLOOKUP(I1478,Summary!$C$8:$C$153,1,0),VLOOKUP(I1478*1,Summary!$C$8:$C$153,1,0)))),"Add account Number to Summary","")</f>
        <v/>
      </c>
      <c r="M1478" s="131" t="str">
        <f t="shared" si="23"/>
        <v/>
      </c>
      <c r="N1478" s="287">
        <f>IF(C1478="Sale",SUMIFS($D$4:D1478,$B$4:B1478,B1478,$C$4:C1478,"")+SUMIFS($D$4:D1478,$B$4:B1478,B1478,$C$4:C1478,"Purch")-SUMIFS($D$4:D1478,$B$4:B1478,B1478,$C$4:C1478,"Sale"),0)</f>
        <v>0</v>
      </c>
    </row>
    <row r="1479" spans="1:14" x14ac:dyDescent="0.2">
      <c r="A1479" s="152"/>
      <c r="B1479" s="132"/>
      <c r="C1479" s="132"/>
      <c r="D1479" s="277"/>
      <c r="E1479" s="132"/>
      <c r="F1479" s="170"/>
      <c r="G1479" s="150"/>
      <c r="H1479" s="152"/>
      <c r="I1479" s="204"/>
      <c r="J1479" s="285"/>
      <c r="K1479" s="251"/>
      <c r="L1479" s="133" t="str">
        <f>IF(AND(I1479&lt;&gt;"",ISERROR(IF(ISERROR(VLOOKUP(I1479*1,Summary!$C$8:$C$153,1,0)),VLOOKUP(I1479,Summary!$C$8:$C$153,1,0),VLOOKUP(I1479*1,Summary!$C$8:$C$153,1,0)))),"Add account Number to Summary","")</f>
        <v/>
      </c>
      <c r="M1479" s="131" t="str">
        <f t="shared" si="23"/>
        <v/>
      </c>
      <c r="N1479" s="287">
        <f>IF(C1479="Sale",SUMIFS($D$4:D1479,$B$4:B1479,B1479,$C$4:C1479,"")+SUMIFS($D$4:D1479,$B$4:B1479,B1479,$C$4:C1479,"Purch")-SUMIFS($D$4:D1479,$B$4:B1479,B1479,$C$4:C1479,"Sale"),0)</f>
        <v>0</v>
      </c>
    </row>
    <row r="1480" spans="1:14" x14ac:dyDescent="0.2">
      <c r="A1480" s="152"/>
      <c r="B1480" s="132"/>
      <c r="C1480" s="132"/>
      <c r="D1480" s="277"/>
      <c r="E1480" s="132"/>
      <c r="F1480" s="170"/>
      <c r="G1480" s="150"/>
      <c r="H1480" s="152"/>
      <c r="I1480" s="204"/>
      <c r="J1480" s="285"/>
      <c r="K1480" s="251"/>
      <c r="L1480" s="133" t="str">
        <f>IF(AND(I1480&lt;&gt;"",ISERROR(IF(ISERROR(VLOOKUP(I1480*1,Summary!$C$8:$C$153,1,0)),VLOOKUP(I1480,Summary!$C$8:$C$153,1,0),VLOOKUP(I1480*1,Summary!$C$8:$C$153,1,0)))),"Add account Number to Summary","")</f>
        <v/>
      </c>
      <c r="M1480" s="131" t="str">
        <f t="shared" si="23"/>
        <v/>
      </c>
      <c r="N1480" s="287">
        <f>IF(C1480="Sale",SUMIFS($D$4:D1480,$B$4:B1480,B1480,$C$4:C1480,"")+SUMIFS($D$4:D1480,$B$4:B1480,B1480,$C$4:C1480,"Purch")-SUMIFS($D$4:D1480,$B$4:B1480,B1480,$C$4:C1480,"Sale"),0)</f>
        <v>0</v>
      </c>
    </row>
    <row r="1481" spans="1:14" x14ac:dyDescent="0.2">
      <c r="A1481" s="152"/>
      <c r="B1481" s="132"/>
      <c r="C1481" s="132"/>
      <c r="D1481" s="277"/>
      <c r="E1481" s="132"/>
      <c r="F1481" s="170"/>
      <c r="G1481" s="150"/>
      <c r="H1481" s="152"/>
      <c r="I1481" s="204"/>
      <c r="J1481" s="285"/>
      <c r="K1481" s="251"/>
      <c r="L1481" s="133" t="str">
        <f>IF(AND(I1481&lt;&gt;"",ISERROR(IF(ISERROR(VLOOKUP(I1481*1,Summary!$C$8:$C$153,1,0)),VLOOKUP(I1481,Summary!$C$8:$C$153,1,0),VLOOKUP(I1481*1,Summary!$C$8:$C$153,1,0)))),"Add account Number to Summary","")</f>
        <v/>
      </c>
      <c r="M1481" s="131" t="str">
        <f t="shared" si="23"/>
        <v/>
      </c>
      <c r="N1481" s="287">
        <f>IF(C1481="Sale",SUMIFS($D$4:D1481,$B$4:B1481,B1481,$C$4:C1481,"")+SUMIFS($D$4:D1481,$B$4:B1481,B1481,$C$4:C1481,"Purch")-SUMIFS($D$4:D1481,$B$4:B1481,B1481,$C$4:C1481,"Sale"),0)</f>
        <v>0</v>
      </c>
    </row>
    <row r="1482" spans="1:14" x14ac:dyDescent="0.2">
      <c r="A1482" s="152"/>
      <c r="B1482" s="132"/>
      <c r="C1482" s="132"/>
      <c r="D1482" s="277"/>
      <c r="E1482" s="132"/>
      <c r="F1482" s="170"/>
      <c r="G1482" s="150"/>
      <c r="H1482" s="152"/>
      <c r="I1482" s="204"/>
      <c r="J1482" s="285"/>
      <c r="K1482" s="251"/>
      <c r="L1482" s="133" t="str">
        <f>IF(AND(I1482&lt;&gt;"",ISERROR(IF(ISERROR(VLOOKUP(I1482*1,Summary!$C$8:$C$153,1,0)),VLOOKUP(I1482,Summary!$C$8:$C$153,1,0),VLOOKUP(I1482*1,Summary!$C$8:$C$153,1,0)))),"Add account Number to Summary","")</f>
        <v/>
      </c>
      <c r="M1482" s="131" t="str">
        <f t="shared" si="23"/>
        <v/>
      </c>
      <c r="N1482" s="287">
        <f>IF(C1482="Sale",SUMIFS($D$4:D1482,$B$4:B1482,B1482,$C$4:C1482,"")+SUMIFS($D$4:D1482,$B$4:B1482,B1482,$C$4:C1482,"Purch")-SUMIFS($D$4:D1482,$B$4:B1482,B1482,$C$4:C1482,"Sale"),0)</f>
        <v>0</v>
      </c>
    </row>
    <row r="1483" spans="1:14" x14ac:dyDescent="0.2">
      <c r="A1483" s="152"/>
      <c r="B1483" s="132"/>
      <c r="C1483" s="132"/>
      <c r="D1483" s="277"/>
      <c r="E1483" s="132"/>
      <c r="F1483" s="170"/>
      <c r="G1483" s="150"/>
      <c r="H1483" s="152"/>
      <c r="I1483" s="204"/>
      <c r="J1483" s="285"/>
      <c r="K1483" s="251"/>
      <c r="L1483" s="133" t="str">
        <f>IF(AND(I1483&lt;&gt;"",ISERROR(IF(ISERROR(VLOOKUP(I1483*1,Summary!$C$8:$C$153,1,0)),VLOOKUP(I1483,Summary!$C$8:$C$153,1,0),VLOOKUP(I1483*1,Summary!$C$8:$C$153,1,0)))),"Add account Number to Summary","")</f>
        <v/>
      </c>
      <c r="M1483" s="131" t="str">
        <f t="shared" si="23"/>
        <v/>
      </c>
      <c r="N1483" s="287">
        <f>IF(C1483="Sale",SUMIFS($D$4:D1483,$B$4:B1483,B1483,$C$4:C1483,"")+SUMIFS($D$4:D1483,$B$4:B1483,B1483,$C$4:C1483,"Purch")-SUMIFS($D$4:D1483,$B$4:B1483,B1483,$C$4:C1483,"Sale"),0)</f>
        <v>0</v>
      </c>
    </row>
    <row r="1484" spans="1:14" x14ac:dyDescent="0.2">
      <c r="A1484" s="152"/>
      <c r="B1484" s="132"/>
      <c r="C1484" s="132"/>
      <c r="D1484" s="277"/>
      <c r="E1484" s="132"/>
      <c r="F1484" s="170"/>
      <c r="G1484" s="150"/>
      <c r="H1484" s="152"/>
      <c r="I1484" s="204"/>
      <c r="J1484" s="285"/>
      <c r="K1484" s="251"/>
      <c r="L1484" s="133" t="str">
        <f>IF(AND(I1484&lt;&gt;"",ISERROR(IF(ISERROR(VLOOKUP(I1484*1,Summary!$C$8:$C$153,1,0)),VLOOKUP(I1484,Summary!$C$8:$C$153,1,0),VLOOKUP(I1484*1,Summary!$C$8:$C$153,1,0)))),"Add account Number to Summary","")</f>
        <v/>
      </c>
      <c r="M1484" s="131" t="str">
        <f t="shared" si="23"/>
        <v/>
      </c>
      <c r="N1484" s="287">
        <f>IF(C1484="Sale",SUMIFS($D$4:D1484,$B$4:B1484,B1484,$C$4:C1484,"")+SUMIFS($D$4:D1484,$B$4:B1484,B1484,$C$4:C1484,"Purch")-SUMIFS($D$4:D1484,$B$4:B1484,B1484,$C$4:C1484,"Sale"),0)</f>
        <v>0</v>
      </c>
    </row>
    <row r="1485" spans="1:14" x14ac:dyDescent="0.2">
      <c r="A1485" s="152"/>
      <c r="B1485" s="132"/>
      <c r="C1485" s="132"/>
      <c r="D1485" s="277"/>
      <c r="E1485" s="132"/>
      <c r="F1485" s="170"/>
      <c r="G1485" s="150"/>
      <c r="H1485" s="152"/>
      <c r="I1485" s="204"/>
      <c r="J1485" s="285"/>
      <c r="K1485" s="251"/>
      <c r="L1485" s="133" t="str">
        <f>IF(AND(I1485&lt;&gt;"",ISERROR(IF(ISERROR(VLOOKUP(I1485*1,Summary!$C$8:$C$153,1,0)),VLOOKUP(I1485,Summary!$C$8:$C$153,1,0),VLOOKUP(I1485*1,Summary!$C$8:$C$153,1,0)))),"Add account Number to Summary","")</f>
        <v/>
      </c>
      <c r="M1485" s="131" t="str">
        <f t="shared" si="23"/>
        <v/>
      </c>
      <c r="N1485" s="287">
        <f>IF(C1485="Sale",SUMIFS($D$4:D1485,$B$4:B1485,B1485,$C$4:C1485,"")+SUMIFS($D$4:D1485,$B$4:B1485,B1485,$C$4:C1485,"Purch")-SUMIFS($D$4:D1485,$B$4:B1485,B1485,$C$4:C1485,"Sale"),0)</f>
        <v>0</v>
      </c>
    </row>
    <row r="1486" spans="1:14" x14ac:dyDescent="0.2">
      <c r="A1486" s="152"/>
      <c r="B1486" s="132"/>
      <c r="C1486" s="132"/>
      <c r="D1486" s="277"/>
      <c r="E1486" s="132"/>
      <c r="F1486" s="170"/>
      <c r="G1486" s="150"/>
      <c r="H1486" s="152"/>
      <c r="I1486" s="204"/>
      <c r="J1486" s="285"/>
      <c r="K1486" s="251"/>
      <c r="L1486" s="133" t="str">
        <f>IF(AND(I1486&lt;&gt;"",ISERROR(IF(ISERROR(VLOOKUP(I1486*1,Summary!$C$8:$C$153,1,0)),VLOOKUP(I1486,Summary!$C$8:$C$153,1,0),VLOOKUP(I1486*1,Summary!$C$8:$C$153,1,0)))),"Add account Number to Summary","")</f>
        <v/>
      </c>
      <c r="M1486" s="131" t="str">
        <f t="shared" si="23"/>
        <v/>
      </c>
      <c r="N1486" s="287">
        <f>IF(C1486="Sale",SUMIFS($D$4:D1486,$B$4:B1486,B1486,$C$4:C1486,"")+SUMIFS($D$4:D1486,$B$4:B1486,B1486,$C$4:C1486,"Purch")-SUMIFS($D$4:D1486,$B$4:B1486,B1486,$C$4:C1486,"Sale"),0)</f>
        <v>0</v>
      </c>
    </row>
    <row r="1487" spans="1:14" x14ac:dyDescent="0.2">
      <c r="A1487" s="152"/>
      <c r="B1487" s="132"/>
      <c r="C1487" s="132"/>
      <c r="D1487" s="277"/>
      <c r="E1487" s="132"/>
      <c r="F1487" s="170"/>
      <c r="G1487" s="150"/>
      <c r="H1487" s="152"/>
      <c r="I1487" s="204"/>
      <c r="J1487" s="285"/>
      <c r="K1487" s="251"/>
      <c r="L1487" s="133" t="str">
        <f>IF(AND(I1487&lt;&gt;"",ISERROR(IF(ISERROR(VLOOKUP(I1487*1,Summary!$C$8:$C$153,1,0)),VLOOKUP(I1487,Summary!$C$8:$C$153,1,0),VLOOKUP(I1487*1,Summary!$C$8:$C$153,1,0)))),"Add account Number to Summary","")</f>
        <v/>
      </c>
      <c r="M1487" s="131" t="str">
        <f t="shared" si="23"/>
        <v/>
      </c>
      <c r="N1487" s="287">
        <f>IF(C1487="Sale",SUMIFS($D$4:D1487,$B$4:B1487,B1487,$C$4:C1487,"")+SUMIFS($D$4:D1487,$B$4:B1487,B1487,$C$4:C1487,"Purch")-SUMIFS($D$4:D1487,$B$4:B1487,B1487,$C$4:C1487,"Sale"),0)</f>
        <v>0</v>
      </c>
    </row>
    <row r="1488" spans="1:14" x14ac:dyDescent="0.2">
      <c r="A1488" s="152"/>
      <c r="B1488" s="132"/>
      <c r="C1488" s="132"/>
      <c r="D1488" s="277"/>
      <c r="E1488" s="132"/>
      <c r="F1488" s="170"/>
      <c r="G1488" s="150"/>
      <c r="H1488" s="152"/>
      <c r="I1488" s="204"/>
      <c r="J1488" s="285"/>
      <c r="K1488" s="251"/>
      <c r="L1488" s="133" t="str">
        <f>IF(AND(I1488&lt;&gt;"",ISERROR(IF(ISERROR(VLOOKUP(I1488*1,Summary!$C$8:$C$153,1,0)),VLOOKUP(I1488,Summary!$C$8:$C$153,1,0),VLOOKUP(I1488*1,Summary!$C$8:$C$153,1,0)))),"Add account Number to Summary","")</f>
        <v/>
      </c>
      <c r="M1488" s="131" t="str">
        <f t="shared" si="23"/>
        <v/>
      </c>
      <c r="N1488" s="287">
        <f>IF(C1488="Sale",SUMIFS($D$4:D1488,$B$4:B1488,B1488,$C$4:C1488,"")+SUMIFS($D$4:D1488,$B$4:B1488,B1488,$C$4:C1488,"Purch")-SUMIFS($D$4:D1488,$B$4:B1488,B1488,$C$4:C1488,"Sale"),0)</f>
        <v>0</v>
      </c>
    </row>
    <row r="1489" spans="1:14" x14ac:dyDescent="0.2">
      <c r="A1489" s="152"/>
      <c r="B1489" s="132"/>
      <c r="C1489" s="132"/>
      <c r="D1489" s="277"/>
      <c r="E1489" s="132"/>
      <c r="F1489" s="170"/>
      <c r="G1489" s="150"/>
      <c r="H1489" s="152"/>
      <c r="I1489" s="204"/>
      <c r="J1489" s="285"/>
      <c r="K1489" s="251"/>
      <c r="L1489" s="133" t="str">
        <f>IF(AND(I1489&lt;&gt;"",ISERROR(IF(ISERROR(VLOOKUP(I1489*1,Summary!$C$8:$C$153,1,0)),VLOOKUP(I1489,Summary!$C$8:$C$153,1,0),VLOOKUP(I1489*1,Summary!$C$8:$C$153,1,0)))),"Add account Number to Summary","")</f>
        <v/>
      </c>
      <c r="M1489" s="131" t="str">
        <f t="shared" si="23"/>
        <v/>
      </c>
      <c r="N1489" s="287">
        <f>IF(C1489="Sale",SUMIFS($D$4:D1489,$B$4:B1489,B1489,$C$4:C1489,"")+SUMIFS($D$4:D1489,$B$4:B1489,B1489,$C$4:C1489,"Purch")-SUMIFS($D$4:D1489,$B$4:B1489,B1489,$C$4:C1489,"Sale"),0)</f>
        <v>0</v>
      </c>
    </row>
    <row r="1490" spans="1:14" x14ac:dyDescent="0.2">
      <c r="A1490" s="152"/>
      <c r="B1490" s="132"/>
      <c r="C1490" s="132"/>
      <c r="D1490" s="277"/>
      <c r="E1490" s="132"/>
      <c r="F1490" s="170"/>
      <c r="G1490" s="150"/>
      <c r="H1490" s="152"/>
      <c r="I1490" s="204"/>
      <c r="J1490" s="285"/>
      <c r="K1490" s="251"/>
      <c r="L1490" s="133" t="str">
        <f>IF(AND(I1490&lt;&gt;"",ISERROR(IF(ISERROR(VLOOKUP(I1490*1,Summary!$C$8:$C$153,1,0)),VLOOKUP(I1490,Summary!$C$8:$C$153,1,0),VLOOKUP(I1490*1,Summary!$C$8:$C$153,1,0)))),"Add account Number to Summary","")</f>
        <v/>
      </c>
      <c r="M1490" s="131" t="str">
        <f t="shared" si="23"/>
        <v/>
      </c>
      <c r="N1490" s="287">
        <f>IF(C1490="Sale",SUMIFS($D$4:D1490,$B$4:B1490,B1490,$C$4:C1490,"")+SUMIFS($D$4:D1490,$B$4:B1490,B1490,$C$4:C1490,"Purch")-SUMIFS($D$4:D1490,$B$4:B1490,B1490,$C$4:C1490,"Sale"),0)</f>
        <v>0</v>
      </c>
    </row>
    <row r="1491" spans="1:14" x14ac:dyDescent="0.2">
      <c r="A1491" s="152"/>
      <c r="B1491" s="132"/>
      <c r="C1491" s="132"/>
      <c r="D1491" s="277"/>
      <c r="E1491" s="132"/>
      <c r="F1491" s="170"/>
      <c r="G1491" s="150"/>
      <c r="H1491" s="152"/>
      <c r="I1491" s="204"/>
      <c r="J1491" s="285"/>
      <c r="K1491" s="251"/>
      <c r="L1491" s="133" t="str">
        <f>IF(AND(I1491&lt;&gt;"",ISERROR(IF(ISERROR(VLOOKUP(I1491*1,Summary!$C$8:$C$153,1,0)),VLOOKUP(I1491,Summary!$C$8:$C$153,1,0),VLOOKUP(I1491*1,Summary!$C$8:$C$153,1,0)))),"Add account Number to Summary","")</f>
        <v/>
      </c>
      <c r="M1491" s="131" t="str">
        <f t="shared" si="23"/>
        <v/>
      </c>
      <c r="N1491" s="287">
        <f>IF(C1491="Sale",SUMIFS($D$4:D1491,$B$4:B1491,B1491,$C$4:C1491,"")+SUMIFS($D$4:D1491,$B$4:B1491,B1491,$C$4:C1491,"Purch")-SUMIFS($D$4:D1491,$B$4:B1491,B1491,$C$4:C1491,"Sale"),0)</f>
        <v>0</v>
      </c>
    </row>
    <row r="1492" spans="1:14" x14ac:dyDescent="0.2">
      <c r="A1492" s="152"/>
      <c r="B1492" s="132"/>
      <c r="C1492" s="132"/>
      <c r="D1492" s="277"/>
      <c r="E1492" s="132"/>
      <c r="F1492" s="170"/>
      <c r="G1492" s="150"/>
      <c r="H1492" s="152"/>
      <c r="I1492" s="204"/>
      <c r="J1492" s="285"/>
      <c r="K1492" s="251"/>
      <c r="L1492" s="133" t="str">
        <f>IF(AND(I1492&lt;&gt;"",ISERROR(IF(ISERROR(VLOOKUP(I1492*1,Summary!$C$8:$C$153,1,0)),VLOOKUP(I1492,Summary!$C$8:$C$153,1,0),VLOOKUP(I1492*1,Summary!$C$8:$C$153,1,0)))),"Add account Number to Summary","")</f>
        <v/>
      </c>
      <c r="M1492" s="131" t="str">
        <f t="shared" si="23"/>
        <v/>
      </c>
      <c r="N1492" s="287">
        <f>IF(C1492="Sale",SUMIFS($D$4:D1492,$B$4:B1492,B1492,$C$4:C1492,"")+SUMIFS($D$4:D1492,$B$4:B1492,B1492,$C$4:C1492,"Purch")-SUMIFS($D$4:D1492,$B$4:B1492,B1492,$C$4:C1492,"Sale"),0)</f>
        <v>0</v>
      </c>
    </row>
    <row r="1493" spans="1:14" x14ac:dyDescent="0.2">
      <c r="A1493" s="152"/>
      <c r="B1493" s="132"/>
      <c r="C1493" s="132"/>
      <c r="D1493" s="277"/>
      <c r="E1493" s="132"/>
      <c r="F1493" s="170"/>
      <c r="G1493" s="150"/>
      <c r="H1493" s="152"/>
      <c r="I1493" s="204"/>
      <c r="J1493" s="285"/>
      <c r="K1493" s="251"/>
      <c r="L1493" s="133" t="str">
        <f>IF(AND(I1493&lt;&gt;"",ISERROR(IF(ISERROR(VLOOKUP(I1493*1,Summary!$C$8:$C$153,1,0)),VLOOKUP(I1493,Summary!$C$8:$C$153,1,0),VLOOKUP(I1493*1,Summary!$C$8:$C$153,1,0)))),"Add account Number to Summary","")</f>
        <v/>
      </c>
      <c r="M1493" s="131" t="str">
        <f t="shared" si="23"/>
        <v/>
      </c>
      <c r="N1493" s="287">
        <f>IF(C1493="Sale",SUMIFS($D$4:D1493,$B$4:B1493,B1493,$C$4:C1493,"")+SUMIFS($D$4:D1493,$B$4:B1493,B1493,$C$4:C1493,"Purch")-SUMIFS($D$4:D1493,$B$4:B1493,B1493,$C$4:C1493,"Sale"),0)</f>
        <v>0</v>
      </c>
    </row>
    <row r="1494" spans="1:14" x14ac:dyDescent="0.2">
      <c r="A1494" s="152"/>
      <c r="B1494" s="132"/>
      <c r="C1494" s="132"/>
      <c r="D1494" s="277"/>
      <c r="E1494" s="132"/>
      <c r="F1494" s="170"/>
      <c r="G1494" s="150"/>
      <c r="H1494" s="152"/>
      <c r="I1494" s="204"/>
      <c r="J1494" s="285"/>
      <c r="K1494" s="251"/>
      <c r="L1494" s="133" t="str">
        <f>IF(AND(I1494&lt;&gt;"",ISERROR(IF(ISERROR(VLOOKUP(I1494*1,Summary!$C$8:$C$153,1,0)),VLOOKUP(I1494,Summary!$C$8:$C$153,1,0),VLOOKUP(I1494*1,Summary!$C$8:$C$153,1,0)))),"Add account Number to Summary","")</f>
        <v/>
      </c>
      <c r="M1494" s="131" t="str">
        <f t="shared" si="23"/>
        <v/>
      </c>
      <c r="N1494" s="287">
        <f>IF(C1494="Sale",SUMIFS($D$4:D1494,$B$4:B1494,B1494,$C$4:C1494,"")+SUMIFS($D$4:D1494,$B$4:B1494,B1494,$C$4:C1494,"Purch")-SUMIFS($D$4:D1494,$B$4:B1494,B1494,$C$4:C1494,"Sale"),0)</f>
        <v>0</v>
      </c>
    </row>
    <row r="1495" spans="1:14" x14ac:dyDescent="0.2">
      <c r="A1495" s="152"/>
      <c r="B1495" s="132"/>
      <c r="C1495" s="132"/>
      <c r="D1495" s="277"/>
      <c r="E1495" s="132"/>
      <c r="F1495" s="170"/>
      <c r="G1495" s="150"/>
      <c r="H1495" s="152"/>
      <c r="I1495" s="204"/>
      <c r="J1495" s="285"/>
      <c r="K1495" s="251"/>
      <c r="L1495" s="133" t="str">
        <f>IF(AND(I1495&lt;&gt;"",ISERROR(IF(ISERROR(VLOOKUP(I1495*1,Summary!$C$8:$C$153,1,0)),VLOOKUP(I1495,Summary!$C$8:$C$153,1,0),VLOOKUP(I1495*1,Summary!$C$8:$C$153,1,0)))),"Add account Number to Summary","")</f>
        <v/>
      </c>
      <c r="M1495" s="131" t="str">
        <f t="shared" si="23"/>
        <v/>
      </c>
      <c r="N1495" s="287">
        <f>IF(C1495="Sale",SUMIFS($D$4:D1495,$B$4:B1495,B1495,$C$4:C1495,"")+SUMIFS($D$4:D1495,$B$4:B1495,B1495,$C$4:C1495,"Purch")-SUMIFS($D$4:D1495,$B$4:B1495,B1495,$C$4:C1495,"Sale"),0)</f>
        <v>0</v>
      </c>
    </row>
    <row r="1496" spans="1:14" x14ac:dyDescent="0.2">
      <c r="A1496" s="152"/>
      <c r="B1496" s="132"/>
      <c r="C1496" s="132"/>
      <c r="D1496" s="277"/>
      <c r="E1496" s="132"/>
      <c r="F1496" s="170"/>
      <c r="G1496" s="150"/>
      <c r="H1496" s="152"/>
      <c r="I1496" s="204"/>
      <c r="J1496" s="285"/>
      <c r="K1496" s="251"/>
      <c r="L1496" s="133" t="str">
        <f>IF(AND(I1496&lt;&gt;"",ISERROR(IF(ISERROR(VLOOKUP(I1496*1,Summary!$C$8:$C$153,1,0)),VLOOKUP(I1496,Summary!$C$8:$C$153,1,0),VLOOKUP(I1496*1,Summary!$C$8:$C$153,1,0)))),"Add account Number to Summary","")</f>
        <v/>
      </c>
      <c r="M1496" s="131" t="str">
        <f t="shared" si="23"/>
        <v/>
      </c>
      <c r="N1496" s="287">
        <f>IF(C1496="Sale",SUMIFS($D$4:D1496,$B$4:B1496,B1496,$C$4:C1496,"")+SUMIFS($D$4:D1496,$B$4:B1496,B1496,$C$4:C1496,"Purch")-SUMIFS($D$4:D1496,$B$4:B1496,B1496,$C$4:C1496,"Sale"),0)</f>
        <v>0</v>
      </c>
    </row>
    <row r="1497" spans="1:14" x14ac:dyDescent="0.2">
      <c r="A1497" s="152"/>
      <c r="B1497" s="132"/>
      <c r="C1497" s="132"/>
      <c r="D1497" s="277"/>
      <c r="E1497" s="132"/>
      <c r="F1497" s="170"/>
      <c r="G1497" s="150"/>
      <c r="H1497" s="152"/>
      <c r="I1497" s="204"/>
      <c r="J1497" s="285"/>
      <c r="K1497" s="251"/>
      <c r="L1497" s="133" t="str">
        <f>IF(AND(I1497&lt;&gt;"",ISERROR(IF(ISERROR(VLOOKUP(I1497*1,Summary!$C$8:$C$153,1,0)),VLOOKUP(I1497,Summary!$C$8:$C$153,1,0),VLOOKUP(I1497*1,Summary!$C$8:$C$153,1,0)))),"Add account Number to Summary","")</f>
        <v/>
      </c>
      <c r="M1497" s="131" t="str">
        <f t="shared" si="23"/>
        <v/>
      </c>
      <c r="N1497" s="287">
        <f>IF(C1497="Sale",SUMIFS($D$4:D1497,$B$4:B1497,B1497,$C$4:C1497,"")+SUMIFS($D$4:D1497,$B$4:B1497,B1497,$C$4:C1497,"Purch")-SUMIFS($D$4:D1497,$B$4:B1497,B1497,$C$4:C1497,"Sale"),0)</f>
        <v>0</v>
      </c>
    </row>
    <row r="1498" spans="1:14" x14ac:dyDescent="0.2">
      <c r="A1498" s="152"/>
      <c r="B1498" s="132"/>
      <c r="C1498" s="132"/>
      <c r="D1498" s="277"/>
      <c r="E1498" s="132"/>
      <c r="F1498" s="170"/>
      <c r="G1498" s="150"/>
      <c r="H1498" s="152"/>
      <c r="I1498" s="204"/>
      <c r="J1498" s="285"/>
      <c r="K1498" s="251"/>
      <c r="L1498" s="133" t="str">
        <f>IF(AND(I1498&lt;&gt;"",ISERROR(IF(ISERROR(VLOOKUP(I1498*1,Summary!$C$8:$C$153,1,0)),VLOOKUP(I1498,Summary!$C$8:$C$153,1,0),VLOOKUP(I1498*1,Summary!$C$8:$C$153,1,0)))),"Add account Number to Summary","")</f>
        <v/>
      </c>
      <c r="M1498" s="131" t="str">
        <f t="shared" si="23"/>
        <v/>
      </c>
      <c r="N1498" s="287">
        <f>IF(C1498="Sale",SUMIFS($D$4:D1498,$B$4:B1498,B1498,$C$4:C1498,"")+SUMIFS($D$4:D1498,$B$4:B1498,B1498,$C$4:C1498,"Purch")-SUMIFS($D$4:D1498,$B$4:B1498,B1498,$C$4:C1498,"Sale"),0)</f>
        <v>0</v>
      </c>
    </row>
    <row r="1499" spans="1:14" x14ac:dyDescent="0.2">
      <c r="A1499" s="152"/>
      <c r="B1499" s="132"/>
      <c r="C1499" s="132"/>
      <c r="D1499" s="277"/>
      <c r="E1499" s="132"/>
      <c r="F1499" s="170"/>
      <c r="G1499" s="150"/>
      <c r="H1499" s="152"/>
      <c r="I1499" s="204"/>
      <c r="J1499" s="285"/>
      <c r="K1499" s="251"/>
      <c r="L1499" s="133" t="str">
        <f>IF(AND(I1499&lt;&gt;"",ISERROR(IF(ISERROR(VLOOKUP(I1499*1,Summary!$C$8:$C$153,1,0)),VLOOKUP(I1499,Summary!$C$8:$C$153,1,0),VLOOKUP(I1499*1,Summary!$C$8:$C$153,1,0)))),"Add account Number to Summary","")</f>
        <v/>
      </c>
      <c r="M1499" s="131" t="str">
        <f t="shared" si="23"/>
        <v/>
      </c>
      <c r="N1499" s="287">
        <f>IF(C1499="Sale",SUMIFS($D$4:D1499,$B$4:B1499,B1499,$C$4:C1499,"")+SUMIFS($D$4:D1499,$B$4:B1499,B1499,$C$4:C1499,"Purch")-SUMIFS($D$4:D1499,$B$4:B1499,B1499,$C$4:C1499,"Sale"),0)</f>
        <v>0</v>
      </c>
    </row>
    <row r="1500" spans="1:14" x14ac:dyDescent="0.2">
      <c r="A1500" s="152"/>
      <c r="B1500" s="132"/>
      <c r="C1500" s="132"/>
      <c r="D1500" s="277"/>
      <c r="E1500" s="132"/>
      <c r="F1500" s="170"/>
      <c r="G1500" s="150"/>
      <c r="H1500" s="152"/>
      <c r="I1500" s="204"/>
      <c r="J1500" s="285"/>
      <c r="K1500" s="251"/>
      <c r="L1500" s="133" t="str">
        <f>IF(AND(I1500&lt;&gt;"",ISERROR(IF(ISERROR(VLOOKUP(I1500*1,Summary!$C$8:$C$153,1,0)),VLOOKUP(I1500,Summary!$C$8:$C$153,1,0),VLOOKUP(I1500*1,Summary!$C$8:$C$153,1,0)))),"Add account Number to Summary","")</f>
        <v/>
      </c>
      <c r="M1500" s="131" t="str">
        <f t="shared" si="23"/>
        <v/>
      </c>
      <c r="N1500" s="287">
        <f>IF(C1500="Sale",SUMIFS($D$4:D1500,$B$4:B1500,B1500,$C$4:C1500,"")+SUMIFS($D$4:D1500,$B$4:B1500,B1500,$C$4:C1500,"Purch")-SUMIFS($D$4:D1500,$B$4:B1500,B1500,$C$4:C1500,"Sale"),0)</f>
        <v>0</v>
      </c>
    </row>
    <row r="1501" spans="1:14" x14ac:dyDescent="0.2">
      <c r="A1501" s="152"/>
      <c r="B1501" s="132"/>
      <c r="C1501" s="132"/>
      <c r="D1501" s="277"/>
      <c r="E1501" s="132"/>
      <c r="F1501" s="170"/>
      <c r="G1501" s="150"/>
      <c r="H1501" s="152"/>
      <c r="I1501" s="204"/>
      <c r="J1501" s="285"/>
      <c r="K1501" s="251"/>
      <c r="L1501" s="133" t="str">
        <f>IF(AND(I1501&lt;&gt;"",ISERROR(IF(ISERROR(VLOOKUP(I1501*1,Summary!$C$8:$C$153,1,0)),VLOOKUP(I1501,Summary!$C$8:$C$153,1,0),VLOOKUP(I1501*1,Summary!$C$8:$C$153,1,0)))),"Add account Number to Summary","")</f>
        <v/>
      </c>
      <c r="M1501" s="131" t="str">
        <f t="shared" si="23"/>
        <v/>
      </c>
      <c r="N1501" s="287">
        <f>IF(C1501="Sale",SUMIFS($D$4:D1501,$B$4:B1501,B1501,$C$4:C1501,"")+SUMIFS($D$4:D1501,$B$4:B1501,B1501,$C$4:C1501,"Purch")-SUMIFS($D$4:D1501,$B$4:B1501,B1501,$C$4:C1501,"Sale"),0)</f>
        <v>0</v>
      </c>
    </row>
    <row r="1502" spans="1:14" x14ac:dyDescent="0.2">
      <c r="A1502" s="152"/>
      <c r="B1502" s="132"/>
      <c r="C1502" s="132"/>
      <c r="D1502" s="277"/>
      <c r="E1502" s="132"/>
      <c r="F1502" s="170"/>
      <c r="G1502" s="150"/>
      <c r="H1502" s="152"/>
      <c r="I1502" s="204"/>
      <c r="J1502" s="285"/>
      <c r="K1502" s="251"/>
      <c r="L1502" s="133" t="str">
        <f>IF(AND(I1502&lt;&gt;"",ISERROR(IF(ISERROR(VLOOKUP(I1502*1,Summary!$C$8:$C$153,1,0)),VLOOKUP(I1502,Summary!$C$8:$C$153,1,0),VLOOKUP(I1502*1,Summary!$C$8:$C$153,1,0)))),"Add account Number to Summary","")</f>
        <v/>
      </c>
      <c r="M1502" s="131" t="str">
        <f t="shared" si="23"/>
        <v/>
      </c>
      <c r="N1502" s="287">
        <f>IF(C1502="Sale",SUMIFS($D$4:D1502,$B$4:B1502,B1502,$C$4:C1502,"")+SUMIFS($D$4:D1502,$B$4:B1502,B1502,$C$4:C1502,"Purch")-SUMIFS($D$4:D1502,$B$4:B1502,B1502,$C$4:C1502,"Sale"),0)</f>
        <v>0</v>
      </c>
    </row>
    <row r="1503" spans="1:14" x14ac:dyDescent="0.2">
      <c r="A1503" s="152"/>
      <c r="B1503" s="132"/>
      <c r="C1503" s="132"/>
      <c r="D1503" s="277"/>
      <c r="E1503" s="132"/>
      <c r="F1503" s="170"/>
      <c r="G1503" s="150"/>
      <c r="H1503" s="152"/>
      <c r="I1503" s="204"/>
      <c r="J1503" s="285"/>
      <c r="K1503" s="251"/>
      <c r="L1503" s="133" t="str">
        <f>IF(AND(I1503&lt;&gt;"",ISERROR(IF(ISERROR(VLOOKUP(I1503*1,Summary!$C$8:$C$153,1,0)),VLOOKUP(I1503,Summary!$C$8:$C$153,1,0),VLOOKUP(I1503*1,Summary!$C$8:$C$153,1,0)))),"Add account Number to Summary","")</f>
        <v/>
      </c>
      <c r="M1503" s="131" t="str">
        <f t="shared" si="23"/>
        <v/>
      </c>
      <c r="N1503" s="287">
        <f>IF(C1503="Sale",SUMIFS($D$4:D1503,$B$4:B1503,B1503,$C$4:C1503,"")+SUMIFS($D$4:D1503,$B$4:B1503,B1503,$C$4:C1503,"Purch")-SUMIFS($D$4:D1503,$B$4:B1503,B1503,$C$4:C1503,"Sale"),0)</f>
        <v>0</v>
      </c>
    </row>
    <row r="1504" spans="1:14" x14ac:dyDescent="0.2">
      <c r="A1504" s="152"/>
      <c r="B1504" s="132"/>
      <c r="C1504" s="132"/>
      <c r="D1504" s="277"/>
      <c r="E1504" s="132"/>
      <c r="F1504" s="170"/>
      <c r="G1504" s="150"/>
      <c r="H1504" s="152"/>
      <c r="I1504" s="204"/>
      <c r="J1504" s="285"/>
      <c r="K1504" s="251"/>
      <c r="L1504" s="133" t="str">
        <f>IF(AND(I1504&lt;&gt;"",ISERROR(IF(ISERROR(VLOOKUP(I1504*1,Summary!$C$8:$C$153,1,0)),VLOOKUP(I1504,Summary!$C$8:$C$153,1,0),VLOOKUP(I1504*1,Summary!$C$8:$C$153,1,0)))),"Add account Number to Summary","")</f>
        <v/>
      </c>
      <c r="M1504" s="131" t="str">
        <f t="shared" si="23"/>
        <v/>
      </c>
      <c r="N1504" s="287">
        <f>IF(C1504="Sale",SUMIFS($D$4:D1504,$B$4:B1504,B1504,$C$4:C1504,"")+SUMIFS($D$4:D1504,$B$4:B1504,B1504,$C$4:C1504,"Purch")-SUMIFS($D$4:D1504,$B$4:B1504,B1504,$C$4:C1504,"Sale"),0)</f>
        <v>0</v>
      </c>
    </row>
    <row r="1505" spans="1:14" x14ac:dyDescent="0.2">
      <c r="A1505" s="152"/>
      <c r="B1505" s="132"/>
      <c r="C1505" s="132"/>
      <c r="D1505" s="277"/>
      <c r="E1505" s="132"/>
      <c r="F1505" s="170"/>
      <c r="G1505" s="150"/>
      <c r="H1505" s="152"/>
      <c r="I1505" s="204"/>
      <c r="J1505" s="285"/>
      <c r="K1505" s="251"/>
      <c r="L1505" s="133" t="str">
        <f>IF(AND(I1505&lt;&gt;"",ISERROR(IF(ISERROR(VLOOKUP(I1505*1,Summary!$C$8:$C$153,1,0)),VLOOKUP(I1505,Summary!$C$8:$C$153,1,0),VLOOKUP(I1505*1,Summary!$C$8:$C$153,1,0)))),"Add account Number to Summary","")</f>
        <v/>
      </c>
      <c r="M1505" s="131" t="str">
        <f t="shared" si="23"/>
        <v/>
      </c>
      <c r="N1505" s="287">
        <f>IF(C1505="Sale",SUMIFS($D$4:D1505,$B$4:B1505,B1505,$C$4:C1505,"")+SUMIFS($D$4:D1505,$B$4:B1505,B1505,$C$4:C1505,"Purch")-SUMIFS($D$4:D1505,$B$4:B1505,B1505,$C$4:C1505,"Sale"),0)</f>
        <v>0</v>
      </c>
    </row>
    <row r="1506" spans="1:14" x14ac:dyDescent="0.2">
      <c r="A1506" s="152"/>
      <c r="B1506" s="132"/>
      <c r="C1506" s="132"/>
      <c r="D1506" s="277"/>
      <c r="E1506" s="132"/>
      <c r="F1506" s="170"/>
      <c r="G1506" s="150"/>
      <c r="H1506" s="152"/>
      <c r="I1506" s="204"/>
      <c r="J1506" s="285"/>
      <c r="K1506" s="251"/>
      <c r="L1506" s="133" t="str">
        <f>IF(AND(I1506&lt;&gt;"",ISERROR(IF(ISERROR(VLOOKUP(I1506*1,Summary!$C$8:$C$153,1,0)),VLOOKUP(I1506,Summary!$C$8:$C$153,1,0),VLOOKUP(I1506*1,Summary!$C$8:$C$153,1,0)))),"Add account Number to Summary","")</f>
        <v/>
      </c>
      <c r="M1506" s="131" t="str">
        <f t="shared" si="23"/>
        <v/>
      </c>
      <c r="N1506" s="287">
        <f>IF(C1506="Sale",SUMIFS($D$4:D1506,$B$4:B1506,B1506,$C$4:C1506,"")+SUMIFS($D$4:D1506,$B$4:B1506,B1506,$C$4:C1506,"Purch")-SUMIFS($D$4:D1506,$B$4:B1506,B1506,$C$4:C1506,"Sale"),0)</f>
        <v>0</v>
      </c>
    </row>
    <row r="1507" spans="1:14" x14ac:dyDescent="0.2">
      <c r="A1507" s="152"/>
      <c r="B1507" s="132"/>
      <c r="C1507" s="132"/>
      <c r="D1507" s="277"/>
      <c r="E1507" s="132"/>
      <c r="F1507" s="170"/>
      <c r="G1507" s="150"/>
      <c r="H1507" s="152"/>
      <c r="I1507" s="204"/>
      <c r="J1507" s="285"/>
      <c r="K1507" s="251"/>
      <c r="L1507" s="133" t="str">
        <f>IF(AND(I1507&lt;&gt;"",ISERROR(IF(ISERROR(VLOOKUP(I1507*1,Summary!$C$8:$C$153,1,0)),VLOOKUP(I1507,Summary!$C$8:$C$153,1,0),VLOOKUP(I1507*1,Summary!$C$8:$C$153,1,0)))),"Add account Number to Summary","")</f>
        <v/>
      </c>
      <c r="M1507" s="131" t="str">
        <f t="shared" si="23"/>
        <v/>
      </c>
      <c r="N1507" s="287">
        <f>IF(C1507="Sale",SUMIFS($D$4:D1507,$B$4:B1507,B1507,$C$4:C1507,"")+SUMIFS($D$4:D1507,$B$4:B1507,B1507,$C$4:C1507,"Purch")-SUMIFS($D$4:D1507,$B$4:B1507,B1507,$C$4:C1507,"Sale"),0)</f>
        <v>0</v>
      </c>
    </row>
    <row r="1508" spans="1:14" x14ac:dyDescent="0.2">
      <c r="A1508" s="152"/>
      <c r="B1508" s="132"/>
      <c r="C1508" s="132"/>
      <c r="D1508" s="277"/>
      <c r="E1508" s="132"/>
      <c r="F1508" s="170"/>
      <c r="G1508" s="150"/>
      <c r="H1508" s="152"/>
      <c r="I1508" s="204"/>
      <c r="J1508" s="285"/>
      <c r="K1508" s="251"/>
      <c r="L1508" s="133" t="str">
        <f>IF(AND(I1508&lt;&gt;"",ISERROR(IF(ISERROR(VLOOKUP(I1508*1,Summary!$C$8:$C$153,1,0)),VLOOKUP(I1508,Summary!$C$8:$C$153,1,0),VLOOKUP(I1508*1,Summary!$C$8:$C$153,1,0)))),"Add account Number to Summary","")</f>
        <v/>
      </c>
      <c r="M1508" s="131" t="str">
        <f t="shared" si="23"/>
        <v/>
      </c>
      <c r="N1508" s="287">
        <f>IF(C1508="Sale",SUMIFS($D$4:D1508,$B$4:B1508,B1508,$C$4:C1508,"")+SUMIFS($D$4:D1508,$B$4:B1508,B1508,$C$4:C1508,"Purch")-SUMIFS($D$4:D1508,$B$4:B1508,B1508,$C$4:C1508,"Sale"),0)</f>
        <v>0</v>
      </c>
    </row>
    <row r="1509" spans="1:14" x14ac:dyDescent="0.2">
      <c r="A1509" s="152"/>
      <c r="B1509" s="132"/>
      <c r="C1509" s="132"/>
      <c r="D1509" s="277"/>
      <c r="E1509" s="132"/>
      <c r="F1509" s="170"/>
      <c r="G1509" s="150"/>
      <c r="H1509" s="152"/>
      <c r="I1509" s="204"/>
      <c r="J1509" s="285"/>
      <c r="K1509" s="251"/>
      <c r="L1509" s="133" t="str">
        <f>IF(AND(I1509&lt;&gt;"",ISERROR(IF(ISERROR(VLOOKUP(I1509*1,Summary!$C$8:$C$153,1,0)),VLOOKUP(I1509,Summary!$C$8:$C$153,1,0),VLOOKUP(I1509*1,Summary!$C$8:$C$153,1,0)))),"Add account Number to Summary","")</f>
        <v/>
      </c>
      <c r="M1509" s="131" t="str">
        <f t="shared" si="23"/>
        <v/>
      </c>
      <c r="N1509" s="287">
        <f>IF(C1509="Sale",SUMIFS($D$4:D1509,$B$4:B1509,B1509,$C$4:C1509,"")+SUMIFS($D$4:D1509,$B$4:B1509,B1509,$C$4:C1509,"Purch")-SUMIFS($D$4:D1509,$B$4:B1509,B1509,$C$4:C1509,"Sale"),0)</f>
        <v>0</v>
      </c>
    </row>
    <row r="1510" spans="1:14" x14ac:dyDescent="0.2">
      <c r="A1510" s="152"/>
      <c r="B1510" s="132"/>
      <c r="C1510" s="132"/>
      <c r="D1510" s="277"/>
      <c r="E1510" s="132"/>
      <c r="F1510" s="170"/>
      <c r="G1510" s="150"/>
      <c r="H1510" s="152"/>
      <c r="I1510" s="204"/>
      <c r="J1510" s="285"/>
      <c r="K1510" s="251"/>
      <c r="L1510" s="133" t="str">
        <f>IF(AND(I1510&lt;&gt;"",ISERROR(IF(ISERROR(VLOOKUP(I1510*1,Summary!$C$8:$C$153,1,0)),VLOOKUP(I1510,Summary!$C$8:$C$153,1,0),VLOOKUP(I1510*1,Summary!$C$8:$C$153,1,0)))),"Add account Number to Summary","")</f>
        <v/>
      </c>
      <c r="M1510" s="131" t="str">
        <f t="shared" si="23"/>
        <v/>
      </c>
      <c r="N1510" s="287">
        <f>IF(C1510="Sale",SUMIFS($D$4:D1510,$B$4:B1510,B1510,$C$4:C1510,"")+SUMIFS($D$4:D1510,$B$4:B1510,B1510,$C$4:C1510,"Purch")-SUMIFS($D$4:D1510,$B$4:B1510,B1510,$C$4:C1510,"Sale"),0)</f>
        <v>0</v>
      </c>
    </row>
    <row r="1511" spans="1:14" x14ac:dyDescent="0.2">
      <c r="A1511" s="152"/>
      <c r="B1511" s="132"/>
      <c r="C1511" s="132"/>
      <c r="D1511" s="277"/>
      <c r="E1511" s="132"/>
      <c r="F1511" s="170"/>
      <c r="G1511" s="150"/>
      <c r="H1511" s="152"/>
      <c r="I1511" s="204"/>
      <c r="J1511" s="285"/>
      <c r="K1511" s="251"/>
      <c r="L1511" s="133" t="str">
        <f>IF(AND(I1511&lt;&gt;"",ISERROR(IF(ISERROR(VLOOKUP(I1511*1,Summary!$C$8:$C$153,1,0)),VLOOKUP(I1511,Summary!$C$8:$C$153,1,0),VLOOKUP(I1511*1,Summary!$C$8:$C$153,1,0)))),"Add account Number to Summary","")</f>
        <v/>
      </c>
      <c r="M1511" s="131" t="str">
        <f t="shared" si="23"/>
        <v/>
      </c>
      <c r="N1511" s="287">
        <f>IF(C1511="Sale",SUMIFS($D$4:D1511,$B$4:B1511,B1511,$C$4:C1511,"")+SUMIFS($D$4:D1511,$B$4:B1511,B1511,$C$4:C1511,"Purch")-SUMIFS($D$4:D1511,$B$4:B1511,B1511,$C$4:C1511,"Sale"),0)</f>
        <v>0</v>
      </c>
    </row>
    <row r="1512" spans="1:14" x14ac:dyDescent="0.2">
      <c r="A1512" s="152"/>
      <c r="B1512" s="132"/>
      <c r="C1512" s="132"/>
      <c r="D1512" s="277"/>
      <c r="E1512" s="132"/>
      <c r="F1512" s="170"/>
      <c r="G1512" s="150"/>
      <c r="H1512" s="152"/>
      <c r="I1512" s="204"/>
      <c r="J1512" s="285"/>
      <c r="K1512" s="251"/>
      <c r="L1512" s="133" t="str">
        <f>IF(AND(I1512&lt;&gt;"",ISERROR(IF(ISERROR(VLOOKUP(I1512*1,Summary!$C$8:$C$153,1,0)),VLOOKUP(I1512,Summary!$C$8:$C$153,1,0),VLOOKUP(I1512*1,Summary!$C$8:$C$153,1,0)))),"Add account Number to Summary","")</f>
        <v/>
      </c>
      <c r="M1512" s="131" t="str">
        <f t="shared" si="23"/>
        <v/>
      </c>
      <c r="N1512" s="287">
        <f>IF(C1512="Sale",SUMIFS($D$4:D1512,$B$4:B1512,B1512,$C$4:C1512,"")+SUMIFS($D$4:D1512,$B$4:B1512,B1512,$C$4:C1512,"Purch")-SUMIFS($D$4:D1512,$B$4:B1512,B1512,$C$4:C1512,"Sale"),0)</f>
        <v>0</v>
      </c>
    </row>
    <row r="1513" spans="1:14" x14ac:dyDescent="0.2">
      <c r="A1513" s="152"/>
      <c r="B1513" s="132"/>
      <c r="C1513" s="132"/>
      <c r="D1513" s="277"/>
      <c r="E1513" s="132"/>
      <c r="F1513" s="170"/>
      <c r="G1513" s="150"/>
      <c r="H1513" s="152"/>
      <c r="I1513" s="204"/>
      <c r="J1513" s="285"/>
      <c r="K1513" s="251"/>
      <c r="L1513" s="133" t="str">
        <f>IF(AND(I1513&lt;&gt;"",ISERROR(IF(ISERROR(VLOOKUP(I1513*1,Summary!$C$8:$C$153,1,0)),VLOOKUP(I1513,Summary!$C$8:$C$153,1,0),VLOOKUP(I1513*1,Summary!$C$8:$C$153,1,0)))),"Add account Number to Summary","")</f>
        <v/>
      </c>
      <c r="M1513" s="131" t="str">
        <f t="shared" si="23"/>
        <v/>
      </c>
      <c r="N1513" s="287">
        <f>IF(C1513="Sale",SUMIFS($D$4:D1513,$B$4:B1513,B1513,$C$4:C1513,"")+SUMIFS($D$4:D1513,$B$4:B1513,B1513,$C$4:C1513,"Purch")-SUMIFS($D$4:D1513,$B$4:B1513,B1513,$C$4:C1513,"Sale"),0)</f>
        <v>0</v>
      </c>
    </row>
    <row r="1514" spans="1:14" x14ac:dyDescent="0.2">
      <c r="A1514" s="152"/>
      <c r="B1514" s="132"/>
      <c r="C1514" s="132"/>
      <c r="D1514" s="277"/>
      <c r="E1514" s="132"/>
      <c r="F1514" s="170"/>
      <c r="G1514" s="150"/>
      <c r="H1514" s="152"/>
      <c r="I1514" s="204"/>
      <c r="J1514" s="285"/>
      <c r="K1514" s="251"/>
      <c r="L1514" s="133" t="str">
        <f>IF(AND(I1514&lt;&gt;"",ISERROR(IF(ISERROR(VLOOKUP(I1514*1,Summary!$C$8:$C$153,1,0)),VLOOKUP(I1514,Summary!$C$8:$C$153,1,0),VLOOKUP(I1514*1,Summary!$C$8:$C$153,1,0)))),"Add account Number to Summary","")</f>
        <v/>
      </c>
      <c r="M1514" s="131" t="str">
        <f t="shared" si="23"/>
        <v/>
      </c>
      <c r="N1514" s="287">
        <f>IF(C1514="Sale",SUMIFS($D$4:D1514,$B$4:B1514,B1514,$C$4:C1514,"")+SUMIFS($D$4:D1514,$B$4:B1514,B1514,$C$4:C1514,"Purch")-SUMIFS($D$4:D1514,$B$4:B1514,B1514,$C$4:C1514,"Sale"),0)</f>
        <v>0</v>
      </c>
    </row>
    <row r="1515" spans="1:14" x14ac:dyDescent="0.2">
      <c r="A1515" s="152"/>
      <c r="B1515" s="132"/>
      <c r="C1515" s="132"/>
      <c r="D1515" s="277"/>
      <c r="E1515" s="132"/>
      <c r="F1515" s="170"/>
      <c r="G1515" s="150"/>
      <c r="H1515" s="152"/>
      <c r="I1515" s="204"/>
      <c r="J1515" s="285"/>
      <c r="K1515" s="251"/>
      <c r="L1515" s="133" t="str">
        <f>IF(AND(I1515&lt;&gt;"",ISERROR(IF(ISERROR(VLOOKUP(I1515*1,Summary!$C$8:$C$153,1,0)),VLOOKUP(I1515,Summary!$C$8:$C$153,1,0),VLOOKUP(I1515*1,Summary!$C$8:$C$153,1,0)))),"Add account Number to Summary","")</f>
        <v/>
      </c>
      <c r="M1515" s="131" t="str">
        <f t="shared" si="23"/>
        <v/>
      </c>
      <c r="N1515" s="287">
        <f>IF(C1515="Sale",SUMIFS($D$4:D1515,$B$4:B1515,B1515,$C$4:C1515,"")+SUMIFS($D$4:D1515,$B$4:B1515,B1515,$C$4:C1515,"Purch")-SUMIFS($D$4:D1515,$B$4:B1515,B1515,$C$4:C1515,"Sale"),0)</f>
        <v>0</v>
      </c>
    </row>
    <row r="1516" spans="1:14" x14ac:dyDescent="0.2">
      <c r="A1516" s="152"/>
      <c r="B1516" s="132"/>
      <c r="C1516" s="132"/>
      <c r="D1516" s="277"/>
      <c r="E1516" s="132"/>
      <c r="F1516" s="170"/>
      <c r="G1516" s="150"/>
      <c r="H1516" s="152"/>
      <c r="I1516" s="204"/>
      <c r="J1516" s="285"/>
      <c r="K1516" s="251"/>
      <c r="L1516" s="133" t="str">
        <f>IF(AND(I1516&lt;&gt;"",ISERROR(IF(ISERROR(VLOOKUP(I1516*1,Summary!$C$8:$C$153,1,0)),VLOOKUP(I1516,Summary!$C$8:$C$153,1,0),VLOOKUP(I1516*1,Summary!$C$8:$C$153,1,0)))),"Add account Number to Summary","")</f>
        <v/>
      </c>
      <c r="M1516" s="131" t="str">
        <f t="shared" ref="M1516:M1579" si="24">IF(K1516="Yes",IF(YEAR(A1516)&lt;&gt;YEAR(date),"Check Date",""),"")</f>
        <v/>
      </c>
      <c r="N1516" s="287">
        <f>IF(C1516="Sale",SUMIFS($D$4:D1516,$B$4:B1516,B1516,$C$4:C1516,"")+SUMIFS($D$4:D1516,$B$4:B1516,B1516,$C$4:C1516,"Purch")-SUMIFS($D$4:D1516,$B$4:B1516,B1516,$C$4:C1516,"Sale"),0)</f>
        <v>0</v>
      </c>
    </row>
    <row r="1517" spans="1:14" x14ac:dyDescent="0.2">
      <c r="A1517" s="152"/>
      <c r="B1517" s="132"/>
      <c r="C1517" s="132"/>
      <c r="D1517" s="277"/>
      <c r="E1517" s="132"/>
      <c r="F1517" s="170"/>
      <c r="G1517" s="150"/>
      <c r="H1517" s="152"/>
      <c r="I1517" s="204"/>
      <c r="J1517" s="285"/>
      <c r="K1517" s="251"/>
      <c r="L1517" s="133" t="str">
        <f>IF(AND(I1517&lt;&gt;"",ISERROR(IF(ISERROR(VLOOKUP(I1517*1,Summary!$C$8:$C$153,1,0)),VLOOKUP(I1517,Summary!$C$8:$C$153,1,0),VLOOKUP(I1517*1,Summary!$C$8:$C$153,1,0)))),"Add account Number to Summary","")</f>
        <v/>
      </c>
      <c r="M1517" s="131" t="str">
        <f t="shared" si="24"/>
        <v/>
      </c>
      <c r="N1517" s="287">
        <f>IF(C1517="Sale",SUMIFS($D$4:D1517,$B$4:B1517,B1517,$C$4:C1517,"")+SUMIFS($D$4:D1517,$B$4:B1517,B1517,$C$4:C1517,"Purch")-SUMIFS($D$4:D1517,$B$4:B1517,B1517,$C$4:C1517,"Sale"),0)</f>
        <v>0</v>
      </c>
    </row>
    <row r="1518" spans="1:14" x14ac:dyDescent="0.2">
      <c r="A1518" s="152"/>
      <c r="B1518" s="132"/>
      <c r="C1518" s="132"/>
      <c r="D1518" s="277"/>
      <c r="E1518" s="132"/>
      <c r="F1518" s="170"/>
      <c r="G1518" s="150"/>
      <c r="H1518" s="152"/>
      <c r="I1518" s="204"/>
      <c r="J1518" s="285"/>
      <c r="K1518" s="251"/>
      <c r="L1518" s="133" t="str">
        <f>IF(AND(I1518&lt;&gt;"",ISERROR(IF(ISERROR(VLOOKUP(I1518*1,Summary!$C$8:$C$153,1,0)),VLOOKUP(I1518,Summary!$C$8:$C$153,1,0),VLOOKUP(I1518*1,Summary!$C$8:$C$153,1,0)))),"Add account Number to Summary","")</f>
        <v/>
      </c>
      <c r="M1518" s="131" t="str">
        <f t="shared" si="24"/>
        <v/>
      </c>
      <c r="N1518" s="287">
        <f>IF(C1518="Sale",SUMIFS($D$4:D1518,$B$4:B1518,B1518,$C$4:C1518,"")+SUMIFS($D$4:D1518,$B$4:B1518,B1518,$C$4:C1518,"Purch")-SUMIFS($D$4:D1518,$B$4:B1518,B1518,$C$4:C1518,"Sale"),0)</f>
        <v>0</v>
      </c>
    </row>
    <row r="1519" spans="1:14" x14ac:dyDescent="0.2">
      <c r="A1519" s="152"/>
      <c r="B1519" s="132"/>
      <c r="C1519" s="132"/>
      <c r="D1519" s="277"/>
      <c r="E1519" s="132"/>
      <c r="F1519" s="170"/>
      <c r="G1519" s="150"/>
      <c r="H1519" s="152"/>
      <c r="I1519" s="204"/>
      <c r="J1519" s="285"/>
      <c r="K1519" s="251"/>
      <c r="L1519" s="133" t="str">
        <f>IF(AND(I1519&lt;&gt;"",ISERROR(IF(ISERROR(VLOOKUP(I1519*1,Summary!$C$8:$C$153,1,0)),VLOOKUP(I1519,Summary!$C$8:$C$153,1,0),VLOOKUP(I1519*1,Summary!$C$8:$C$153,1,0)))),"Add account Number to Summary","")</f>
        <v/>
      </c>
      <c r="M1519" s="131" t="str">
        <f t="shared" si="24"/>
        <v/>
      </c>
      <c r="N1519" s="287">
        <f>IF(C1519="Sale",SUMIFS($D$4:D1519,$B$4:B1519,B1519,$C$4:C1519,"")+SUMIFS($D$4:D1519,$B$4:B1519,B1519,$C$4:C1519,"Purch")-SUMIFS($D$4:D1519,$B$4:B1519,B1519,$C$4:C1519,"Sale"),0)</f>
        <v>0</v>
      </c>
    </row>
    <row r="1520" spans="1:14" x14ac:dyDescent="0.2">
      <c r="A1520" s="152"/>
      <c r="B1520" s="132"/>
      <c r="C1520" s="132"/>
      <c r="D1520" s="277"/>
      <c r="E1520" s="132"/>
      <c r="F1520" s="170"/>
      <c r="G1520" s="150"/>
      <c r="H1520" s="152"/>
      <c r="I1520" s="204"/>
      <c r="J1520" s="285"/>
      <c r="K1520" s="251"/>
      <c r="L1520" s="133" t="str">
        <f>IF(AND(I1520&lt;&gt;"",ISERROR(IF(ISERROR(VLOOKUP(I1520*1,Summary!$C$8:$C$153,1,0)),VLOOKUP(I1520,Summary!$C$8:$C$153,1,0),VLOOKUP(I1520*1,Summary!$C$8:$C$153,1,0)))),"Add account Number to Summary","")</f>
        <v/>
      </c>
      <c r="M1520" s="131" t="str">
        <f t="shared" si="24"/>
        <v/>
      </c>
      <c r="N1520" s="287">
        <f>IF(C1520="Sale",SUMIFS($D$4:D1520,$B$4:B1520,B1520,$C$4:C1520,"")+SUMIFS($D$4:D1520,$B$4:B1520,B1520,$C$4:C1520,"Purch")-SUMIFS($D$4:D1520,$B$4:B1520,B1520,$C$4:C1520,"Sale"),0)</f>
        <v>0</v>
      </c>
    </row>
    <row r="1521" spans="1:14" x14ac:dyDescent="0.2">
      <c r="A1521" s="152"/>
      <c r="B1521" s="132"/>
      <c r="C1521" s="132"/>
      <c r="D1521" s="277"/>
      <c r="E1521" s="132"/>
      <c r="F1521" s="170"/>
      <c r="G1521" s="150"/>
      <c r="H1521" s="152"/>
      <c r="I1521" s="204"/>
      <c r="J1521" s="285"/>
      <c r="K1521" s="251"/>
      <c r="L1521" s="133" t="str">
        <f>IF(AND(I1521&lt;&gt;"",ISERROR(IF(ISERROR(VLOOKUP(I1521*1,Summary!$C$8:$C$153,1,0)),VLOOKUP(I1521,Summary!$C$8:$C$153,1,0),VLOOKUP(I1521*1,Summary!$C$8:$C$153,1,0)))),"Add account Number to Summary","")</f>
        <v/>
      </c>
      <c r="M1521" s="131" t="str">
        <f t="shared" si="24"/>
        <v/>
      </c>
      <c r="N1521" s="287">
        <f>IF(C1521="Sale",SUMIFS($D$4:D1521,$B$4:B1521,B1521,$C$4:C1521,"")+SUMIFS($D$4:D1521,$B$4:B1521,B1521,$C$4:C1521,"Purch")-SUMIFS($D$4:D1521,$B$4:B1521,B1521,$C$4:C1521,"Sale"),0)</f>
        <v>0</v>
      </c>
    </row>
    <row r="1522" spans="1:14" x14ac:dyDescent="0.2">
      <c r="A1522" s="152"/>
      <c r="B1522" s="132"/>
      <c r="C1522" s="132"/>
      <c r="D1522" s="277"/>
      <c r="E1522" s="132"/>
      <c r="F1522" s="170"/>
      <c r="G1522" s="150"/>
      <c r="H1522" s="152"/>
      <c r="I1522" s="204"/>
      <c r="J1522" s="285"/>
      <c r="K1522" s="251"/>
      <c r="L1522" s="133" t="str">
        <f>IF(AND(I1522&lt;&gt;"",ISERROR(IF(ISERROR(VLOOKUP(I1522*1,Summary!$C$8:$C$153,1,0)),VLOOKUP(I1522,Summary!$C$8:$C$153,1,0),VLOOKUP(I1522*1,Summary!$C$8:$C$153,1,0)))),"Add account Number to Summary","")</f>
        <v/>
      </c>
      <c r="M1522" s="131" t="str">
        <f t="shared" si="24"/>
        <v/>
      </c>
      <c r="N1522" s="287">
        <f>IF(C1522="Sale",SUMIFS($D$4:D1522,$B$4:B1522,B1522,$C$4:C1522,"")+SUMIFS($D$4:D1522,$B$4:B1522,B1522,$C$4:C1522,"Purch")-SUMIFS($D$4:D1522,$B$4:B1522,B1522,$C$4:C1522,"Sale"),0)</f>
        <v>0</v>
      </c>
    </row>
    <row r="1523" spans="1:14" x14ac:dyDescent="0.2">
      <c r="A1523" s="152"/>
      <c r="B1523" s="132"/>
      <c r="C1523" s="132"/>
      <c r="D1523" s="277"/>
      <c r="E1523" s="132"/>
      <c r="F1523" s="170"/>
      <c r="G1523" s="150"/>
      <c r="H1523" s="152"/>
      <c r="I1523" s="204"/>
      <c r="J1523" s="285"/>
      <c r="K1523" s="251"/>
      <c r="L1523" s="133" t="str">
        <f>IF(AND(I1523&lt;&gt;"",ISERROR(IF(ISERROR(VLOOKUP(I1523*1,Summary!$C$8:$C$153,1,0)),VLOOKUP(I1523,Summary!$C$8:$C$153,1,0),VLOOKUP(I1523*1,Summary!$C$8:$C$153,1,0)))),"Add account Number to Summary","")</f>
        <v/>
      </c>
      <c r="M1523" s="131" t="str">
        <f t="shared" si="24"/>
        <v/>
      </c>
      <c r="N1523" s="287">
        <f>IF(C1523="Sale",SUMIFS($D$4:D1523,$B$4:B1523,B1523,$C$4:C1523,"")+SUMIFS($D$4:D1523,$B$4:B1523,B1523,$C$4:C1523,"Purch")-SUMIFS($D$4:D1523,$B$4:B1523,B1523,$C$4:C1523,"Sale"),0)</f>
        <v>0</v>
      </c>
    </row>
    <row r="1524" spans="1:14" x14ac:dyDescent="0.2">
      <c r="A1524" s="152"/>
      <c r="B1524" s="132"/>
      <c r="C1524" s="132"/>
      <c r="D1524" s="277"/>
      <c r="E1524" s="132"/>
      <c r="F1524" s="170"/>
      <c r="G1524" s="150"/>
      <c r="H1524" s="152"/>
      <c r="I1524" s="204"/>
      <c r="J1524" s="285"/>
      <c r="K1524" s="251"/>
      <c r="L1524" s="133" t="str">
        <f>IF(AND(I1524&lt;&gt;"",ISERROR(IF(ISERROR(VLOOKUP(I1524*1,Summary!$C$8:$C$153,1,0)),VLOOKUP(I1524,Summary!$C$8:$C$153,1,0),VLOOKUP(I1524*1,Summary!$C$8:$C$153,1,0)))),"Add account Number to Summary","")</f>
        <v/>
      </c>
      <c r="M1524" s="131" t="str">
        <f t="shared" si="24"/>
        <v/>
      </c>
      <c r="N1524" s="287">
        <f>IF(C1524="Sale",SUMIFS($D$4:D1524,$B$4:B1524,B1524,$C$4:C1524,"")+SUMIFS($D$4:D1524,$B$4:B1524,B1524,$C$4:C1524,"Purch")-SUMIFS($D$4:D1524,$B$4:B1524,B1524,$C$4:C1524,"Sale"),0)</f>
        <v>0</v>
      </c>
    </row>
    <row r="1525" spans="1:14" x14ac:dyDescent="0.2">
      <c r="A1525" s="152"/>
      <c r="B1525" s="132"/>
      <c r="C1525" s="132"/>
      <c r="D1525" s="277"/>
      <c r="E1525" s="132"/>
      <c r="F1525" s="170"/>
      <c r="G1525" s="150"/>
      <c r="H1525" s="152"/>
      <c r="I1525" s="204"/>
      <c r="J1525" s="285"/>
      <c r="K1525" s="251"/>
      <c r="L1525" s="133" t="str">
        <f>IF(AND(I1525&lt;&gt;"",ISERROR(IF(ISERROR(VLOOKUP(I1525*1,Summary!$C$8:$C$153,1,0)),VLOOKUP(I1525,Summary!$C$8:$C$153,1,0),VLOOKUP(I1525*1,Summary!$C$8:$C$153,1,0)))),"Add account Number to Summary","")</f>
        <v/>
      </c>
      <c r="M1525" s="131" t="str">
        <f t="shared" si="24"/>
        <v/>
      </c>
      <c r="N1525" s="287">
        <f>IF(C1525="Sale",SUMIFS($D$4:D1525,$B$4:B1525,B1525,$C$4:C1525,"")+SUMIFS($D$4:D1525,$B$4:B1525,B1525,$C$4:C1525,"Purch")-SUMIFS($D$4:D1525,$B$4:B1525,B1525,$C$4:C1525,"Sale"),0)</f>
        <v>0</v>
      </c>
    </row>
    <row r="1526" spans="1:14" x14ac:dyDescent="0.2">
      <c r="A1526" s="152"/>
      <c r="B1526" s="132"/>
      <c r="C1526" s="132"/>
      <c r="D1526" s="277"/>
      <c r="E1526" s="132"/>
      <c r="F1526" s="170"/>
      <c r="G1526" s="150"/>
      <c r="H1526" s="152"/>
      <c r="I1526" s="204"/>
      <c r="J1526" s="285"/>
      <c r="K1526" s="251"/>
      <c r="L1526" s="133" t="str">
        <f>IF(AND(I1526&lt;&gt;"",ISERROR(IF(ISERROR(VLOOKUP(I1526*1,Summary!$C$8:$C$153,1,0)),VLOOKUP(I1526,Summary!$C$8:$C$153,1,0),VLOOKUP(I1526*1,Summary!$C$8:$C$153,1,0)))),"Add account Number to Summary","")</f>
        <v/>
      </c>
      <c r="M1526" s="131" t="str">
        <f t="shared" si="24"/>
        <v/>
      </c>
      <c r="N1526" s="287">
        <f>IF(C1526="Sale",SUMIFS($D$4:D1526,$B$4:B1526,B1526,$C$4:C1526,"")+SUMIFS($D$4:D1526,$B$4:B1526,B1526,$C$4:C1526,"Purch")-SUMIFS($D$4:D1526,$B$4:B1526,B1526,$C$4:C1526,"Sale"),0)</f>
        <v>0</v>
      </c>
    </row>
    <row r="1527" spans="1:14" x14ac:dyDescent="0.2">
      <c r="A1527" s="152"/>
      <c r="B1527" s="132"/>
      <c r="C1527" s="132"/>
      <c r="D1527" s="277"/>
      <c r="E1527" s="132"/>
      <c r="F1527" s="170"/>
      <c r="G1527" s="150"/>
      <c r="H1527" s="152"/>
      <c r="I1527" s="204"/>
      <c r="J1527" s="285"/>
      <c r="K1527" s="251"/>
      <c r="L1527" s="133" t="str">
        <f>IF(AND(I1527&lt;&gt;"",ISERROR(IF(ISERROR(VLOOKUP(I1527*1,Summary!$C$8:$C$153,1,0)),VLOOKUP(I1527,Summary!$C$8:$C$153,1,0),VLOOKUP(I1527*1,Summary!$C$8:$C$153,1,0)))),"Add account Number to Summary","")</f>
        <v/>
      </c>
      <c r="M1527" s="131" t="str">
        <f t="shared" si="24"/>
        <v/>
      </c>
      <c r="N1527" s="287">
        <f>IF(C1527="Sale",SUMIFS($D$4:D1527,$B$4:B1527,B1527,$C$4:C1527,"")+SUMIFS($D$4:D1527,$B$4:B1527,B1527,$C$4:C1527,"Purch")-SUMIFS($D$4:D1527,$B$4:B1527,B1527,$C$4:C1527,"Sale"),0)</f>
        <v>0</v>
      </c>
    </row>
    <row r="1528" spans="1:14" x14ac:dyDescent="0.2">
      <c r="A1528" s="152"/>
      <c r="B1528" s="132"/>
      <c r="C1528" s="132"/>
      <c r="D1528" s="277"/>
      <c r="E1528" s="132"/>
      <c r="F1528" s="170"/>
      <c r="G1528" s="150"/>
      <c r="H1528" s="152"/>
      <c r="I1528" s="204"/>
      <c r="J1528" s="285"/>
      <c r="K1528" s="251"/>
      <c r="L1528" s="133" t="str">
        <f>IF(AND(I1528&lt;&gt;"",ISERROR(IF(ISERROR(VLOOKUP(I1528*1,Summary!$C$8:$C$153,1,0)),VLOOKUP(I1528,Summary!$C$8:$C$153,1,0),VLOOKUP(I1528*1,Summary!$C$8:$C$153,1,0)))),"Add account Number to Summary","")</f>
        <v/>
      </c>
      <c r="M1528" s="131" t="str">
        <f t="shared" si="24"/>
        <v/>
      </c>
      <c r="N1528" s="287">
        <f>IF(C1528="Sale",SUMIFS($D$4:D1528,$B$4:B1528,B1528,$C$4:C1528,"")+SUMIFS($D$4:D1528,$B$4:B1528,B1528,$C$4:C1528,"Purch")-SUMIFS($D$4:D1528,$B$4:B1528,B1528,$C$4:C1528,"Sale"),0)</f>
        <v>0</v>
      </c>
    </row>
    <row r="1529" spans="1:14" x14ac:dyDescent="0.2">
      <c r="A1529" s="152"/>
      <c r="B1529" s="132"/>
      <c r="C1529" s="132"/>
      <c r="D1529" s="277"/>
      <c r="E1529" s="132"/>
      <c r="F1529" s="170"/>
      <c r="G1529" s="150"/>
      <c r="H1529" s="152"/>
      <c r="I1529" s="204"/>
      <c r="J1529" s="285"/>
      <c r="K1529" s="251"/>
      <c r="L1529" s="133" t="str">
        <f>IF(AND(I1529&lt;&gt;"",ISERROR(IF(ISERROR(VLOOKUP(I1529*1,Summary!$C$8:$C$153,1,0)),VLOOKUP(I1529,Summary!$C$8:$C$153,1,0),VLOOKUP(I1529*1,Summary!$C$8:$C$153,1,0)))),"Add account Number to Summary","")</f>
        <v/>
      </c>
      <c r="M1529" s="131" t="str">
        <f t="shared" si="24"/>
        <v/>
      </c>
      <c r="N1529" s="287">
        <f>IF(C1529="Sale",SUMIFS($D$4:D1529,$B$4:B1529,B1529,$C$4:C1529,"")+SUMIFS($D$4:D1529,$B$4:B1529,B1529,$C$4:C1529,"Purch")-SUMIFS($D$4:D1529,$B$4:B1529,B1529,$C$4:C1529,"Sale"),0)</f>
        <v>0</v>
      </c>
    </row>
    <row r="1530" spans="1:14" x14ac:dyDescent="0.2">
      <c r="A1530" s="152"/>
      <c r="B1530" s="132"/>
      <c r="C1530" s="132"/>
      <c r="D1530" s="277"/>
      <c r="E1530" s="132"/>
      <c r="F1530" s="170"/>
      <c r="G1530" s="150"/>
      <c r="H1530" s="152"/>
      <c r="I1530" s="204"/>
      <c r="J1530" s="285"/>
      <c r="K1530" s="251"/>
      <c r="L1530" s="133" t="str">
        <f>IF(AND(I1530&lt;&gt;"",ISERROR(IF(ISERROR(VLOOKUP(I1530*1,Summary!$C$8:$C$153,1,0)),VLOOKUP(I1530,Summary!$C$8:$C$153,1,0),VLOOKUP(I1530*1,Summary!$C$8:$C$153,1,0)))),"Add account Number to Summary","")</f>
        <v/>
      </c>
      <c r="M1530" s="131" t="str">
        <f t="shared" si="24"/>
        <v/>
      </c>
      <c r="N1530" s="287">
        <f>IF(C1530="Sale",SUMIFS($D$4:D1530,$B$4:B1530,B1530,$C$4:C1530,"")+SUMIFS($D$4:D1530,$B$4:B1530,B1530,$C$4:C1530,"Purch")-SUMIFS($D$4:D1530,$B$4:B1530,B1530,$C$4:C1530,"Sale"),0)</f>
        <v>0</v>
      </c>
    </row>
    <row r="1531" spans="1:14" x14ac:dyDescent="0.2">
      <c r="A1531" s="152"/>
      <c r="B1531" s="132"/>
      <c r="C1531" s="132"/>
      <c r="D1531" s="277"/>
      <c r="E1531" s="132"/>
      <c r="F1531" s="170"/>
      <c r="G1531" s="150"/>
      <c r="H1531" s="152"/>
      <c r="I1531" s="204"/>
      <c r="J1531" s="285"/>
      <c r="K1531" s="251"/>
      <c r="L1531" s="133" t="str">
        <f>IF(AND(I1531&lt;&gt;"",ISERROR(IF(ISERROR(VLOOKUP(I1531*1,Summary!$C$8:$C$153,1,0)),VLOOKUP(I1531,Summary!$C$8:$C$153,1,0),VLOOKUP(I1531*1,Summary!$C$8:$C$153,1,0)))),"Add account Number to Summary","")</f>
        <v/>
      </c>
      <c r="M1531" s="131" t="str">
        <f t="shared" si="24"/>
        <v/>
      </c>
      <c r="N1531" s="287">
        <f>IF(C1531="Sale",SUMIFS($D$4:D1531,$B$4:B1531,B1531,$C$4:C1531,"")+SUMIFS($D$4:D1531,$B$4:B1531,B1531,$C$4:C1531,"Purch")-SUMIFS($D$4:D1531,$B$4:B1531,B1531,$C$4:C1531,"Sale"),0)</f>
        <v>0</v>
      </c>
    </row>
    <row r="1532" spans="1:14" x14ac:dyDescent="0.2">
      <c r="A1532" s="152"/>
      <c r="B1532" s="132"/>
      <c r="C1532" s="132"/>
      <c r="D1532" s="277"/>
      <c r="E1532" s="132"/>
      <c r="F1532" s="170"/>
      <c r="G1532" s="150"/>
      <c r="H1532" s="152"/>
      <c r="I1532" s="204"/>
      <c r="J1532" s="285"/>
      <c r="K1532" s="251"/>
      <c r="L1532" s="133" t="str">
        <f>IF(AND(I1532&lt;&gt;"",ISERROR(IF(ISERROR(VLOOKUP(I1532*1,Summary!$C$8:$C$153,1,0)),VLOOKUP(I1532,Summary!$C$8:$C$153,1,0),VLOOKUP(I1532*1,Summary!$C$8:$C$153,1,0)))),"Add account Number to Summary","")</f>
        <v/>
      </c>
      <c r="M1532" s="131" t="str">
        <f t="shared" si="24"/>
        <v/>
      </c>
      <c r="N1532" s="287">
        <f>IF(C1532="Sale",SUMIFS($D$4:D1532,$B$4:B1532,B1532,$C$4:C1532,"")+SUMIFS($D$4:D1532,$B$4:B1532,B1532,$C$4:C1532,"Purch")-SUMIFS($D$4:D1532,$B$4:B1532,B1532,$C$4:C1532,"Sale"),0)</f>
        <v>0</v>
      </c>
    </row>
    <row r="1533" spans="1:14" x14ac:dyDescent="0.2">
      <c r="A1533" s="152"/>
      <c r="B1533" s="132"/>
      <c r="C1533" s="132"/>
      <c r="D1533" s="277"/>
      <c r="E1533" s="132"/>
      <c r="F1533" s="170"/>
      <c r="G1533" s="150"/>
      <c r="H1533" s="152"/>
      <c r="I1533" s="204"/>
      <c r="J1533" s="285"/>
      <c r="K1533" s="251"/>
      <c r="L1533" s="133" t="str">
        <f>IF(AND(I1533&lt;&gt;"",ISERROR(IF(ISERROR(VLOOKUP(I1533*1,Summary!$C$8:$C$153,1,0)),VLOOKUP(I1533,Summary!$C$8:$C$153,1,0),VLOOKUP(I1533*1,Summary!$C$8:$C$153,1,0)))),"Add account Number to Summary","")</f>
        <v/>
      </c>
      <c r="M1533" s="131" t="str">
        <f t="shared" si="24"/>
        <v/>
      </c>
      <c r="N1533" s="287">
        <f>IF(C1533="Sale",SUMIFS($D$4:D1533,$B$4:B1533,B1533,$C$4:C1533,"")+SUMIFS($D$4:D1533,$B$4:B1533,B1533,$C$4:C1533,"Purch")-SUMIFS($D$4:D1533,$B$4:B1533,B1533,$C$4:C1533,"Sale"),0)</f>
        <v>0</v>
      </c>
    </row>
    <row r="1534" spans="1:14" x14ac:dyDescent="0.2">
      <c r="A1534" s="152"/>
      <c r="B1534" s="132"/>
      <c r="C1534" s="132"/>
      <c r="D1534" s="277"/>
      <c r="E1534" s="132"/>
      <c r="F1534" s="170"/>
      <c r="G1534" s="150"/>
      <c r="H1534" s="152"/>
      <c r="I1534" s="204"/>
      <c r="J1534" s="285"/>
      <c r="K1534" s="251"/>
      <c r="L1534" s="133" t="str">
        <f>IF(AND(I1534&lt;&gt;"",ISERROR(IF(ISERROR(VLOOKUP(I1534*1,Summary!$C$8:$C$153,1,0)),VLOOKUP(I1534,Summary!$C$8:$C$153,1,0),VLOOKUP(I1534*1,Summary!$C$8:$C$153,1,0)))),"Add account Number to Summary","")</f>
        <v/>
      </c>
      <c r="M1534" s="131" t="str">
        <f t="shared" si="24"/>
        <v/>
      </c>
      <c r="N1534" s="287">
        <f>IF(C1534="Sale",SUMIFS($D$4:D1534,$B$4:B1534,B1534,$C$4:C1534,"")+SUMIFS($D$4:D1534,$B$4:B1534,B1534,$C$4:C1534,"Purch")-SUMIFS($D$4:D1534,$B$4:B1534,B1534,$C$4:C1534,"Sale"),0)</f>
        <v>0</v>
      </c>
    </row>
    <row r="1535" spans="1:14" x14ac:dyDescent="0.2">
      <c r="A1535" s="152"/>
      <c r="B1535" s="132"/>
      <c r="C1535" s="132"/>
      <c r="D1535" s="277"/>
      <c r="E1535" s="132"/>
      <c r="F1535" s="170"/>
      <c r="G1535" s="150"/>
      <c r="H1535" s="152"/>
      <c r="I1535" s="204"/>
      <c r="J1535" s="285"/>
      <c r="K1535" s="251"/>
      <c r="L1535" s="133" t="str">
        <f>IF(AND(I1535&lt;&gt;"",ISERROR(IF(ISERROR(VLOOKUP(I1535*1,Summary!$C$8:$C$153,1,0)),VLOOKUP(I1535,Summary!$C$8:$C$153,1,0),VLOOKUP(I1535*1,Summary!$C$8:$C$153,1,0)))),"Add account Number to Summary","")</f>
        <v/>
      </c>
      <c r="M1535" s="131" t="str">
        <f t="shared" si="24"/>
        <v/>
      </c>
      <c r="N1535" s="287">
        <f>IF(C1535="Sale",SUMIFS($D$4:D1535,$B$4:B1535,B1535,$C$4:C1535,"")+SUMIFS($D$4:D1535,$B$4:B1535,B1535,$C$4:C1535,"Purch")-SUMIFS($D$4:D1535,$B$4:B1535,B1535,$C$4:C1535,"Sale"),0)</f>
        <v>0</v>
      </c>
    </row>
    <row r="1536" spans="1:14" x14ac:dyDescent="0.2">
      <c r="A1536" s="152"/>
      <c r="B1536" s="132"/>
      <c r="C1536" s="132"/>
      <c r="D1536" s="277"/>
      <c r="E1536" s="132"/>
      <c r="F1536" s="170"/>
      <c r="G1536" s="150"/>
      <c r="H1536" s="152"/>
      <c r="I1536" s="204"/>
      <c r="J1536" s="285"/>
      <c r="K1536" s="251"/>
      <c r="L1536" s="133" t="str">
        <f>IF(AND(I1536&lt;&gt;"",ISERROR(IF(ISERROR(VLOOKUP(I1536*1,Summary!$C$8:$C$153,1,0)),VLOOKUP(I1536,Summary!$C$8:$C$153,1,0),VLOOKUP(I1536*1,Summary!$C$8:$C$153,1,0)))),"Add account Number to Summary","")</f>
        <v/>
      </c>
      <c r="M1536" s="131" t="str">
        <f t="shared" si="24"/>
        <v/>
      </c>
      <c r="N1536" s="287">
        <f>IF(C1536="Sale",SUMIFS($D$4:D1536,$B$4:B1536,B1536,$C$4:C1536,"")+SUMIFS($D$4:D1536,$B$4:B1536,B1536,$C$4:C1536,"Purch")-SUMIFS($D$4:D1536,$B$4:B1536,B1536,$C$4:C1536,"Sale"),0)</f>
        <v>0</v>
      </c>
    </row>
    <row r="1537" spans="1:14" x14ac:dyDescent="0.2">
      <c r="A1537" s="152"/>
      <c r="B1537" s="132"/>
      <c r="C1537" s="132"/>
      <c r="D1537" s="277"/>
      <c r="E1537" s="132"/>
      <c r="F1537" s="170"/>
      <c r="G1537" s="150"/>
      <c r="H1537" s="152"/>
      <c r="I1537" s="204"/>
      <c r="J1537" s="285"/>
      <c r="K1537" s="251"/>
      <c r="L1537" s="133" t="str">
        <f>IF(AND(I1537&lt;&gt;"",ISERROR(IF(ISERROR(VLOOKUP(I1537*1,Summary!$C$8:$C$153,1,0)),VLOOKUP(I1537,Summary!$C$8:$C$153,1,0),VLOOKUP(I1537*1,Summary!$C$8:$C$153,1,0)))),"Add account Number to Summary","")</f>
        <v/>
      </c>
      <c r="M1537" s="131" t="str">
        <f t="shared" si="24"/>
        <v/>
      </c>
      <c r="N1537" s="287">
        <f>IF(C1537="Sale",SUMIFS($D$4:D1537,$B$4:B1537,B1537,$C$4:C1537,"")+SUMIFS($D$4:D1537,$B$4:B1537,B1537,$C$4:C1537,"Purch")-SUMIFS($D$4:D1537,$B$4:B1537,B1537,$C$4:C1537,"Sale"),0)</f>
        <v>0</v>
      </c>
    </row>
    <row r="1538" spans="1:14" x14ac:dyDescent="0.2">
      <c r="A1538" s="152"/>
      <c r="B1538" s="132"/>
      <c r="C1538" s="132"/>
      <c r="D1538" s="277"/>
      <c r="E1538" s="132"/>
      <c r="F1538" s="170"/>
      <c r="G1538" s="150"/>
      <c r="H1538" s="152"/>
      <c r="I1538" s="204"/>
      <c r="J1538" s="285"/>
      <c r="K1538" s="251"/>
      <c r="L1538" s="133" t="str">
        <f>IF(AND(I1538&lt;&gt;"",ISERROR(IF(ISERROR(VLOOKUP(I1538*1,Summary!$C$8:$C$153,1,0)),VLOOKUP(I1538,Summary!$C$8:$C$153,1,0),VLOOKUP(I1538*1,Summary!$C$8:$C$153,1,0)))),"Add account Number to Summary","")</f>
        <v/>
      </c>
      <c r="M1538" s="131" t="str">
        <f t="shared" si="24"/>
        <v/>
      </c>
      <c r="N1538" s="287">
        <f>IF(C1538="Sale",SUMIFS($D$4:D1538,$B$4:B1538,B1538,$C$4:C1538,"")+SUMIFS($D$4:D1538,$B$4:B1538,B1538,$C$4:C1538,"Purch")-SUMIFS($D$4:D1538,$B$4:B1538,B1538,$C$4:C1538,"Sale"),0)</f>
        <v>0</v>
      </c>
    </row>
    <row r="1539" spans="1:14" x14ac:dyDescent="0.2">
      <c r="A1539" s="152"/>
      <c r="B1539" s="132"/>
      <c r="C1539" s="132"/>
      <c r="D1539" s="277"/>
      <c r="E1539" s="132"/>
      <c r="F1539" s="170"/>
      <c r="G1539" s="150"/>
      <c r="H1539" s="152"/>
      <c r="I1539" s="204"/>
      <c r="J1539" s="285"/>
      <c r="K1539" s="251"/>
      <c r="L1539" s="133" t="str">
        <f>IF(AND(I1539&lt;&gt;"",ISERROR(IF(ISERROR(VLOOKUP(I1539*1,Summary!$C$8:$C$153,1,0)),VLOOKUP(I1539,Summary!$C$8:$C$153,1,0),VLOOKUP(I1539*1,Summary!$C$8:$C$153,1,0)))),"Add account Number to Summary","")</f>
        <v/>
      </c>
      <c r="M1539" s="131" t="str">
        <f t="shared" si="24"/>
        <v/>
      </c>
      <c r="N1539" s="287">
        <f>IF(C1539="Sale",SUMIFS($D$4:D1539,$B$4:B1539,B1539,$C$4:C1539,"")+SUMIFS($D$4:D1539,$B$4:B1539,B1539,$C$4:C1539,"Purch")-SUMIFS($D$4:D1539,$B$4:B1539,B1539,$C$4:C1539,"Sale"),0)</f>
        <v>0</v>
      </c>
    </row>
    <row r="1540" spans="1:14" x14ac:dyDescent="0.2">
      <c r="A1540" s="152"/>
      <c r="B1540" s="132"/>
      <c r="C1540" s="132"/>
      <c r="D1540" s="277"/>
      <c r="E1540" s="132"/>
      <c r="F1540" s="170"/>
      <c r="G1540" s="150"/>
      <c r="H1540" s="152"/>
      <c r="I1540" s="204"/>
      <c r="J1540" s="285"/>
      <c r="K1540" s="251"/>
      <c r="L1540" s="133" t="str">
        <f>IF(AND(I1540&lt;&gt;"",ISERROR(IF(ISERROR(VLOOKUP(I1540*1,Summary!$C$8:$C$153,1,0)),VLOOKUP(I1540,Summary!$C$8:$C$153,1,0),VLOOKUP(I1540*1,Summary!$C$8:$C$153,1,0)))),"Add account Number to Summary","")</f>
        <v/>
      </c>
      <c r="M1540" s="131" t="str">
        <f t="shared" si="24"/>
        <v/>
      </c>
      <c r="N1540" s="287">
        <f>IF(C1540="Sale",SUMIFS($D$4:D1540,$B$4:B1540,B1540,$C$4:C1540,"")+SUMIFS($D$4:D1540,$B$4:B1540,B1540,$C$4:C1540,"Purch")-SUMIFS($D$4:D1540,$B$4:B1540,B1540,$C$4:C1540,"Sale"),0)</f>
        <v>0</v>
      </c>
    </row>
    <row r="1541" spans="1:14" x14ac:dyDescent="0.2">
      <c r="A1541" s="152"/>
      <c r="B1541" s="132"/>
      <c r="C1541" s="132"/>
      <c r="D1541" s="277"/>
      <c r="E1541" s="132"/>
      <c r="F1541" s="170"/>
      <c r="G1541" s="150"/>
      <c r="H1541" s="152"/>
      <c r="I1541" s="204"/>
      <c r="J1541" s="285"/>
      <c r="K1541" s="251"/>
      <c r="L1541" s="133" t="str">
        <f>IF(AND(I1541&lt;&gt;"",ISERROR(IF(ISERROR(VLOOKUP(I1541*1,Summary!$C$8:$C$153,1,0)),VLOOKUP(I1541,Summary!$C$8:$C$153,1,0),VLOOKUP(I1541*1,Summary!$C$8:$C$153,1,0)))),"Add account Number to Summary","")</f>
        <v/>
      </c>
      <c r="M1541" s="131" t="str">
        <f t="shared" si="24"/>
        <v/>
      </c>
      <c r="N1541" s="287">
        <f>IF(C1541="Sale",SUMIFS($D$4:D1541,$B$4:B1541,B1541,$C$4:C1541,"")+SUMIFS($D$4:D1541,$B$4:B1541,B1541,$C$4:C1541,"Purch")-SUMIFS($D$4:D1541,$B$4:B1541,B1541,$C$4:C1541,"Sale"),0)</f>
        <v>0</v>
      </c>
    </row>
    <row r="1542" spans="1:14" x14ac:dyDescent="0.2">
      <c r="A1542" s="152"/>
      <c r="B1542" s="132"/>
      <c r="C1542" s="132"/>
      <c r="D1542" s="277"/>
      <c r="E1542" s="132"/>
      <c r="F1542" s="170"/>
      <c r="G1542" s="150"/>
      <c r="H1542" s="152"/>
      <c r="I1542" s="204"/>
      <c r="J1542" s="285"/>
      <c r="K1542" s="251"/>
      <c r="L1542" s="133" t="str">
        <f>IF(AND(I1542&lt;&gt;"",ISERROR(IF(ISERROR(VLOOKUP(I1542*1,Summary!$C$8:$C$153,1,0)),VLOOKUP(I1542,Summary!$C$8:$C$153,1,0),VLOOKUP(I1542*1,Summary!$C$8:$C$153,1,0)))),"Add account Number to Summary","")</f>
        <v/>
      </c>
      <c r="M1542" s="131" t="str">
        <f t="shared" si="24"/>
        <v/>
      </c>
      <c r="N1542" s="287">
        <f>IF(C1542="Sale",SUMIFS($D$4:D1542,$B$4:B1542,B1542,$C$4:C1542,"")+SUMIFS($D$4:D1542,$B$4:B1542,B1542,$C$4:C1542,"Purch")-SUMIFS($D$4:D1542,$B$4:B1542,B1542,$C$4:C1542,"Sale"),0)</f>
        <v>0</v>
      </c>
    </row>
    <row r="1543" spans="1:14" x14ac:dyDescent="0.2">
      <c r="A1543" s="152"/>
      <c r="B1543" s="132"/>
      <c r="C1543" s="132"/>
      <c r="D1543" s="277"/>
      <c r="E1543" s="132"/>
      <c r="F1543" s="170"/>
      <c r="G1543" s="150"/>
      <c r="H1543" s="152"/>
      <c r="I1543" s="204"/>
      <c r="J1543" s="285"/>
      <c r="K1543" s="251"/>
      <c r="L1543" s="133" t="str">
        <f>IF(AND(I1543&lt;&gt;"",ISERROR(IF(ISERROR(VLOOKUP(I1543*1,Summary!$C$8:$C$153,1,0)),VLOOKUP(I1543,Summary!$C$8:$C$153,1,0),VLOOKUP(I1543*1,Summary!$C$8:$C$153,1,0)))),"Add account Number to Summary","")</f>
        <v/>
      </c>
      <c r="M1543" s="131" t="str">
        <f t="shared" si="24"/>
        <v/>
      </c>
      <c r="N1543" s="287">
        <f>IF(C1543="Sale",SUMIFS($D$4:D1543,$B$4:B1543,B1543,$C$4:C1543,"")+SUMIFS($D$4:D1543,$B$4:B1543,B1543,$C$4:C1543,"Purch")-SUMIFS($D$4:D1543,$B$4:B1543,B1543,$C$4:C1543,"Sale"),0)</f>
        <v>0</v>
      </c>
    </row>
    <row r="1544" spans="1:14" x14ac:dyDescent="0.2">
      <c r="A1544" s="152"/>
      <c r="B1544" s="132"/>
      <c r="C1544" s="132"/>
      <c r="D1544" s="277"/>
      <c r="E1544" s="132"/>
      <c r="F1544" s="170"/>
      <c r="G1544" s="150"/>
      <c r="H1544" s="152"/>
      <c r="I1544" s="204"/>
      <c r="J1544" s="285"/>
      <c r="K1544" s="251"/>
      <c r="L1544" s="133" t="str">
        <f>IF(AND(I1544&lt;&gt;"",ISERROR(IF(ISERROR(VLOOKUP(I1544*1,Summary!$C$8:$C$153,1,0)),VLOOKUP(I1544,Summary!$C$8:$C$153,1,0),VLOOKUP(I1544*1,Summary!$C$8:$C$153,1,0)))),"Add account Number to Summary","")</f>
        <v/>
      </c>
      <c r="M1544" s="131" t="str">
        <f t="shared" si="24"/>
        <v/>
      </c>
      <c r="N1544" s="287">
        <f>IF(C1544="Sale",SUMIFS($D$4:D1544,$B$4:B1544,B1544,$C$4:C1544,"")+SUMIFS($D$4:D1544,$B$4:B1544,B1544,$C$4:C1544,"Purch")-SUMIFS($D$4:D1544,$B$4:B1544,B1544,$C$4:C1544,"Sale"),0)</f>
        <v>0</v>
      </c>
    </row>
    <row r="1545" spans="1:14" x14ac:dyDescent="0.2">
      <c r="A1545" s="152"/>
      <c r="B1545" s="132"/>
      <c r="C1545" s="132"/>
      <c r="D1545" s="277"/>
      <c r="E1545" s="132"/>
      <c r="F1545" s="170"/>
      <c r="G1545" s="150"/>
      <c r="H1545" s="152"/>
      <c r="I1545" s="204"/>
      <c r="J1545" s="285"/>
      <c r="K1545" s="251"/>
      <c r="L1545" s="133" t="str">
        <f>IF(AND(I1545&lt;&gt;"",ISERROR(IF(ISERROR(VLOOKUP(I1545*1,Summary!$C$8:$C$153,1,0)),VLOOKUP(I1545,Summary!$C$8:$C$153,1,0),VLOOKUP(I1545*1,Summary!$C$8:$C$153,1,0)))),"Add account Number to Summary","")</f>
        <v/>
      </c>
      <c r="M1545" s="131" t="str">
        <f t="shared" si="24"/>
        <v/>
      </c>
      <c r="N1545" s="287">
        <f>IF(C1545="Sale",SUMIFS($D$4:D1545,$B$4:B1545,B1545,$C$4:C1545,"")+SUMIFS($D$4:D1545,$B$4:B1545,B1545,$C$4:C1545,"Purch")-SUMIFS($D$4:D1545,$B$4:B1545,B1545,$C$4:C1545,"Sale"),0)</f>
        <v>0</v>
      </c>
    </row>
    <row r="1546" spans="1:14" x14ac:dyDescent="0.2">
      <c r="A1546" s="152"/>
      <c r="B1546" s="132"/>
      <c r="C1546" s="132"/>
      <c r="D1546" s="277"/>
      <c r="E1546" s="132"/>
      <c r="F1546" s="170"/>
      <c r="G1546" s="150"/>
      <c r="H1546" s="152"/>
      <c r="I1546" s="204"/>
      <c r="J1546" s="285"/>
      <c r="K1546" s="251"/>
      <c r="L1546" s="133" t="str">
        <f>IF(AND(I1546&lt;&gt;"",ISERROR(IF(ISERROR(VLOOKUP(I1546*1,Summary!$C$8:$C$153,1,0)),VLOOKUP(I1546,Summary!$C$8:$C$153,1,0),VLOOKUP(I1546*1,Summary!$C$8:$C$153,1,0)))),"Add account Number to Summary","")</f>
        <v/>
      </c>
      <c r="M1546" s="131" t="str">
        <f t="shared" si="24"/>
        <v/>
      </c>
      <c r="N1546" s="287">
        <f>IF(C1546="Sale",SUMIFS($D$4:D1546,$B$4:B1546,B1546,$C$4:C1546,"")+SUMIFS($D$4:D1546,$B$4:B1546,B1546,$C$4:C1546,"Purch")-SUMIFS($D$4:D1546,$B$4:B1546,B1546,$C$4:C1546,"Sale"),0)</f>
        <v>0</v>
      </c>
    </row>
    <row r="1547" spans="1:14" x14ac:dyDescent="0.2">
      <c r="A1547" s="152"/>
      <c r="B1547" s="132"/>
      <c r="C1547" s="132"/>
      <c r="D1547" s="277"/>
      <c r="E1547" s="132"/>
      <c r="F1547" s="170"/>
      <c r="G1547" s="150"/>
      <c r="H1547" s="152"/>
      <c r="I1547" s="204"/>
      <c r="J1547" s="285"/>
      <c r="K1547" s="251"/>
      <c r="L1547" s="133" t="str">
        <f>IF(AND(I1547&lt;&gt;"",ISERROR(IF(ISERROR(VLOOKUP(I1547*1,Summary!$C$8:$C$153,1,0)),VLOOKUP(I1547,Summary!$C$8:$C$153,1,0),VLOOKUP(I1547*1,Summary!$C$8:$C$153,1,0)))),"Add account Number to Summary","")</f>
        <v/>
      </c>
      <c r="M1547" s="131" t="str">
        <f t="shared" si="24"/>
        <v/>
      </c>
      <c r="N1547" s="287">
        <f>IF(C1547="Sale",SUMIFS($D$4:D1547,$B$4:B1547,B1547,$C$4:C1547,"")+SUMIFS($D$4:D1547,$B$4:B1547,B1547,$C$4:C1547,"Purch")-SUMIFS($D$4:D1547,$B$4:B1547,B1547,$C$4:C1547,"Sale"),0)</f>
        <v>0</v>
      </c>
    </row>
    <row r="1548" spans="1:14" x14ac:dyDescent="0.2">
      <c r="A1548" s="152"/>
      <c r="B1548" s="132"/>
      <c r="C1548" s="132"/>
      <c r="D1548" s="277"/>
      <c r="E1548" s="132"/>
      <c r="F1548" s="170"/>
      <c r="G1548" s="150"/>
      <c r="H1548" s="152"/>
      <c r="I1548" s="204"/>
      <c r="J1548" s="285"/>
      <c r="K1548" s="251"/>
      <c r="L1548" s="133" t="str">
        <f>IF(AND(I1548&lt;&gt;"",ISERROR(IF(ISERROR(VLOOKUP(I1548*1,Summary!$C$8:$C$153,1,0)),VLOOKUP(I1548,Summary!$C$8:$C$153,1,0),VLOOKUP(I1548*1,Summary!$C$8:$C$153,1,0)))),"Add account Number to Summary","")</f>
        <v/>
      </c>
      <c r="M1548" s="131" t="str">
        <f t="shared" si="24"/>
        <v/>
      </c>
      <c r="N1548" s="287">
        <f>IF(C1548="Sale",SUMIFS($D$4:D1548,$B$4:B1548,B1548,$C$4:C1548,"")+SUMIFS($D$4:D1548,$B$4:B1548,B1548,$C$4:C1548,"Purch")-SUMIFS($D$4:D1548,$B$4:B1548,B1548,$C$4:C1548,"Sale"),0)</f>
        <v>0</v>
      </c>
    </row>
    <row r="1549" spans="1:14" x14ac:dyDescent="0.2">
      <c r="A1549" s="152"/>
      <c r="B1549" s="132"/>
      <c r="C1549" s="132"/>
      <c r="D1549" s="277"/>
      <c r="E1549" s="132"/>
      <c r="F1549" s="170"/>
      <c r="G1549" s="150"/>
      <c r="H1549" s="152"/>
      <c r="I1549" s="204"/>
      <c r="J1549" s="285"/>
      <c r="K1549" s="251"/>
      <c r="L1549" s="133" t="str">
        <f>IF(AND(I1549&lt;&gt;"",ISERROR(IF(ISERROR(VLOOKUP(I1549*1,Summary!$C$8:$C$153,1,0)),VLOOKUP(I1549,Summary!$C$8:$C$153,1,0),VLOOKUP(I1549*1,Summary!$C$8:$C$153,1,0)))),"Add account Number to Summary","")</f>
        <v/>
      </c>
      <c r="M1549" s="131" t="str">
        <f t="shared" si="24"/>
        <v/>
      </c>
      <c r="N1549" s="287">
        <f>IF(C1549="Sale",SUMIFS($D$4:D1549,$B$4:B1549,B1549,$C$4:C1549,"")+SUMIFS($D$4:D1549,$B$4:B1549,B1549,$C$4:C1549,"Purch")-SUMIFS($D$4:D1549,$B$4:B1549,B1549,$C$4:C1549,"Sale"),0)</f>
        <v>0</v>
      </c>
    </row>
    <row r="1550" spans="1:14" x14ac:dyDescent="0.2">
      <c r="A1550" s="152"/>
      <c r="B1550" s="132"/>
      <c r="C1550" s="132"/>
      <c r="D1550" s="277"/>
      <c r="E1550" s="132"/>
      <c r="F1550" s="170"/>
      <c r="G1550" s="150"/>
      <c r="H1550" s="152"/>
      <c r="I1550" s="204"/>
      <c r="J1550" s="285"/>
      <c r="K1550" s="251"/>
      <c r="L1550" s="133" t="str">
        <f>IF(AND(I1550&lt;&gt;"",ISERROR(IF(ISERROR(VLOOKUP(I1550*1,Summary!$C$8:$C$153,1,0)),VLOOKUP(I1550,Summary!$C$8:$C$153,1,0),VLOOKUP(I1550*1,Summary!$C$8:$C$153,1,0)))),"Add account Number to Summary","")</f>
        <v/>
      </c>
      <c r="M1550" s="131" t="str">
        <f t="shared" si="24"/>
        <v/>
      </c>
      <c r="N1550" s="287">
        <f>IF(C1550="Sale",SUMIFS($D$4:D1550,$B$4:B1550,B1550,$C$4:C1550,"")+SUMIFS($D$4:D1550,$B$4:B1550,B1550,$C$4:C1550,"Purch")-SUMIFS($D$4:D1550,$B$4:B1550,B1550,$C$4:C1550,"Sale"),0)</f>
        <v>0</v>
      </c>
    </row>
    <row r="1551" spans="1:14" x14ac:dyDescent="0.2">
      <c r="A1551" s="152"/>
      <c r="B1551" s="132"/>
      <c r="C1551" s="132"/>
      <c r="D1551" s="277"/>
      <c r="E1551" s="132"/>
      <c r="F1551" s="170"/>
      <c r="G1551" s="150"/>
      <c r="H1551" s="152"/>
      <c r="I1551" s="204"/>
      <c r="J1551" s="285"/>
      <c r="K1551" s="251"/>
      <c r="L1551" s="133" t="str">
        <f>IF(AND(I1551&lt;&gt;"",ISERROR(IF(ISERROR(VLOOKUP(I1551*1,Summary!$C$8:$C$153,1,0)),VLOOKUP(I1551,Summary!$C$8:$C$153,1,0),VLOOKUP(I1551*1,Summary!$C$8:$C$153,1,0)))),"Add account Number to Summary","")</f>
        <v/>
      </c>
      <c r="M1551" s="131" t="str">
        <f t="shared" si="24"/>
        <v/>
      </c>
      <c r="N1551" s="287">
        <f>IF(C1551="Sale",SUMIFS($D$4:D1551,$B$4:B1551,B1551,$C$4:C1551,"")+SUMIFS($D$4:D1551,$B$4:B1551,B1551,$C$4:C1551,"Purch")-SUMIFS($D$4:D1551,$B$4:B1551,B1551,$C$4:C1551,"Sale"),0)</f>
        <v>0</v>
      </c>
    </row>
    <row r="1552" spans="1:14" x14ac:dyDescent="0.2">
      <c r="A1552" s="152"/>
      <c r="B1552" s="132"/>
      <c r="C1552" s="132"/>
      <c r="D1552" s="277"/>
      <c r="E1552" s="132"/>
      <c r="F1552" s="170"/>
      <c r="G1552" s="150"/>
      <c r="H1552" s="152"/>
      <c r="I1552" s="204"/>
      <c r="J1552" s="285"/>
      <c r="K1552" s="251"/>
      <c r="L1552" s="133" t="str">
        <f>IF(AND(I1552&lt;&gt;"",ISERROR(IF(ISERROR(VLOOKUP(I1552*1,Summary!$C$8:$C$153,1,0)),VLOOKUP(I1552,Summary!$C$8:$C$153,1,0),VLOOKUP(I1552*1,Summary!$C$8:$C$153,1,0)))),"Add account Number to Summary","")</f>
        <v/>
      </c>
      <c r="M1552" s="131" t="str">
        <f t="shared" si="24"/>
        <v/>
      </c>
      <c r="N1552" s="287">
        <f>IF(C1552="Sale",SUMIFS($D$4:D1552,$B$4:B1552,B1552,$C$4:C1552,"")+SUMIFS($D$4:D1552,$B$4:B1552,B1552,$C$4:C1552,"Purch")-SUMIFS($D$4:D1552,$B$4:B1552,B1552,$C$4:C1552,"Sale"),0)</f>
        <v>0</v>
      </c>
    </row>
    <row r="1553" spans="1:14" x14ac:dyDescent="0.2">
      <c r="A1553" s="152"/>
      <c r="B1553" s="132"/>
      <c r="C1553" s="132"/>
      <c r="D1553" s="277"/>
      <c r="E1553" s="132"/>
      <c r="F1553" s="170"/>
      <c r="G1553" s="150"/>
      <c r="H1553" s="152"/>
      <c r="I1553" s="204"/>
      <c r="J1553" s="285"/>
      <c r="K1553" s="251"/>
      <c r="L1553" s="133" t="str">
        <f>IF(AND(I1553&lt;&gt;"",ISERROR(IF(ISERROR(VLOOKUP(I1553*1,Summary!$C$8:$C$153,1,0)),VLOOKUP(I1553,Summary!$C$8:$C$153,1,0),VLOOKUP(I1553*1,Summary!$C$8:$C$153,1,0)))),"Add account Number to Summary","")</f>
        <v/>
      </c>
      <c r="M1553" s="131" t="str">
        <f t="shared" si="24"/>
        <v/>
      </c>
      <c r="N1553" s="287">
        <f>IF(C1553="Sale",SUMIFS($D$4:D1553,$B$4:B1553,B1553,$C$4:C1553,"")+SUMIFS($D$4:D1553,$B$4:B1553,B1553,$C$4:C1553,"Purch")-SUMIFS($D$4:D1553,$B$4:B1553,B1553,$C$4:C1553,"Sale"),0)</f>
        <v>0</v>
      </c>
    </row>
    <row r="1554" spans="1:14" x14ac:dyDescent="0.2">
      <c r="A1554" s="152"/>
      <c r="B1554" s="132"/>
      <c r="C1554" s="132"/>
      <c r="D1554" s="277"/>
      <c r="E1554" s="132"/>
      <c r="F1554" s="170"/>
      <c r="G1554" s="150"/>
      <c r="H1554" s="152"/>
      <c r="I1554" s="204"/>
      <c r="J1554" s="285"/>
      <c r="K1554" s="251"/>
      <c r="L1554" s="133" t="str">
        <f>IF(AND(I1554&lt;&gt;"",ISERROR(IF(ISERROR(VLOOKUP(I1554*1,Summary!$C$8:$C$153,1,0)),VLOOKUP(I1554,Summary!$C$8:$C$153,1,0),VLOOKUP(I1554*1,Summary!$C$8:$C$153,1,0)))),"Add account Number to Summary","")</f>
        <v/>
      </c>
      <c r="M1554" s="131" t="str">
        <f t="shared" si="24"/>
        <v/>
      </c>
      <c r="N1554" s="287">
        <f>IF(C1554="Sale",SUMIFS($D$4:D1554,$B$4:B1554,B1554,$C$4:C1554,"")+SUMIFS($D$4:D1554,$B$4:B1554,B1554,$C$4:C1554,"Purch")-SUMIFS($D$4:D1554,$B$4:B1554,B1554,$C$4:C1554,"Sale"),0)</f>
        <v>0</v>
      </c>
    </row>
    <row r="1555" spans="1:14" x14ac:dyDescent="0.2">
      <c r="A1555" s="152"/>
      <c r="B1555" s="132"/>
      <c r="C1555" s="132"/>
      <c r="D1555" s="277"/>
      <c r="E1555" s="132"/>
      <c r="F1555" s="170"/>
      <c r="G1555" s="150"/>
      <c r="H1555" s="152"/>
      <c r="I1555" s="204"/>
      <c r="J1555" s="285"/>
      <c r="K1555" s="251"/>
      <c r="L1555" s="133" t="str">
        <f>IF(AND(I1555&lt;&gt;"",ISERROR(IF(ISERROR(VLOOKUP(I1555*1,Summary!$C$8:$C$153,1,0)),VLOOKUP(I1555,Summary!$C$8:$C$153,1,0),VLOOKUP(I1555*1,Summary!$C$8:$C$153,1,0)))),"Add account Number to Summary","")</f>
        <v/>
      </c>
      <c r="M1555" s="131" t="str">
        <f t="shared" si="24"/>
        <v/>
      </c>
      <c r="N1555" s="287">
        <f>IF(C1555="Sale",SUMIFS($D$4:D1555,$B$4:B1555,B1555,$C$4:C1555,"")+SUMIFS($D$4:D1555,$B$4:B1555,B1555,$C$4:C1555,"Purch")-SUMIFS($D$4:D1555,$B$4:B1555,B1555,$C$4:C1555,"Sale"),0)</f>
        <v>0</v>
      </c>
    </row>
    <row r="1556" spans="1:14" x14ac:dyDescent="0.2">
      <c r="A1556" s="152"/>
      <c r="B1556" s="132"/>
      <c r="C1556" s="132"/>
      <c r="D1556" s="277"/>
      <c r="E1556" s="132"/>
      <c r="F1556" s="170"/>
      <c r="G1556" s="150"/>
      <c r="H1556" s="152"/>
      <c r="I1556" s="204"/>
      <c r="J1556" s="285"/>
      <c r="K1556" s="251"/>
      <c r="L1556" s="133" t="str">
        <f>IF(AND(I1556&lt;&gt;"",ISERROR(IF(ISERROR(VLOOKUP(I1556*1,Summary!$C$8:$C$153,1,0)),VLOOKUP(I1556,Summary!$C$8:$C$153,1,0),VLOOKUP(I1556*1,Summary!$C$8:$C$153,1,0)))),"Add account Number to Summary","")</f>
        <v/>
      </c>
      <c r="M1556" s="131" t="str">
        <f t="shared" si="24"/>
        <v/>
      </c>
      <c r="N1556" s="287">
        <f>IF(C1556="Sale",SUMIFS($D$4:D1556,$B$4:B1556,B1556,$C$4:C1556,"")+SUMIFS($D$4:D1556,$B$4:B1556,B1556,$C$4:C1556,"Purch")-SUMIFS($D$4:D1556,$B$4:B1556,B1556,$C$4:C1556,"Sale"),0)</f>
        <v>0</v>
      </c>
    </row>
    <row r="1557" spans="1:14" x14ac:dyDescent="0.2">
      <c r="A1557" s="152"/>
      <c r="B1557" s="132"/>
      <c r="C1557" s="132"/>
      <c r="D1557" s="277"/>
      <c r="E1557" s="132"/>
      <c r="F1557" s="170"/>
      <c r="G1557" s="150"/>
      <c r="H1557" s="152"/>
      <c r="I1557" s="204"/>
      <c r="J1557" s="285"/>
      <c r="K1557" s="251"/>
      <c r="L1557" s="133" t="str">
        <f>IF(AND(I1557&lt;&gt;"",ISERROR(IF(ISERROR(VLOOKUP(I1557*1,Summary!$C$8:$C$153,1,0)),VLOOKUP(I1557,Summary!$C$8:$C$153,1,0),VLOOKUP(I1557*1,Summary!$C$8:$C$153,1,0)))),"Add account Number to Summary","")</f>
        <v/>
      </c>
      <c r="M1557" s="131" t="str">
        <f t="shared" si="24"/>
        <v/>
      </c>
      <c r="N1557" s="287">
        <f>IF(C1557="Sale",SUMIFS($D$4:D1557,$B$4:B1557,B1557,$C$4:C1557,"")+SUMIFS($D$4:D1557,$B$4:B1557,B1557,$C$4:C1557,"Purch")-SUMIFS($D$4:D1557,$B$4:B1557,B1557,$C$4:C1557,"Sale"),0)</f>
        <v>0</v>
      </c>
    </row>
    <row r="1558" spans="1:14" x14ac:dyDescent="0.2">
      <c r="A1558" s="152"/>
      <c r="B1558" s="132"/>
      <c r="C1558" s="132"/>
      <c r="D1558" s="277"/>
      <c r="E1558" s="132"/>
      <c r="F1558" s="170"/>
      <c r="G1558" s="150"/>
      <c r="H1558" s="152"/>
      <c r="I1558" s="204"/>
      <c r="J1558" s="285"/>
      <c r="K1558" s="251"/>
      <c r="L1558" s="133" t="str">
        <f>IF(AND(I1558&lt;&gt;"",ISERROR(IF(ISERROR(VLOOKUP(I1558*1,Summary!$C$8:$C$153,1,0)),VLOOKUP(I1558,Summary!$C$8:$C$153,1,0),VLOOKUP(I1558*1,Summary!$C$8:$C$153,1,0)))),"Add account Number to Summary","")</f>
        <v/>
      </c>
      <c r="M1558" s="131" t="str">
        <f t="shared" si="24"/>
        <v/>
      </c>
      <c r="N1558" s="287">
        <f>IF(C1558="Sale",SUMIFS($D$4:D1558,$B$4:B1558,B1558,$C$4:C1558,"")+SUMIFS($D$4:D1558,$B$4:B1558,B1558,$C$4:C1558,"Purch")-SUMIFS($D$4:D1558,$B$4:B1558,B1558,$C$4:C1558,"Sale"),0)</f>
        <v>0</v>
      </c>
    </row>
    <row r="1559" spans="1:14" x14ac:dyDescent="0.2">
      <c r="A1559" s="152"/>
      <c r="B1559" s="132"/>
      <c r="C1559" s="132"/>
      <c r="D1559" s="277"/>
      <c r="E1559" s="132"/>
      <c r="F1559" s="170"/>
      <c r="G1559" s="150"/>
      <c r="H1559" s="152"/>
      <c r="I1559" s="204"/>
      <c r="J1559" s="285"/>
      <c r="K1559" s="251"/>
      <c r="L1559" s="133" t="str">
        <f>IF(AND(I1559&lt;&gt;"",ISERROR(IF(ISERROR(VLOOKUP(I1559*1,Summary!$C$8:$C$153,1,0)),VLOOKUP(I1559,Summary!$C$8:$C$153,1,0),VLOOKUP(I1559*1,Summary!$C$8:$C$153,1,0)))),"Add account Number to Summary","")</f>
        <v/>
      </c>
      <c r="M1559" s="131" t="str">
        <f t="shared" si="24"/>
        <v/>
      </c>
      <c r="N1559" s="287">
        <f>IF(C1559="Sale",SUMIFS($D$4:D1559,$B$4:B1559,B1559,$C$4:C1559,"")+SUMIFS($D$4:D1559,$B$4:B1559,B1559,$C$4:C1559,"Purch")-SUMIFS($D$4:D1559,$B$4:B1559,B1559,$C$4:C1559,"Sale"),0)</f>
        <v>0</v>
      </c>
    </row>
    <row r="1560" spans="1:14" x14ac:dyDescent="0.2">
      <c r="A1560" s="152"/>
      <c r="B1560" s="132"/>
      <c r="C1560" s="132"/>
      <c r="D1560" s="277"/>
      <c r="E1560" s="132"/>
      <c r="F1560" s="170"/>
      <c r="G1560" s="150"/>
      <c r="H1560" s="152"/>
      <c r="I1560" s="204"/>
      <c r="J1560" s="285"/>
      <c r="K1560" s="251"/>
      <c r="L1560" s="133" t="str">
        <f>IF(AND(I1560&lt;&gt;"",ISERROR(IF(ISERROR(VLOOKUP(I1560*1,Summary!$C$8:$C$153,1,0)),VLOOKUP(I1560,Summary!$C$8:$C$153,1,0),VLOOKUP(I1560*1,Summary!$C$8:$C$153,1,0)))),"Add account Number to Summary","")</f>
        <v/>
      </c>
      <c r="M1560" s="131" t="str">
        <f t="shared" si="24"/>
        <v/>
      </c>
      <c r="N1560" s="287">
        <f>IF(C1560="Sale",SUMIFS($D$4:D1560,$B$4:B1560,B1560,$C$4:C1560,"")+SUMIFS($D$4:D1560,$B$4:B1560,B1560,$C$4:C1560,"Purch")-SUMIFS($D$4:D1560,$B$4:B1560,B1560,$C$4:C1560,"Sale"),0)</f>
        <v>0</v>
      </c>
    </row>
    <row r="1561" spans="1:14" x14ac:dyDescent="0.2">
      <c r="A1561" s="152"/>
      <c r="B1561" s="132"/>
      <c r="C1561" s="132"/>
      <c r="D1561" s="277"/>
      <c r="E1561" s="132"/>
      <c r="F1561" s="170"/>
      <c r="G1561" s="150"/>
      <c r="H1561" s="152"/>
      <c r="I1561" s="204"/>
      <c r="J1561" s="285"/>
      <c r="K1561" s="251"/>
      <c r="L1561" s="133" t="str">
        <f>IF(AND(I1561&lt;&gt;"",ISERROR(IF(ISERROR(VLOOKUP(I1561*1,Summary!$C$8:$C$153,1,0)),VLOOKUP(I1561,Summary!$C$8:$C$153,1,0),VLOOKUP(I1561*1,Summary!$C$8:$C$153,1,0)))),"Add account Number to Summary","")</f>
        <v/>
      </c>
      <c r="M1561" s="131" t="str">
        <f t="shared" si="24"/>
        <v/>
      </c>
      <c r="N1561" s="287">
        <f>IF(C1561="Sale",SUMIFS($D$4:D1561,$B$4:B1561,B1561,$C$4:C1561,"")+SUMIFS($D$4:D1561,$B$4:B1561,B1561,$C$4:C1561,"Purch")-SUMIFS($D$4:D1561,$B$4:B1561,B1561,$C$4:C1561,"Sale"),0)</f>
        <v>0</v>
      </c>
    </row>
    <row r="1562" spans="1:14" x14ac:dyDescent="0.2">
      <c r="A1562" s="152"/>
      <c r="B1562" s="132"/>
      <c r="C1562" s="132"/>
      <c r="D1562" s="277"/>
      <c r="E1562" s="132"/>
      <c r="F1562" s="170"/>
      <c r="G1562" s="150"/>
      <c r="H1562" s="152"/>
      <c r="I1562" s="204"/>
      <c r="J1562" s="285"/>
      <c r="K1562" s="251"/>
      <c r="L1562" s="133" t="str">
        <f>IF(AND(I1562&lt;&gt;"",ISERROR(IF(ISERROR(VLOOKUP(I1562*1,Summary!$C$8:$C$153,1,0)),VLOOKUP(I1562,Summary!$C$8:$C$153,1,0),VLOOKUP(I1562*1,Summary!$C$8:$C$153,1,0)))),"Add account Number to Summary","")</f>
        <v/>
      </c>
      <c r="M1562" s="131" t="str">
        <f t="shared" si="24"/>
        <v/>
      </c>
      <c r="N1562" s="287">
        <f>IF(C1562="Sale",SUMIFS($D$4:D1562,$B$4:B1562,B1562,$C$4:C1562,"")+SUMIFS($D$4:D1562,$B$4:B1562,B1562,$C$4:C1562,"Purch")-SUMIFS($D$4:D1562,$B$4:B1562,B1562,$C$4:C1562,"Sale"),0)</f>
        <v>0</v>
      </c>
    </row>
    <row r="1563" spans="1:14" x14ac:dyDescent="0.2">
      <c r="A1563" s="152"/>
      <c r="B1563" s="132"/>
      <c r="C1563" s="132"/>
      <c r="D1563" s="277"/>
      <c r="E1563" s="132"/>
      <c r="F1563" s="170"/>
      <c r="G1563" s="150"/>
      <c r="H1563" s="152"/>
      <c r="I1563" s="204"/>
      <c r="J1563" s="285"/>
      <c r="K1563" s="251"/>
      <c r="L1563" s="133" t="str">
        <f>IF(AND(I1563&lt;&gt;"",ISERROR(IF(ISERROR(VLOOKUP(I1563*1,Summary!$C$8:$C$153,1,0)),VLOOKUP(I1563,Summary!$C$8:$C$153,1,0),VLOOKUP(I1563*1,Summary!$C$8:$C$153,1,0)))),"Add account Number to Summary","")</f>
        <v/>
      </c>
      <c r="M1563" s="131" t="str">
        <f t="shared" si="24"/>
        <v/>
      </c>
      <c r="N1563" s="287">
        <f>IF(C1563="Sale",SUMIFS($D$4:D1563,$B$4:B1563,B1563,$C$4:C1563,"")+SUMIFS($D$4:D1563,$B$4:B1563,B1563,$C$4:C1563,"Purch")-SUMIFS($D$4:D1563,$B$4:B1563,B1563,$C$4:C1563,"Sale"),0)</f>
        <v>0</v>
      </c>
    </row>
    <row r="1564" spans="1:14" x14ac:dyDescent="0.2">
      <c r="A1564" s="152"/>
      <c r="B1564" s="132"/>
      <c r="C1564" s="132"/>
      <c r="D1564" s="277"/>
      <c r="E1564" s="132"/>
      <c r="F1564" s="170"/>
      <c r="G1564" s="150"/>
      <c r="H1564" s="152"/>
      <c r="I1564" s="204"/>
      <c r="J1564" s="285"/>
      <c r="K1564" s="251"/>
      <c r="L1564" s="133" t="str">
        <f>IF(AND(I1564&lt;&gt;"",ISERROR(IF(ISERROR(VLOOKUP(I1564*1,Summary!$C$8:$C$153,1,0)),VLOOKUP(I1564,Summary!$C$8:$C$153,1,0),VLOOKUP(I1564*1,Summary!$C$8:$C$153,1,0)))),"Add account Number to Summary","")</f>
        <v/>
      </c>
      <c r="M1564" s="131" t="str">
        <f t="shared" si="24"/>
        <v/>
      </c>
      <c r="N1564" s="287">
        <f>IF(C1564="Sale",SUMIFS($D$4:D1564,$B$4:B1564,B1564,$C$4:C1564,"")+SUMIFS($D$4:D1564,$B$4:B1564,B1564,$C$4:C1564,"Purch")-SUMIFS($D$4:D1564,$B$4:B1564,B1564,$C$4:C1564,"Sale"),0)</f>
        <v>0</v>
      </c>
    </row>
    <row r="1565" spans="1:14" x14ac:dyDescent="0.2">
      <c r="A1565" s="152"/>
      <c r="B1565" s="132"/>
      <c r="C1565" s="132"/>
      <c r="D1565" s="277"/>
      <c r="E1565" s="132"/>
      <c r="F1565" s="170"/>
      <c r="G1565" s="150"/>
      <c r="H1565" s="152"/>
      <c r="I1565" s="204"/>
      <c r="J1565" s="285"/>
      <c r="K1565" s="251"/>
      <c r="L1565" s="133" t="str">
        <f>IF(AND(I1565&lt;&gt;"",ISERROR(IF(ISERROR(VLOOKUP(I1565*1,Summary!$C$8:$C$153,1,0)),VLOOKUP(I1565,Summary!$C$8:$C$153,1,0),VLOOKUP(I1565*1,Summary!$C$8:$C$153,1,0)))),"Add account Number to Summary","")</f>
        <v/>
      </c>
      <c r="M1565" s="131" t="str">
        <f t="shared" si="24"/>
        <v/>
      </c>
      <c r="N1565" s="287">
        <f>IF(C1565="Sale",SUMIFS($D$4:D1565,$B$4:B1565,B1565,$C$4:C1565,"")+SUMIFS($D$4:D1565,$B$4:B1565,B1565,$C$4:C1565,"Purch")-SUMIFS($D$4:D1565,$B$4:B1565,B1565,$C$4:C1565,"Sale"),0)</f>
        <v>0</v>
      </c>
    </row>
    <row r="1566" spans="1:14" x14ac:dyDescent="0.2">
      <c r="A1566" s="152"/>
      <c r="B1566" s="132"/>
      <c r="C1566" s="132"/>
      <c r="D1566" s="277"/>
      <c r="E1566" s="132"/>
      <c r="F1566" s="170"/>
      <c r="G1566" s="150"/>
      <c r="H1566" s="152"/>
      <c r="I1566" s="204"/>
      <c r="J1566" s="285"/>
      <c r="K1566" s="251"/>
      <c r="L1566" s="133" t="str">
        <f>IF(AND(I1566&lt;&gt;"",ISERROR(IF(ISERROR(VLOOKUP(I1566*1,Summary!$C$8:$C$153,1,0)),VLOOKUP(I1566,Summary!$C$8:$C$153,1,0),VLOOKUP(I1566*1,Summary!$C$8:$C$153,1,0)))),"Add account Number to Summary","")</f>
        <v/>
      </c>
      <c r="M1566" s="131" t="str">
        <f t="shared" si="24"/>
        <v/>
      </c>
      <c r="N1566" s="287">
        <f>IF(C1566="Sale",SUMIFS($D$4:D1566,$B$4:B1566,B1566,$C$4:C1566,"")+SUMIFS($D$4:D1566,$B$4:B1566,B1566,$C$4:C1566,"Purch")-SUMIFS($D$4:D1566,$B$4:B1566,B1566,$C$4:C1566,"Sale"),0)</f>
        <v>0</v>
      </c>
    </row>
    <row r="1567" spans="1:14" x14ac:dyDescent="0.2">
      <c r="A1567" s="152"/>
      <c r="B1567" s="132"/>
      <c r="C1567" s="132"/>
      <c r="D1567" s="277"/>
      <c r="E1567" s="132"/>
      <c r="F1567" s="170"/>
      <c r="G1567" s="150"/>
      <c r="H1567" s="152"/>
      <c r="I1567" s="204"/>
      <c r="J1567" s="285"/>
      <c r="K1567" s="251"/>
      <c r="L1567" s="133" t="str">
        <f>IF(AND(I1567&lt;&gt;"",ISERROR(IF(ISERROR(VLOOKUP(I1567*1,Summary!$C$8:$C$153,1,0)),VLOOKUP(I1567,Summary!$C$8:$C$153,1,0),VLOOKUP(I1567*1,Summary!$C$8:$C$153,1,0)))),"Add account Number to Summary","")</f>
        <v/>
      </c>
      <c r="M1567" s="131" t="str">
        <f t="shared" si="24"/>
        <v/>
      </c>
      <c r="N1567" s="287">
        <f>IF(C1567="Sale",SUMIFS($D$4:D1567,$B$4:B1567,B1567,$C$4:C1567,"")+SUMIFS($D$4:D1567,$B$4:B1567,B1567,$C$4:C1567,"Purch")-SUMIFS($D$4:D1567,$B$4:B1567,B1567,$C$4:C1567,"Sale"),0)</f>
        <v>0</v>
      </c>
    </row>
    <row r="1568" spans="1:14" x14ac:dyDescent="0.2">
      <c r="A1568" s="152"/>
      <c r="B1568" s="132"/>
      <c r="C1568" s="132"/>
      <c r="D1568" s="277"/>
      <c r="E1568" s="132"/>
      <c r="F1568" s="170"/>
      <c r="G1568" s="150"/>
      <c r="H1568" s="152"/>
      <c r="I1568" s="204"/>
      <c r="J1568" s="285"/>
      <c r="K1568" s="251"/>
      <c r="L1568" s="133" t="str">
        <f>IF(AND(I1568&lt;&gt;"",ISERROR(IF(ISERROR(VLOOKUP(I1568*1,Summary!$C$8:$C$153,1,0)),VLOOKUP(I1568,Summary!$C$8:$C$153,1,0),VLOOKUP(I1568*1,Summary!$C$8:$C$153,1,0)))),"Add account Number to Summary","")</f>
        <v/>
      </c>
      <c r="M1568" s="131" t="str">
        <f t="shared" si="24"/>
        <v/>
      </c>
      <c r="N1568" s="287">
        <f>IF(C1568="Sale",SUMIFS($D$4:D1568,$B$4:B1568,B1568,$C$4:C1568,"")+SUMIFS($D$4:D1568,$B$4:B1568,B1568,$C$4:C1568,"Purch")-SUMIFS($D$4:D1568,$B$4:B1568,B1568,$C$4:C1568,"Sale"),0)</f>
        <v>0</v>
      </c>
    </row>
    <row r="1569" spans="1:14" x14ac:dyDescent="0.2">
      <c r="A1569" s="152"/>
      <c r="B1569" s="132"/>
      <c r="C1569" s="132"/>
      <c r="D1569" s="277"/>
      <c r="E1569" s="132"/>
      <c r="F1569" s="170"/>
      <c r="G1569" s="150"/>
      <c r="H1569" s="152"/>
      <c r="I1569" s="204"/>
      <c r="J1569" s="285"/>
      <c r="K1569" s="251"/>
      <c r="L1569" s="133" t="str">
        <f>IF(AND(I1569&lt;&gt;"",ISERROR(IF(ISERROR(VLOOKUP(I1569*1,Summary!$C$8:$C$153,1,0)),VLOOKUP(I1569,Summary!$C$8:$C$153,1,0),VLOOKUP(I1569*1,Summary!$C$8:$C$153,1,0)))),"Add account Number to Summary","")</f>
        <v/>
      </c>
      <c r="M1569" s="131" t="str">
        <f t="shared" si="24"/>
        <v/>
      </c>
      <c r="N1569" s="287">
        <f>IF(C1569="Sale",SUMIFS($D$4:D1569,$B$4:B1569,B1569,$C$4:C1569,"")+SUMIFS($D$4:D1569,$B$4:B1569,B1569,$C$4:C1569,"Purch")-SUMIFS($D$4:D1569,$B$4:B1569,B1569,$C$4:C1569,"Sale"),0)</f>
        <v>0</v>
      </c>
    </row>
    <row r="1570" spans="1:14" x14ac:dyDescent="0.2">
      <c r="A1570" s="152"/>
      <c r="B1570" s="132"/>
      <c r="C1570" s="132"/>
      <c r="D1570" s="277"/>
      <c r="E1570" s="132"/>
      <c r="F1570" s="170"/>
      <c r="G1570" s="150"/>
      <c r="H1570" s="152"/>
      <c r="I1570" s="204"/>
      <c r="J1570" s="285"/>
      <c r="K1570" s="251"/>
      <c r="L1570" s="133" t="str">
        <f>IF(AND(I1570&lt;&gt;"",ISERROR(IF(ISERROR(VLOOKUP(I1570*1,Summary!$C$8:$C$153,1,0)),VLOOKUP(I1570,Summary!$C$8:$C$153,1,0),VLOOKUP(I1570*1,Summary!$C$8:$C$153,1,0)))),"Add account Number to Summary","")</f>
        <v/>
      </c>
      <c r="M1570" s="131" t="str">
        <f t="shared" si="24"/>
        <v/>
      </c>
      <c r="N1570" s="287">
        <f>IF(C1570="Sale",SUMIFS($D$4:D1570,$B$4:B1570,B1570,$C$4:C1570,"")+SUMIFS($D$4:D1570,$B$4:B1570,B1570,$C$4:C1570,"Purch")-SUMIFS($D$4:D1570,$B$4:B1570,B1570,$C$4:C1570,"Sale"),0)</f>
        <v>0</v>
      </c>
    </row>
    <row r="1571" spans="1:14" x14ac:dyDescent="0.2">
      <c r="A1571" s="152"/>
      <c r="B1571" s="132"/>
      <c r="C1571" s="132"/>
      <c r="D1571" s="277"/>
      <c r="E1571" s="132"/>
      <c r="F1571" s="170"/>
      <c r="G1571" s="150"/>
      <c r="H1571" s="152"/>
      <c r="I1571" s="204"/>
      <c r="J1571" s="285"/>
      <c r="K1571" s="251"/>
      <c r="L1571" s="133" t="str">
        <f>IF(AND(I1571&lt;&gt;"",ISERROR(IF(ISERROR(VLOOKUP(I1571*1,Summary!$C$8:$C$153,1,0)),VLOOKUP(I1571,Summary!$C$8:$C$153,1,0),VLOOKUP(I1571*1,Summary!$C$8:$C$153,1,0)))),"Add account Number to Summary","")</f>
        <v/>
      </c>
      <c r="M1571" s="131" t="str">
        <f t="shared" si="24"/>
        <v/>
      </c>
      <c r="N1571" s="287">
        <f>IF(C1571="Sale",SUMIFS($D$4:D1571,$B$4:B1571,B1571,$C$4:C1571,"")+SUMIFS($D$4:D1571,$B$4:B1571,B1571,$C$4:C1571,"Purch")-SUMIFS($D$4:D1571,$B$4:B1571,B1571,$C$4:C1571,"Sale"),0)</f>
        <v>0</v>
      </c>
    </row>
    <row r="1572" spans="1:14" x14ac:dyDescent="0.2">
      <c r="A1572" s="152"/>
      <c r="B1572" s="132"/>
      <c r="C1572" s="132"/>
      <c r="D1572" s="277"/>
      <c r="E1572" s="132"/>
      <c r="F1572" s="170"/>
      <c r="G1572" s="150"/>
      <c r="H1572" s="152"/>
      <c r="I1572" s="204"/>
      <c r="J1572" s="285"/>
      <c r="K1572" s="251"/>
      <c r="L1572" s="133" t="str">
        <f>IF(AND(I1572&lt;&gt;"",ISERROR(IF(ISERROR(VLOOKUP(I1572*1,Summary!$C$8:$C$153,1,0)),VLOOKUP(I1572,Summary!$C$8:$C$153,1,0),VLOOKUP(I1572*1,Summary!$C$8:$C$153,1,0)))),"Add account Number to Summary","")</f>
        <v/>
      </c>
      <c r="M1572" s="131" t="str">
        <f t="shared" si="24"/>
        <v/>
      </c>
      <c r="N1572" s="287">
        <f>IF(C1572="Sale",SUMIFS($D$4:D1572,$B$4:B1572,B1572,$C$4:C1572,"")+SUMIFS($D$4:D1572,$B$4:B1572,B1572,$C$4:C1572,"Purch")-SUMIFS($D$4:D1572,$B$4:B1572,B1572,$C$4:C1572,"Sale"),0)</f>
        <v>0</v>
      </c>
    </row>
    <row r="1573" spans="1:14" x14ac:dyDescent="0.2">
      <c r="A1573" s="152"/>
      <c r="B1573" s="132"/>
      <c r="C1573" s="132"/>
      <c r="D1573" s="277"/>
      <c r="E1573" s="132"/>
      <c r="F1573" s="170"/>
      <c r="G1573" s="150"/>
      <c r="H1573" s="152"/>
      <c r="I1573" s="204"/>
      <c r="J1573" s="285"/>
      <c r="K1573" s="251"/>
      <c r="L1573" s="133" t="str">
        <f>IF(AND(I1573&lt;&gt;"",ISERROR(IF(ISERROR(VLOOKUP(I1573*1,Summary!$C$8:$C$153,1,0)),VLOOKUP(I1573,Summary!$C$8:$C$153,1,0),VLOOKUP(I1573*1,Summary!$C$8:$C$153,1,0)))),"Add account Number to Summary","")</f>
        <v/>
      </c>
      <c r="M1573" s="131" t="str">
        <f t="shared" si="24"/>
        <v/>
      </c>
      <c r="N1573" s="287">
        <f>IF(C1573="Sale",SUMIFS($D$4:D1573,$B$4:B1573,B1573,$C$4:C1573,"")+SUMIFS($D$4:D1573,$B$4:B1573,B1573,$C$4:C1573,"Purch")-SUMIFS($D$4:D1573,$B$4:B1573,B1573,$C$4:C1573,"Sale"),0)</f>
        <v>0</v>
      </c>
    </row>
    <row r="1574" spans="1:14" x14ac:dyDescent="0.2">
      <c r="A1574" s="152"/>
      <c r="B1574" s="132"/>
      <c r="C1574" s="132"/>
      <c r="D1574" s="277"/>
      <c r="E1574" s="132"/>
      <c r="F1574" s="170"/>
      <c r="G1574" s="150"/>
      <c r="H1574" s="152"/>
      <c r="I1574" s="204"/>
      <c r="J1574" s="285"/>
      <c r="K1574" s="251"/>
      <c r="L1574" s="133" t="str">
        <f>IF(AND(I1574&lt;&gt;"",ISERROR(IF(ISERROR(VLOOKUP(I1574*1,Summary!$C$8:$C$153,1,0)),VLOOKUP(I1574,Summary!$C$8:$C$153,1,0),VLOOKUP(I1574*1,Summary!$C$8:$C$153,1,0)))),"Add account Number to Summary","")</f>
        <v/>
      </c>
      <c r="M1574" s="131" t="str">
        <f t="shared" si="24"/>
        <v/>
      </c>
      <c r="N1574" s="287">
        <f>IF(C1574="Sale",SUMIFS($D$4:D1574,$B$4:B1574,B1574,$C$4:C1574,"")+SUMIFS($D$4:D1574,$B$4:B1574,B1574,$C$4:C1574,"Purch")-SUMIFS($D$4:D1574,$B$4:B1574,B1574,$C$4:C1574,"Sale"),0)</f>
        <v>0</v>
      </c>
    </row>
    <row r="1575" spans="1:14" x14ac:dyDescent="0.2">
      <c r="A1575" s="152"/>
      <c r="B1575" s="132"/>
      <c r="C1575" s="132"/>
      <c r="D1575" s="277"/>
      <c r="E1575" s="132"/>
      <c r="F1575" s="170"/>
      <c r="G1575" s="150"/>
      <c r="H1575" s="152"/>
      <c r="I1575" s="204"/>
      <c r="J1575" s="285"/>
      <c r="K1575" s="251"/>
      <c r="L1575" s="133" t="str">
        <f>IF(AND(I1575&lt;&gt;"",ISERROR(IF(ISERROR(VLOOKUP(I1575*1,Summary!$C$8:$C$153,1,0)),VLOOKUP(I1575,Summary!$C$8:$C$153,1,0),VLOOKUP(I1575*1,Summary!$C$8:$C$153,1,0)))),"Add account Number to Summary","")</f>
        <v/>
      </c>
      <c r="M1575" s="131" t="str">
        <f t="shared" si="24"/>
        <v/>
      </c>
      <c r="N1575" s="287">
        <f>IF(C1575="Sale",SUMIFS($D$4:D1575,$B$4:B1575,B1575,$C$4:C1575,"")+SUMIFS($D$4:D1575,$B$4:B1575,B1575,$C$4:C1575,"Purch")-SUMIFS($D$4:D1575,$B$4:B1575,B1575,$C$4:C1575,"Sale"),0)</f>
        <v>0</v>
      </c>
    </row>
    <row r="1576" spans="1:14" x14ac:dyDescent="0.2">
      <c r="A1576" s="152"/>
      <c r="B1576" s="132"/>
      <c r="C1576" s="132"/>
      <c r="D1576" s="277"/>
      <c r="E1576" s="132"/>
      <c r="F1576" s="170"/>
      <c r="G1576" s="150"/>
      <c r="H1576" s="152"/>
      <c r="I1576" s="204"/>
      <c r="J1576" s="285"/>
      <c r="K1576" s="251"/>
      <c r="L1576" s="133" t="str">
        <f>IF(AND(I1576&lt;&gt;"",ISERROR(IF(ISERROR(VLOOKUP(I1576*1,Summary!$C$8:$C$153,1,0)),VLOOKUP(I1576,Summary!$C$8:$C$153,1,0),VLOOKUP(I1576*1,Summary!$C$8:$C$153,1,0)))),"Add account Number to Summary","")</f>
        <v/>
      </c>
      <c r="M1576" s="131" t="str">
        <f t="shared" si="24"/>
        <v/>
      </c>
      <c r="N1576" s="287">
        <f>IF(C1576="Sale",SUMIFS($D$4:D1576,$B$4:B1576,B1576,$C$4:C1576,"")+SUMIFS($D$4:D1576,$B$4:B1576,B1576,$C$4:C1576,"Purch")-SUMIFS($D$4:D1576,$B$4:B1576,B1576,$C$4:C1576,"Sale"),0)</f>
        <v>0</v>
      </c>
    </row>
    <row r="1577" spans="1:14" x14ac:dyDescent="0.2">
      <c r="A1577" s="152"/>
      <c r="B1577" s="132"/>
      <c r="C1577" s="132"/>
      <c r="D1577" s="277"/>
      <c r="E1577" s="132"/>
      <c r="F1577" s="170"/>
      <c r="G1577" s="150"/>
      <c r="H1577" s="152"/>
      <c r="I1577" s="204"/>
      <c r="J1577" s="285"/>
      <c r="K1577" s="251"/>
      <c r="L1577" s="133" t="str">
        <f>IF(AND(I1577&lt;&gt;"",ISERROR(IF(ISERROR(VLOOKUP(I1577*1,Summary!$C$8:$C$153,1,0)),VLOOKUP(I1577,Summary!$C$8:$C$153,1,0),VLOOKUP(I1577*1,Summary!$C$8:$C$153,1,0)))),"Add account Number to Summary","")</f>
        <v/>
      </c>
      <c r="M1577" s="131" t="str">
        <f t="shared" si="24"/>
        <v/>
      </c>
      <c r="N1577" s="287">
        <f>IF(C1577="Sale",SUMIFS($D$4:D1577,$B$4:B1577,B1577,$C$4:C1577,"")+SUMIFS($D$4:D1577,$B$4:B1577,B1577,$C$4:C1577,"Purch")-SUMIFS($D$4:D1577,$B$4:B1577,B1577,$C$4:C1577,"Sale"),0)</f>
        <v>0</v>
      </c>
    </row>
    <row r="1578" spans="1:14" x14ac:dyDescent="0.2">
      <c r="A1578" s="152"/>
      <c r="B1578" s="132"/>
      <c r="C1578" s="132"/>
      <c r="D1578" s="277"/>
      <c r="E1578" s="132"/>
      <c r="F1578" s="170"/>
      <c r="G1578" s="150"/>
      <c r="H1578" s="152"/>
      <c r="I1578" s="204"/>
      <c r="J1578" s="285"/>
      <c r="K1578" s="251"/>
      <c r="L1578" s="133" t="str">
        <f>IF(AND(I1578&lt;&gt;"",ISERROR(IF(ISERROR(VLOOKUP(I1578*1,Summary!$C$8:$C$153,1,0)),VLOOKUP(I1578,Summary!$C$8:$C$153,1,0),VLOOKUP(I1578*1,Summary!$C$8:$C$153,1,0)))),"Add account Number to Summary","")</f>
        <v/>
      </c>
      <c r="M1578" s="131" t="str">
        <f t="shared" si="24"/>
        <v/>
      </c>
      <c r="N1578" s="287">
        <f>IF(C1578="Sale",SUMIFS($D$4:D1578,$B$4:B1578,B1578,$C$4:C1578,"")+SUMIFS($D$4:D1578,$B$4:B1578,B1578,$C$4:C1578,"Purch")-SUMIFS($D$4:D1578,$B$4:B1578,B1578,$C$4:C1578,"Sale"),0)</f>
        <v>0</v>
      </c>
    </row>
    <row r="1579" spans="1:14" x14ac:dyDescent="0.2">
      <c r="A1579" s="152"/>
      <c r="B1579" s="132"/>
      <c r="C1579" s="132"/>
      <c r="D1579" s="277"/>
      <c r="E1579" s="132"/>
      <c r="F1579" s="170"/>
      <c r="G1579" s="150"/>
      <c r="H1579" s="152"/>
      <c r="I1579" s="204"/>
      <c r="J1579" s="285"/>
      <c r="K1579" s="251"/>
      <c r="L1579" s="133" t="str">
        <f>IF(AND(I1579&lt;&gt;"",ISERROR(IF(ISERROR(VLOOKUP(I1579*1,Summary!$C$8:$C$153,1,0)),VLOOKUP(I1579,Summary!$C$8:$C$153,1,0),VLOOKUP(I1579*1,Summary!$C$8:$C$153,1,0)))),"Add account Number to Summary","")</f>
        <v/>
      </c>
      <c r="M1579" s="131" t="str">
        <f t="shared" si="24"/>
        <v/>
      </c>
      <c r="N1579" s="287">
        <f>IF(C1579="Sale",SUMIFS($D$4:D1579,$B$4:B1579,B1579,$C$4:C1579,"")+SUMIFS($D$4:D1579,$B$4:B1579,B1579,$C$4:C1579,"Purch")-SUMIFS($D$4:D1579,$B$4:B1579,B1579,$C$4:C1579,"Sale"),0)</f>
        <v>0</v>
      </c>
    </row>
    <row r="1580" spans="1:14" x14ac:dyDescent="0.2">
      <c r="A1580" s="152"/>
      <c r="B1580" s="132"/>
      <c r="C1580" s="132"/>
      <c r="D1580" s="277"/>
      <c r="E1580" s="132"/>
      <c r="F1580" s="170"/>
      <c r="G1580" s="150"/>
      <c r="H1580" s="152"/>
      <c r="I1580" s="204"/>
      <c r="J1580" s="285"/>
      <c r="K1580" s="251"/>
      <c r="L1580" s="133" t="str">
        <f>IF(AND(I1580&lt;&gt;"",ISERROR(IF(ISERROR(VLOOKUP(I1580*1,Summary!$C$8:$C$153,1,0)),VLOOKUP(I1580,Summary!$C$8:$C$153,1,0),VLOOKUP(I1580*1,Summary!$C$8:$C$153,1,0)))),"Add account Number to Summary","")</f>
        <v/>
      </c>
      <c r="M1580" s="131" t="str">
        <f t="shared" ref="M1580:M1643" si="25">IF(K1580="Yes",IF(YEAR(A1580)&lt;&gt;YEAR(date),"Check Date",""),"")</f>
        <v/>
      </c>
      <c r="N1580" s="287">
        <f>IF(C1580="Sale",SUMIFS($D$4:D1580,$B$4:B1580,B1580,$C$4:C1580,"")+SUMIFS($D$4:D1580,$B$4:B1580,B1580,$C$4:C1580,"Purch")-SUMIFS($D$4:D1580,$B$4:B1580,B1580,$C$4:C1580,"Sale"),0)</f>
        <v>0</v>
      </c>
    </row>
    <row r="1581" spans="1:14" x14ac:dyDescent="0.2">
      <c r="A1581" s="152"/>
      <c r="B1581" s="132"/>
      <c r="C1581" s="132"/>
      <c r="D1581" s="277"/>
      <c r="E1581" s="132"/>
      <c r="F1581" s="170"/>
      <c r="G1581" s="150"/>
      <c r="H1581" s="152"/>
      <c r="I1581" s="204"/>
      <c r="J1581" s="285"/>
      <c r="K1581" s="251"/>
      <c r="L1581" s="133" t="str">
        <f>IF(AND(I1581&lt;&gt;"",ISERROR(IF(ISERROR(VLOOKUP(I1581*1,Summary!$C$8:$C$153,1,0)),VLOOKUP(I1581,Summary!$C$8:$C$153,1,0),VLOOKUP(I1581*1,Summary!$C$8:$C$153,1,0)))),"Add account Number to Summary","")</f>
        <v/>
      </c>
      <c r="M1581" s="131" t="str">
        <f t="shared" si="25"/>
        <v/>
      </c>
      <c r="N1581" s="287">
        <f>IF(C1581="Sale",SUMIFS($D$4:D1581,$B$4:B1581,B1581,$C$4:C1581,"")+SUMIFS($D$4:D1581,$B$4:B1581,B1581,$C$4:C1581,"Purch")-SUMIFS($D$4:D1581,$B$4:B1581,B1581,$C$4:C1581,"Sale"),0)</f>
        <v>0</v>
      </c>
    </row>
    <row r="1582" spans="1:14" x14ac:dyDescent="0.2">
      <c r="A1582" s="152"/>
      <c r="B1582" s="132"/>
      <c r="C1582" s="132"/>
      <c r="D1582" s="277"/>
      <c r="E1582" s="132"/>
      <c r="F1582" s="170"/>
      <c r="G1582" s="150"/>
      <c r="H1582" s="152"/>
      <c r="I1582" s="204"/>
      <c r="J1582" s="285"/>
      <c r="K1582" s="251"/>
      <c r="L1582" s="133" t="str">
        <f>IF(AND(I1582&lt;&gt;"",ISERROR(IF(ISERROR(VLOOKUP(I1582*1,Summary!$C$8:$C$153,1,0)),VLOOKUP(I1582,Summary!$C$8:$C$153,1,0),VLOOKUP(I1582*1,Summary!$C$8:$C$153,1,0)))),"Add account Number to Summary","")</f>
        <v/>
      </c>
      <c r="M1582" s="131" t="str">
        <f t="shared" si="25"/>
        <v/>
      </c>
      <c r="N1582" s="287">
        <f>IF(C1582="Sale",SUMIFS($D$4:D1582,$B$4:B1582,B1582,$C$4:C1582,"")+SUMIFS($D$4:D1582,$B$4:B1582,B1582,$C$4:C1582,"Purch")-SUMIFS($D$4:D1582,$B$4:B1582,B1582,$C$4:C1582,"Sale"),0)</f>
        <v>0</v>
      </c>
    </row>
    <row r="1583" spans="1:14" x14ac:dyDescent="0.2">
      <c r="A1583" s="152"/>
      <c r="B1583" s="132"/>
      <c r="C1583" s="132"/>
      <c r="D1583" s="277"/>
      <c r="E1583" s="132"/>
      <c r="F1583" s="170"/>
      <c r="G1583" s="150"/>
      <c r="H1583" s="152"/>
      <c r="I1583" s="204"/>
      <c r="J1583" s="285"/>
      <c r="K1583" s="251"/>
      <c r="L1583" s="133" t="str">
        <f>IF(AND(I1583&lt;&gt;"",ISERROR(IF(ISERROR(VLOOKUP(I1583*1,Summary!$C$8:$C$153,1,0)),VLOOKUP(I1583,Summary!$C$8:$C$153,1,0),VLOOKUP(I1583*1,Summary!$C$8:$C$153,1,0)))),"Add account Number to Summary","")</f>
        <v/>
      </c>
      <c r="M1583" s="131" t="str">
        <f t="shared" si="25"/>
        <v/>
      </c>
      <c r="N1583" s="287">
        <f>IF(C1583="Sale",SUMIFS($D$4:D1583,$B$4:B1583,B1583,$C$4:C1583,"")+SUMIFS($D$4:D1583,$B$4:B1583,B1583,$C$4:C1583,"Purch")-SUMIFS($D$4:D1583,$B$4:B1583,B1583,$C$4:C1583,"Sale"),0)</f>
        <v>0</v>
      </c>
    </row>
    <row r="1584" spans="1:14" x14ac:dyDescent="0.2">
      <c r="A1584" s="152"/>
      <c r="B1584" s="132"/>
      <c r="C1584" s="132"/>
      <c r="D1584" s="277"/>
      <c r="E1584" s="132"/>
      <c r="F1584" s="170"/>
      <c r="G1584" s="150"/>
      <c r="H1584" s="152"/>
      <c r="I1584" s="204"/>
      <c r="J1584" s="285"/>
      <c r="K1584" s="251"/>
      <c r="L1584" s="133" t="str">
        <f>IF(AND(I1584&lt;&gt;"",ISERROR(IF(ISERROR(VLOOKUP(I1584*1,Summary!$C$8:$C$153,1,0)),VLOOKUP(I1584,Summary!$C$8:$C$153,1,0),VLOOKUP(I1584*1,Summary!$C$8:$C$153,1,0)))),"Add account Number to Summary","")</f>
        <v/>
      </c>
      <c r="M1584" s="131" t="str">
        <f t="shared" si="25"/>
        <v/>
      </c>
      <c r="N1584" s="287">
        <f>IF(C1584="Sale",SUMIFS($D$4:D1584,$B$4:B1584,B1584,$C$4:C1584,"")+SUMIFS($D$4:D1584,$B$4:B1584,B1584,$C$4:C1584,"Purch")-SUMIFS($D$4:D1584,$B$4:B1584,B1584,$C$4:C1584,"Sale"),0)</f>
        <v>0</v>
      </c>
    </row>
    <row r="1585" spans="1:14" x14ac:dyDescent="0.2">
      <c r="A1585" s="152"/>
      <c r="B1585" s="132"/>
      <c r="C1585" s="132"/>
      <c r="D1585" s="277"/>
      <c r="E1585" s="132"/>
      <c r="F1585" s="170"/>
      <c r="G1585" s="150"/>
      <c r="H1585" s="152"/>
      <c r="I1585" s="204"/>
      <c r="J1585" s="285"/>
      <c r="K1585" s="251"/>
      <c r="L1585" s="133" t="str">
        <f>IF(AND(I1585&lt;&gt;"",ISERROR(IF(ISERROR(VLOOKUP(I1585*1,Summary!$C$8:$C$153,1,0)),VLOOKUP(I1585,Summary!$C$8:$C$153,1,0),VLOOKUP(I1585*1,Summary!$C$8:$C$153,1,0)))),"Add account Number to Summary","")</f>
        <v/>
      </c>
      <c r="M1585" s="131" t="str">
        <f t="shared" si="25"/>
        <v/>
      </c>
      <c r="N1585" s="287">
        <f>IF(C1585="Sale",SUMIFS($D$4:D1585,$B$4:B1585,B1585,$C$4:C1585,"")+SUMIFS($D$4:D1585,$B$4:B1585,B1585,$C$4:C1585,"Purch")-SUMIFS($D$4:D1585,$B$4:B1585,B1585,$C$4:C1585,"Sale"),0)</f>
        <v>0</v>
      </c>
    </row>
    <row r="1586" spans="1:14" x14ac:dyDescent="0.2">
      <c r="A1586" s="152"/>
      <c r="B1586" s="132"/>
      <c r="C1586" s="132"/>
      <c r="D1586" s="277"/>
      <c r="E1586" s="132"/>
      <c r="F1586" s="170"/>
      <c r="G1586" s="150"/>
      <c r="H1586" s="152"/>
      <c r="I1586" s="204"/>
      <c r="J1586" s="285"/>
      <c r="K1586" s="251"/>
      <c r="L1586" s="133" t="str">
        <f>IF(AND(I1586&lt;&gt;"",ISERROR(IF(ISERROR(VLOOKUP(I1586*1,Summary!$C$8:$C$153,1,0)),VLOOKUP(I1586,Summary!$C$8:$C$153,1,0),VLOOKUP(I1586*1,Summary!$C$8:$C$153,1,0)))),"Add account Number to Summary","")</f>
        <v/>
      </c>
      <c r="M1586" s="131" t="str">
        <f t="shared" si="25"/>
        <v/>
      </c>
      <c r="N1586" s="287">
        <f>IF(C1586="Sale",SUMIFS($D$4:D1586,$B$4:B1586,B1586,$C$4:C1586,"")+SUMIFS($D$4:D1586,$B$4:B1586,B1586,$C$4:C1586,"Purch")-SUMIFS($D$4:D1586,$B$4:B1586,B1586,$C$4:C1586,"Sale"),0)</f>
        <v>0</v>
      </c>
    </row>
    <row r="1587" spans="1:14" x14ac:dyDescent="0.2">
      <c r="A1587" s="152"/>
      <c r="B1587" s="132"/>
      <c r="C1587" s="132"/>
      <c r="D1587" s="277"/>
      <c r="E1587" s="132"/>
      <c r="F1587" s="170"/>
      <c r="G1587" s="150"/>
      <c r="H1587" s="152"/>
      <c r="I1587" s="204"/>
      <c r="J1587" s="285"/>
      <c r="K1587" s="251"/>
      <c r="L1587" s="133" t="str">
        <f>IF(AND(I1587&lt;&gt;"",ISERROR(IF(ISERROR(VLOOKUP(I1587*1,Summary!$C$8:$C$153,1,0)),VLOOKUP(I1587,Summary!$C$8:$C$153,1,0),VLOOKUP(I1587*1,Summary!$C$8:$C$153,1,0)))),"Add account Number to Summary","")</f>
        <v/>
      </c>
      <c r="M1587" s="131" t="str">
        <f t="shared" si="25"/>
        <v/>
      </c>
      <c r="N1587" s="287">
        <f>IF(C1587="Sale",SUMIFS($D$4:D1587,$B$4:B1587,B1587,$C$4:C1587,"")+SUMIFS($D$4:D1587,$B$4:B1587,B1587,$C$4:C1587,"Purch")-SUMIFS($D$4:D1587,$B$4:B1587,B1587,$C$4:C1587,"Sale"),0)</f>
        <v>0</v>
      </c>
    </row>
    <row r="1588" spans="1:14" x14ac:dyDescent="0.2">
      <c r="A1588" s="152"/>
      <c r="B1588" s="132"/>
      <c r="C1588" s="132"/>
      <c r="D1588" s="277"/>
      <c r="E1588" s="132"/>
      <c r="F1588" s="170"/>
      <c r="G1588" s="150"/>
      <c r="H1588" s="152"/>
      <c r="I1588" s="204"/>
      <c r="J1588" s="285"/>
      <c r="K1588" s="251"/>
      <c r="L1588" s="133" t="str">
        <f>IF(AND(I1588&lt;&gt;"",ISERROR(IF(ISERROR(VLOOKUP(I1588*1,Summary!$C$8:$C$153,1,0)),VLOOKUP(I1588,Summary!$C$8:$C$153,1,0),VLOOKUP(I1588*1,Summary!$C$8:$C$153,1,0)))),"Add account Number to Summary","")</f>
        <v/>
      </c>
      <c r="M1588" s="131" t="str">
        <f t="shared" si="25"/>
        <v/>
      </c>
      <c r="N1588" s="287">
        <f>IF(C1588="Sale",SUMIFS($D$4:D1588,$B$4:B1588,B1588,$C$4:C1588,"")+SUMIFS($D$4:D1588,$B$4:B1588,B1588,$C$4:C1588,"Purch")-SUMIFS($D$4:D1588,$B$4:B1588,B1588,$C$4:C1588,"Sale"),0)</f>
        <v>0</v>
      </c>
    </row>
    <row r="1589" spans="1:14" x14ac:dyDescent="0.2">
      <c r="A1589" s="152"/>
      <c r="B1589" s="132"/>
      <c r="C1589" s="132"/>
      <c r="D1589" s="277"/>
      <c r="E1589" s="132"/>
      <c r="F1589" s="170"/>
      <c r="G1589" s="150"/>
      <c r="H1589" s="152"/>
      <c r="I1589" s="204"/>
      <c r="J1589" s="285"/>
      <c r="K1589" s="251"/>
      <c r="L1589" s="133" t="str">
        <f>IF(AND(I1589&lt;&gt;"",ISERROR(IF(ISERROR(VLOOKUP(I1589*1,Summary!$C$8:$C$153,1,0)),VLOOKUP(I1589,Summary!$C$8:$C$153,1,0),VLOOKUP(I1589*1,Summary!$C$8:$C$153,1,0)))),"Add account Number to Summary","")</f>
        <v/>
      </c>
      <c r="M1589" s="131" t="str">
        <f t="shared" si="25"/>
        <v/>
      </c>
      <c r="N1589" s="287">
        <f>IF(C1589="Sale",SUMIFS($D$4:D1589,$B$4:B1589,B1589,$C$4:C1589,"")+SUMIFS($D$4:D1589,$B$4:B1589,B1589,$C$4:C1589,"Purch")-SUMIFS($D$4:D1589,$B$4:B1589,B1589,$C$4:C1589,"Sale"),0)</f>
        <v>0</v>
      </c>
    </row>
    <row r="1590" spans="1:14" x14ac:dyDescent="0.2">
      <c r="A1590" s="152"/>
      <c r="B1590" s="132"/>
      <c r="C1590" s="132"/>
      <c r="D1590" s="277"/>
      <c r="E1590" s="132"/>
      <c r="F1590" s="170"/>
      <c r="G1590" s="150"/>
      <c r="H1590" s="152"/>
      <c r="I1590" s="204"/>
      <c r="J1590" s="285"/>
      <c r="K1590" s="251"/>
      <c r="L1590" s="133" t="str">
        <f>IF(AND(I1590&lt;&gt;"",ISERROR(IF(ISERROR(VLOOKUP(I1590*1,Summary!$C$8:$C$153,1,0)),VLOOKUP(I1590,Summary!$C$8:$C$153,1,0),VLOOKUP(I1590*1,Summary!$C$8:$C$153,1,0)))),"Add account Number to Summary","")</f>
        <v/>
      </c>
      <c r="M1590" s="131" t="str">
        <f t="shared" si="25"/>
        <v/>
      </c>
      <c r="N1590" s="287">
        <f>IF(C1590="Sale",SUMIFS($D$4:D1590,$B$4:B1590,B1590,$C$4:C1590,"")+SUMIFS($D$4:D1590,$B$4:B1590,B1590,$C$4:C1590,"Purch")-SUMIFS($D$4:D1590,$B$4:B1590,B1590,$C$4:C1590,"Sale"),0)</f>
        <v>0</v>
      </c>
    </row>
    <row r="1591" spans="1:14" x14ac:dyDescent="0.2">
      <c r="A1591" s="152"/>
      <c r="B1591" s="132"/>
      <c r="C1591" s="132"/>
      <c r="D1591" s="277"/>
      <c r="E1591" s="132"/>
      <c r="F1591" s="170"/>
      <c r="G1591" s="150"/>
      <c r="H1591" s="152"/>
      <c r="I1591" s="204"/>
      <c r="J1591" s="285"/>
      <c r="K1591" s="251"/>
      <c r="L1591" s="133" t="str">
        <f>IF(AND(I1591&lt;&gt;"",ISERROR(IF(ISERROR(VLOOKUP(I1591*1,Summary!$C$8:$C$153,1,0)),VLOOKUP(I1591,Summary!$C$8:$C$153,1,0),VLOOKUP(I1591*1,Summary!$C$8:$C$153,1,0)))),"Add account Number to Summary","")</f>
        <v/>
      </c>
      <c r="M1591" s="131" t="str">
        <f t="shared" si="25"/>
        <v/>
      </c>
      <c r="N1591" s="287">
        <f>IF(C1591="Sale",SUMIFS($D$4:D1591,$B$4:B1591,B1591,$C$4:C1591,"")+SUMIFS($D$4:D1591,$B$4:B1591,B1591,$C$4:C1591,"Purch")-SUMIFS($D$4:D1591,$B$4:B1591,B1591,$C$4:C1591,"Sale"),0)</f>
        <v>0</v>
      </c>
    </row>
    <row r="1592" spans="1:14" x14ac:dyDescent="0.2">
      <c r="A1592" s="152"/>
      <c r="B1592" s="132"/>
      <c r="C1592" s="132"/>
      <c r="D1592" s="277"/>
      <c r="E1592" s="132"/>
      <c r="F1592" s="170"/>
      <c r="G1592" s="150"/>
      <c r="H1592" s="152"/>
      <c r="I1592" s="204"/>
      <c r="J1592" s="285"/>
      <c r="K1592" s="251"/>
      <c r="L1592" s="133" t="str">
        <f>IF(AND(I1592&lt;&gt;"",ISERROR(IF(ISERROR(VLOOKUP(I1592*1,Summary!$C$8:$C$153,1,0)),VLOOKUP(I1592,Summary!$C$8:$C$153,1,0),VLOOKUP(I1592*1,Summary!$C$8:$C$153,1,0)))),"Add account Number to Summary","")</f>
        <v/>
      </c>
      <c r="M1592" s="131" t="str">
        <f t="shared" si="25"/>
        <v/>
      </c>
      <c r="N1592" s="287">
        <f>IF(C1592="Sale",SUMIFS($D$4:D1592,$B$4:B1592,B1592,$C$4:C1592,"")+SUMIFS($D$4:D1592,$B$4:B1592,B1592,$C$4:C1592,"Purch")-SUMIFS($D$4:D1592,$B$4:B1592,B1592,$C$4:C1592,"Sale"),0)</f>
        <v>0</v>
      </c>
    </row>
    <row r="1593" spans="1:14" x14ac:dyDescent="0.2">
      <c r="A1593" s="152"/>
      <c r="B1593" s="132"/>
      <c r="C1593" s="132"/>
      <c r="D1593" s="277"/>
      <c r="E1593" s="132"/>
      <c r="F1593" s="170"/>
      <c r="G1593" s="150"/>
      <c r="H1593" s="152"/>
      <c r="I1593" s="204"/>
      <c r="J1593" s="285"/>
      <c r="K1593" s="251"/>
      <c r="L1593" s="133" t="str">
        <f>IF(AND(I1593&lt;&gt;"",ISERROR(IF(ISERROR(VLOOKUP(I1593*1,Summary!$C$8:$C$153,1,0)),VLOOKUP(I1593,Summary!$C$8:$C$153,1,0),VLOOKUP(I1593*1,Summary!$C$8:$C$153,1,0)))),"Add account Number to Summary","")</f>
        <v/>
      </c>
      <c r="M1593" s="131" t="str">
        <f t="shared" si="25"/>
        <v/>
      </c>
      <c r="N1593" s="287">
        <f>IF(C1593="Sale",SUMIFS($D$4:D1593,$B$4:B1593,B1593,$C$4:C1593,"")+SUMIFS($D$4:D1593,$B$4:B1593,B1593,$C$4:C1593,"Purch")-SUMIFS($D$4:D1593,$B$4:B1593,B1593,$C$4:C1593,"Sale"),0)</f>
        <v>0</v>
      </c>
    </row>
    <row r="1594" spans="1:14" x14ac:dyDescent="0.2">
      <c r="A1594" s="152"/>
      <c r="B1594" s="132"/>
      <c r="C1594" s="132"/>
      <c r="D1594" s="277"/>
      <c r="E1594" s="132"/>
      <c r="F1594" s="170"/>
      <c r="G1594" s="150"/>
      <c r="H1594" s="152"/>
      <c r="I1594" s="204"/>
      <c r="J1594" s="285"/>
      <c r="K1594" s="251"/>
      <c r="L1594" s="133" t="str">
        <f>IF(AND(I1594&lt;&gt;"",ISERROR(IF(ISERROR(VLOOKUP(I1594*1,Summary!$C$8:$C$153,1,0)),VLOOKUP(I1594,Summary!$C$8:$C$153,1,0),VLOOKUP(I1594*1,Summary!$C$8:$C$153,1,0)))),"Add account Number to Summary","")</f>
        <v/>
      </c>
      <c r="M1594" s="131" t="str">
        <f t="shared" si="25"/>
        <v/>
      </c>
      <c r="N1594" s="287">
        <f>IF(C1594="Sale",SUMIFS($D$4:D1594,$B$4:B1594,B1594,$C$4:C1594,"")+SUMIFS($D$4:D1594,$B$4:B1594,B1594,$C$4:C1594,"Purch")-SUMIFS($D$4:D1594,$B$4:B1594,B1594,$C$4:C1594,"Sale"),0)</f>
        <v>0</v>
      </c>
    </row>
    <row r="1595" spans="1:14" x14ac:dyDescent="0.2">
      <c r="A1595" s="152"/>
      <c r="B1595" s="132"/>
      <c r="C1595" s="132"/>
      <c r="D1595" s="277"/>
      <c r="E1595" s="132"/>
      <c r="F1595" s="170"/>
      <c r="G1595" s="150"/>
      <c r="H1595" s="152"/>
      <c r="I1595" s="204"/>
      <c r="J1595" s="285"/>
      <c r="K1595" s="251"/>
      <c r="L1595" s="133" t="str">
        <f>IF(AND(I1595&lt;&gt;"",ISERROR(IF(ISERROR(VLOOKUP(I1595*1,Summary!$C$8:$C$153,1,0)),VLOOKUP(I1595,Summary!$C$8:$C$153,1,0),VLOOKUP(I1595*1,Summary!$C$8:$C$153,1,0)))),"Add account Number to Summary","")</f>
        <v/>
      </c>
      <c r="M1595" s="131" t="str">
        <f t="shared" si="25"/>
        <v/>
      </c>
      <c r="N1595" s="287">
        <f>IF(C1595="Sale",SUMIFS($D$4:D1595,$B$4:B1595,B1595,$C$4:C1595,"")+SUMIFS($D$4:D1595,$B$4:B1595,B1595,$C$4:C1595,"Purch")-SUMIFS($D$4:D1595,$B$4:B1595,B1595,$C$4:C1595,"Sale"),0)</f>
        <v>0</v>
      </c>
    </row>
    <row r="1596" spans="1:14" x14ac:dyDescent="0.2">
      <c r="A1596" s="152"/>
      <c r="B1596" s="132"/>
      <c r="C1596" s="132"/>
      <c r="D1596" s="277"/>
      <c r="E1596" s="132"/>
      <c r="F1596" s="170"/>
      <c r="G1596" s="150"/>
      <c r="H1596" s="152"/>
      <c r="I1596" s="204"/>
      <c r="J1596" s="285"/>
      <c r="K1596" s="251"/>
      <c r="L1596" s="133" t="str">
        <f>IF(AND(I1596&lt;&gt;"",ISERROR(IF(ISERROR(VLOOKUP(I1596*1,Summary!$C$8:$C$153,1,0)),VLOOKUP(I1596,Summary!$C$8:$C$153,1,0),VLOOKUP(I1596*1,Summary!$C$8:$C$153,1,0)))),"Add account Number to Summary","")</f>
        <v/>
      </c>
      <c r="M1596" s="131" t="str">
        <f t="shared" si="25"/>
        <v/>
      </c>
      <c r="N1596" s="287">
        <f>IF(C1596="Sale",SUMIFS($D$4:D1596,$B$4:B1596,B1596,$C$4:C1596,"")+SUMIFS($D$4:D1596,$B$4:B1596,B1596,$C$4:C1596,"Purch")-SUMIFS($D$4:D1596,$B$4:B1596,B1596,$C$4:C1596,"Sale"),0)</f>
        <v>0</v>
      </c>
    </row>
    <row r="1597" spans="1:14" x14ac:dyDescent="0.2">
      <c r="A1597" s="152"/>
      <c r="B1597" s="132"/>
      <c r="C1597" s="132"/>
      <c r="D1597" s="277"/>
      <c r="E1597" s="132"/>
      <c r="F1597" s="170"/>
      <c r="G1597" s="150"/>
      <c r="H1597" s="152"/>
      <c r="I1597" s="204"/>
      <c r="J1597" s="285"/>
      <c r="K1597" s="251"/>
      <c r="L1597" s="133" t="str">
        <f>IF(AND(I1597&lt;&gt;"",ISERROR(IF(ISERROR(VLOOKUP(I1597*1,Summary!$C$8:$C$153,1,0)),VLOOKUP(I1597,Summary!$C$8:$C$153,1,0),VLOOKUP(I1597*1,Summary!$C$8:$C$153,1,0)))),"Add account Number to Summary","")</f>
        <v/>
      </c>
      <c r="M1597" s="131" t="str">
        <f t="shared" si="25"/>
        <v/>
      </c>
      <c r="N1597" s="287">
        <f>IF(C1597="Sale",SUMIFS($D$4:D1597,$B$4:B1597,B1597,$C$4:C1597,"")+SUMIFS($D$4:D1597,$B$4:B1597,B1597,$C$4:C1597,"Purch")-SUMIFS($D$4:D1597,$B$4:B1597,B1597,$C$4:C1597,"Sale"),0)</f>
        <v>0</v>
      </c>
    </row>
    <row r="1598" spans="1:14" x14ac:dyDescent="0.2">
      <c r="A1598" s="152"/>
      <c r="B1598" s="132"/>
      <c r="C1598" s="132"/>
      <c r="D1598" s="277"/>
      <c r="E1598" s="132"/>
      <c r="F1598" s="170"/>
      <c r="G1598" s="150"/>
      <c r="H1598" s="152"/>
      <c r="I1598" s="204"/>
      <c r="J1598" s="285"/>
      <c r="K1598" s="251"/>
      <c r="L1598" s="133" t="str">
        <f>IF(AND(I1598&lt;&gt;"",ISERROR(IF(ISERROR(VLOOKUP(I1598*1,Summary!$C$8:$C$153,1,0)),VLOOKUP(I1598,Summary!$C$8:$C$153,1,0),VLOOKUP(I1598*1,Summary!$C$8:$C$153,1,0)))),"Add account Number to Summary","")</f>
        <v/>
      </c>
      <c r="M1598" s="131" t="str">
        <f t="shared" si="25"/>
        <v/>
      </c>
      <c r="N1598" s="287">
        <f>IF(C1598="Sale",SUMIFS($D$4:D1598,$B$4:B1598,B1598,$C$4:C1598,"")+SUMIFS($D$4:D1598,$B$4:B1598,B1598,$C$4:C1598,"Purch")-SUMIFS($D$4:D1598,$B$4:B1598,B1598,$C$4:C1598,"Sale"),0)</f>
        <v>0</v>
      </c>
    </row>
    <row r="1599" spans="1:14" x14ac:dyDescent="0.2">
      <c r="A1599" s="152"/>
      <c r="B1599" s="132"/>
      <c r="C1599" s="132"/>
      <c r="D1599" s="277"/>
      <c r="E1599" s="132"/>
      <c r="F1599" s="170"/>
      <c r="G1599" s="150"/>
      <c r="H1599" s="152"/>
      <c r="I1599" s="204"/>
      <c r="J1599" s="285"/>
      <c r="K1599" s="251"/>
      <c r="L1599" s="133" t="str">
        <f>IF(AND(I1599&lt;&gt;"",ISERROR(IF(ISERROR(VLOOKUP(I1599*1,Summary!$C$8:$C$153,1,0)),VLOOKUP(I1599,Summary!$C$8:$C$153,1,0),VLOOKUP(I1599*1,Summary!$C$8:$C$153,1,0)))),"Add account Number to Summary","")</f>
        <v/>
      </c>
      <c r="M1599" s="131" t="str">
        <f t="shared" si="25"/>
        <v/>
      </c>
      <c r="N1599" s="287">
        <f>IF(C1599="Sale",SUMIFS($D$4:D1599,$B$4:B1599,B1599,$C$4:C1599,"")+SUMIFS($D$4:D1599,$B$4:B1599,B1599,$C$4:C1599,"Purch")-SUMIFS($D$4:D1599,$B$4:B1599,B1599,$C$4:C1599,"Sale"),0)</f>
        <v>0</v>
      </c>
    </row>
    <row r="1600" spans="1:14" x14ac:dyDescent="0.2">
      <c r="A1600" s="152"/>
      <c r="B1600" s="132"/>
      <c r="C1600" s="132"/>
      <c r="D1600" s="277"/>
      <c r="E1600" s="132"/>
      <c r="F1600" s="170"/>
      <c r="G1600" s="150"/>
      <c r="H1600" s="152"/>
      <c r="I1600" s="204"/>
      <c r="J1600" s="285"/>
      <c r="K1600" s="251"/>
      <c r="L1600" s="133" t="str">
        <f>IF(AND(I1600&lt;&gt;"",ISERROR(IF(ISERROR(VLOOKUP(I1600*1,Summary!$C$8:$C$153,1,0)),VLOOKUP(I1600,Summary!$C$8:$C$153,1,0),VLOOKUP(I1600*1,Summary!$C$8:$C$153,1,0)))),"Add account Number to Summary","")</f>
        <v/>
      </c>
      <c r="M1600" s="131" t="str">
        <f t="shared" si="25"/>
        <v/>
      </c>
      <c r="N1600" s="287">
        <f>IF(C1600="Sale",SUMIFS($D$4:D1600,$B$4:B1600,B1600,$C$4:C1600,"")+SUMIFS($D$4:D1600,$B$4:B1600,B1600,$C$4:C1600,"Purch")-SUMIFS($D$4:D1600,$B$4:B1600,B1600,$C$4:C1600,"Sale"),0)</f>
        <v>0</v>
      </c>
    </row>
    <row r="1601" spans="1:14" x14ac:dyDescent="0.2">
      <c r="A1601" s="152"/>
      <c r="B1601" s="132"/>
      <c r="C1601" s="132"/>
      <c r="D1601" s="277"/>
      <c r="E1601" s="132"/>
      <c r="F1601" s="170"/>
      <c r="G1601" s="150"/>
      <c r="H1601" s="152"/>
      <c r="I1601" s="204"/>
      <c r="J1601" s="285"/>
      <c r="K1601" s="251"/>
      <c r="L1601" s="133" t="str">
        <f>IF(AND(I1601&lt;&gt;"",ISERROR(IF(ISERROR(VLOOKUP(I1601*1,Summary!$C$8:$C$153,1,0)),VLOOKUP(I1601,Summary!$C$8:$C$153,1,0),VLOOKUP(I1601*1,Summary!$C$8:$C$153,1,0)))),"Add account Number to Summary","")</f>
        <v/>
      </c>
      <c r="M1601" s="131" t="str">
        <f t="shared" si="25"/>
        <v/>
      </c>
      <c r="N1601" s="287">
        <f>IF(C1601="Sale",SUMIFS($D$4:D1601,$B$4:B1601,B1601,$C$4:C1601,"")+SUMIFS($D$4:D1601,$B$4:B1601,B1601,$C$4:C1601,"Purch")-SUMIFS($D$4:D1601,$B$4:B1601,B1601,$C$4:C1601,"Sale"),0)</f>
        <v>0</v>
      </c>
    </row>
    <row r="1602" spans="1:14" x14ac:dyDescent="0.2">
      <c r="A1602" s="152"/>
      <c r="B1602" s="132"/>
      <c r="C1602" s="132"/>
      <c r="D1602" s="277"/>
      <c r="E1602" s="132"/>
      <c r="F1602" s="170"/>
      <c r="G1602" s="150"/>
      <c r="H1602" s="152"/>
      <c r="I1602" s="204"/>
      <c r="J1602" s="285"/>
      <c r="K1602" s="251"/>
      <c r="L1602" s="133" t="str">
        <f>IF(AND(I1602&lt;&gt;"",ISERROR(IF(ISERROR(VLOOKUP(I1602*1,Summary!$C$8:$C$153,1,0)),VLOOKUP(I1602,Summary!$C$8:$C$153,1,0),VLOOKUP(I1602*1,Summary!$C$8:$C$153,1,0)))),"Add account Number to Summary","")</f>
        <v/>
      </c>
      <c r="M1602" s="131" t="str">
        <f t="shared" si="25"/>
        <v/>
      </c>
      <c r="N1602" s="287">
        <f>IF(C1602="Sale",SUMIFS($D$4:D1602,$B$4:B1602,B1602,$C$4:C1602,"")+SUMIFS($D$4:D1602,$B$4:B1602,B1602,$C$4:C1602,"Purch")-SUMIFS($D$4:D1602,$B$4:B1602,B1602,$C$4:C1602,"Sale"),0)</f>
        <v>0</v>
      </c>
    </row>
    <row r="1603" spans="1:14" x14ac:dyDescent="0.2">
      <c r="A1603" s="152"/>
      <c r="B1603" s="132"/>
      <c r="C1603" s="132"/>
      <c r="D1603" s="277"/>
      <c r="E1603" s="132"/>
      <c r="F1603" s="170"/>
      <c r="G1603" s="150"/>
      <c r="H1603" s="152"/>
      <c r="I1603" s="204"/>
      <c r="J1603" s="285"/>
      <c r="K1603" s="251"/>
      <c r="L1603" s="133" t="str">
        <f>IF(AND(I1603&lt;&gt;"",ISERROR(IF(ISERROR(VLOOKUP(I1603*1,Summary!$C$8:$C$153,1,0)),VLOOKUP(I1603,Summary!$C$8:$C$153,1,0),VLOOKUP(I1603*1,Summary!$C$8:$C$153,1,0)))),"Add account Number to Summary","")</f>
        <v/>
      </c>
      <c r="M1603" s="131" t="str">
        <f t="shared" si="25"/>
        <v/>
      </c>
      <c r="N1603" s="287">
        <f>IF(C1603="Sale",SUMIFS($D$4:D1603,$B$4:B1603,B1603,$C$4:C1603,"")+SUMIFS($D$4:D1603,$B$4:B1603,B1603,$C$4:C1603,"Purch")-SUMIFS($D$4:D1603,$B$4:B1603,B1603,$C$4:C1603,"Sale"),0)</f>
        <v>0</v>
      </c>
    </row>
    <row r="1604" spans="1:14" x14ac:dyDescent="0.2">
      <c r="A1604" s="152"/>
      <c r="B1604" s="132"/>
      <c r="C1604" s="132"/>
      <c r="D1604" s="277"/>
      <c r="E1604" s="132"/>
      <c r="F1604" s="170"/>
      <c r="G1604" s="150"/>
      <c r="H1604" s="152"/>
      <c r="I1604" s="204"/>
      <c r="J1604" s="285"/>
      <c r="K1604" s="251"/>
      <c r="L1604" s="133" t="str">
        <f>IF(AND(I1604&lt;&gt;"",ISERROR(IF(ISERROR(VLOOKUP(I1604*1,Summary!$C$8:$C$153,1,0)),VLOOKUP(I1604,Summary!$C$8:$C$153,1,0),VLOOKUP(I1604*1,Summary!$C$8:$C$153,1,0)))),"Add account Number to Summary","")</f>
        <v/>
      </c>
      <c r="M1604" s="131" t="str">
        <f t="shared" si="25"/>
        <v/>
      </c>
      <c r="N1604" s="287">
        <f>IF(C1604="Sale",SUMIFS($D$4:D1604,$B$4:B1604,B1604,$C$4:C1604,"")+SUMIFS($D$4:D1604,$B$4:B1604,B1604,$C$4:C1604,"Purch")-SUMIFS($D$4:D1604,$B$4:B1604,B1604,$C$4:C1604,"Sale"),0)</f>
        <v>0</v>
      </c>
    </row>
    <row r="1605" spans="1:14" x14ac:dyDescent="0.2">
      <c r="A1605" s="152"/>
      <c r="B1605" s="132"/>
      <c r="C1605" s="132"/>
      <c r="D1605" s="277"/>
      <c r="E1605" s="132"/>
      <c r="F1605" s="170"/>
      <c r="G1605" s="150"/>
      <c r="H1605" s="152"/>
      <c r="I1605" s="204"/>
      <c r="J1605" s="285"/>
      <c r="K1605" s="251"/>
      <c r="L1605" s="133" t="str">
        <f>IF(AND(I1605&lt;&gt;"",ISERROR(IF(ISERROR(VLOOKUP(I1605*1,Summary!$C$8:$C$153,1,0)),VLOOKUP(I1605,Summary!$C$8:$C$153,1,0),VLOOKUP(I1605*1,Summary!$C$8:$C$153,1,0)))),"Add account Number to Summary","")</f>
        <v/>
      </c>
      <c r="M1605" s="131" t="str">
        <f t="shared" si="25"/>
        <v/>
      </c>
      <c r="N1605" s="287">
        <f>IF(C1605="Sale",SUMIFS($D$4:D1605,$B$4:B1605,B1605,$C$4:C1605,"")+SUMIFS($D$4:D1605,$B$4:B1605,B1605,$C$4:C1605,"Purch")-SUMIFS($D$4:D1605,$B$4:B1605,B1605,$C$4:C1605,"Sale"),0)</f>
        <v>0</v>
      </c>
    </row>
    <row r="1606" spans="1:14" x14ac:dyDescent="0.2">
      <c r="A1606" s="152"/>
      <c r="B1606" s="132"/>
      <c r="C1606" s="132"/>
      <c r="D1606" s="277"/>
      <c r="E1606" s="132"/>
      <c r="F1606" s="170"/>
      <c r="G1606" s="150"/>
      <c r="H1606" s="152"/>
      <c r="I1606" s="204"/>
      <c r="J1606" s="285"/>
      <c r="K1606" s="251"/>
      <c r="L1606" s="133" t="str">
        <f>IF(AND(I1606&lt;&gt;"",ISERROR(IF(ISERROR(VLOOKUP(I1606*1,Summary!$C$8:$C$153,1,0)),VLOOKUP(I1606,Summary!$C$8:$C$153,1,0),VLOOKUP(I1606*1,Summary!$C$8:$C$153,1,0)))),"Add account Number to Summary","")</f>
        <v/>
      </c>
      <c r="M1606" s="131" t="str">
        <f t="shared" si="25"/>
        <v/>
      </c>
      <c r="N1606" s="287">
        <f>IF(C1606="Sale",SUMIFS($D$4:D1606,$B$4:B1606,B1606,$C$4:C1606,"")+SUMIFS($D$4:D1606,$B$4:B1606,B1606,$C$4:C1606,"Purch")-SUMIFS($D$4:D1606,$B$4:B1606,B1606,$C$4:C1606,"Sale"),0)</f>
        <v>0</v>
      </c>
    </row>
    <row r="1607" spans="1:14" x14ac:dyDescent="0.2">
      <c r="A1607" s="152"/>
      <c r="B1607" s="132"/>
      <c r="C1607" s="132"/>
      <c r="D1607" s="277"/>
      <c r="E1607" s="132"/>
      <c r="F1607" s="170"/>
      <c r="G1607" s="150"/>
      <c r="H1607" s="152"/>
      <c r="I1607" s="204"/>
      <c r="J1607" s="285"/>
      <c r="K1607" s="251"/>
      <c r="L1607" s="133" t="str">
        <f>IF(AND(I1607&lt;&gt;"",ISERROR(IF(ISERROR(VLOOKUP(I1607*1,Summary!$C$8:$C$153,1,0)),VLOOKUP(I1607,Summary!$C$8:$C$153,1,0),VLOOKUP(I1607*1,Summary!$C$8:$C$153,1,0)))),"Add account Number to Summary","")</f>
        <v/>
      </c>
      <c r="M1607" s="131" t="str">
        <f t="shared" si="25"/>
        <v/>
      </c>
      <c r="N1607" s="287">
        <f>IF(C1607="Sale",SUMIFS($D$4:D1607,$B$4:B1607,B1607,$C$4:C1607,"")+SUMIFS($D$4:D1607,$B$4:B1607,B1607,$C$4:C1607,"Purch")-SUMIFS($D$4:D1607,$B$4:B1607,B1607,$C$4:C1607,"Sale"),0)</f>
        <v>0</v>
      </c>
    </row>
    <row r="1608" spans="1:14" x14ac:dyDescent="0.2">
      <c r="A1608" s="152"/>
      <c r="B1608" s="132"/>
      <c r="C1608" s="132"/>
      <c r="D1608" s="277"/>
      <c r="E1608" s="132"/>
      <c r="F1608" s="170"/>
      <c r="G1608" s="150"/>
      <c r="H1608" s="152"/>
      <c r="I1608" s="204"/>
      <c r="J1608" s="285"/>
      <c r="K1608" s="251"/>
      <c r="L1608" s="133" t="str">
        <f>IF(AND(I1608&lt;&gt;"",ISERROR(IF(ISERROR(VLOOKUP(I1608*1,Summary!$C$8:$C$153,1,0)),VLOOKUP(I1608,Summary!$C$8:$C$153,1,0),VLOOKUP(I1608*1,Summary!$C$8:$C$153,1,0)))),"Add account Number to Summary","")</f>
        <v/>
      </c>
      <c r="M1608" s="131" t="str">
        <f t="shared" si="25"/>
        <v/>
      </c>
      <c r="N1608" s="287">
        <f>IF(C1608="Sale",SUMIFS($D$4:D1608,$B$4:B1608,B1608,$C$4:C1608,"")+SUMIFS($D$4:D1608,$B$4:B1608,B1608,$C$4:C1608,"Purch")-SUMIFS($D$4:D1608,$B$4:B1608,B1608,$C$4:C1608,"Sale"),0)</f>
        <v>0</v>
      </c>
    </row>
    <row r="1609" spans="1:14" x14ac:dyDescent="0.2">
      <c r="A1609" s="152"/>
      <c r="B1609" s="132"/>
      <c r="C1609" s="132"/>
      <c r="D1609" s="277"/>
      <c r="E1609" s="132"/>
      <c r="F1609" s="170"/>
      <c r="G1609" s="150"/>
      <c r="H1609" s="152"/>
      <c r="I1609" s="204"/>
      <c r="J1609" s="285"/>
      <c r="K1609" s="251"/>
      <c r="L1609" s="133" t="str">
        <f>IF(AND(I1609&lt;&gt;"",ISERROR(IF(ISERROR(VLOOKUP(I1609*1,Summary!$C$8:$C$153,1,0)),VLOOKUP(I1609,Summary!$C$8:$C$153,1,0),VLOOKUP(I1609*1,Summary!$C$8:$C$153,1,0)))),"Add account Number to Summary","")</f>
        <v/>
      </c>
      <c r="M1609" s="131" t="str">
        <f t="shared" si="25"/>
        <v/>
      </c>
      <c r="N1609" s="287">
        <f>IF(C1609="Sale",SUMIFS($D$4:D1609,$B$4:B1609,B1609,$C$4:C1609,"")+SUMIFS($D$4:D1609,$B$4:B1609,B1609,$C$4:C1609,"Purch")-SUMIFS($D$4:D1609,$B$4:B1609,B1609,$C$4:C1609,"Sale"),0)</f>
        <v>0</v>
      </c>
    </row>
    <row r="1610" spans="1:14" x14ac:dyDescent="0.2">
      <c r="A1610" s="152"/>
      <c r="B1610" s="132"/>
      <c r="C1610" s="132"/>
      <c r="D1610" s="277"/>
      <c r="E1610" s="132"/>
      <c r="F1610" s="170"/>
      <c r="G1610" s="150"/>
      <c r="H1610" s="152"/>
      <c r="I1610" s="204"/>
      <c r="J1610" s="285"/>
      <c r="K1610" s="251"/>
      <c r="L1610" s="133" t="str">
        <f>IF(AND(I1610&lt;&gt;"",ISERROR(IF(ISERROR(VLOOKUP(I1610*1,Summary!$C$8:$C$153,1,0)),VLOOKUP(I1610,Summary!$C$8:$C$153,1,0),VLOOKUP(I1610*1,Summary!$C$8:$C$153,1,0)))),"Add account Number to Summary","")</f>
        <v/>
      </c>
      <c r="M1610" s="131" t="str">
        <f t="shared" si="25"/>
        <v/>
      </c>
      <c r="N1610" s="287">
        <f>IF(C1610="Sale",SUMIFS($D$4:D1610,$B$4:B1610,B1610,$C$4:C1610,"")+SUMIFS($D$4:D1610,$B$4:B1610,B1610,$C$4:C1610,"Purch")-SUMIFS($D$4:D1610,$B$4:B1610,B1610,$C$4:C1610,"Sale"),0)</f>
        <v>0</v>
      </c>
    </row>
    <row r="1611" spans="1:14" x14ac:dyDescent="0.2">
      <c r="A1611" s="152"/>
      <c r="B1611" s="132"/>
      <c r="C1611" s="132"/>
      <c r="D1611" s="277"/>
      <c r="E1611" s="132"/>
      <c r="F1611" s="170"/>
      <c r="G1611" s="150"/>
      <c r="H1611" s="152"/>
      <c r="I1611" s="204"/>
      <c r="J1611" s="285"/>
      <c r="K1611" s="251"/>
      <c r="L1611" s="133" t="str">
        <f>IF(AND(I1611&lt;&gt;"",ISERROR(IF(ISERROR(VLOOKUP(I1611*1,Summary!$C$8:$C$153,1,0)),VLOOKUP(I1611,Summary!$C$8:$C$153,1,0),VLOOKUP(I1611*1,Summary!$C$8:$C$153,1,0)))),"Add account Number to Summary","")</f>
        <v/>
      </c>
      <c r="M1611" s="131" t="str">
        <f t="shared" si="25"/>
        <v/>
      </c>
      <c r="N1611" s="287">
        <f>IF(C1611="Sale",SUMIFS($D$4:D1611,$B$4:B1611,B1611,$C$4:C1611,"")+SUMIFS($D$4:D1611,$B$4:B1611,B1611,$C$4:C1611,"Purch")-SUMIFS($D$4:D1611,$B$4:B1611,B1611,$C$4:C1611,"Sale"),0)</f>
        <v>0</v>
      </c>
    </row>
    <row r="1612" spans="1:14" x14ac:dyDescent="0.2">
      <c r="A1612" s="152"/>
      <c r="B1612" s="132"/>
      <c r="C1612" s="132"/>
      <c r="D1612" s="277"/>
      <c r="E1612" s="132"/>
      <c r="F1612" s="170"/>
      <c r="G1612" s="150"/>
      <c r="H1612" s="152"/>
      <c r="I1612" s="204"/>
      <c r="J1612" s="285"/>
      <c r="K1612" s="251"/>
      <c r="L1612" s="133" t="str">
        <f>IF(AND(I1612&lt;&gt;"",ISERROR(IF(ISERROR(VLOOKUP(I1612*1,Summary!$C$8:$C$153,1,0)),VLOOKUP(I1612,Summary!$C$8:$C$153,1,0),VLOOKUP(I1612*1,Summary!$C$8:$C$153,1,0)))),"Add account Number to Summary","")</f>
        <v/>
      </c>
      <c r="M1612" s="131" t="str">
        <f t="shared" si="25"/>
        <v/>
      </c>
      <c r="N1612" s="287">
        <f>IF(C1612="Sale",SUMIFS($D$4:D1612,$B$4:B1612,B1612,$C$4:C1612,"")+SUMIFS($D$4:D1612,$B$4:B1612,B1612,$C$4:C1612,"Purch")-SUMIFS($D$4:D1612,$B$4:B1612,B1612,$C$4:C1612,"Sale"),0)</f>
        <v>0</v>
      </c>
    </row>
    <row r="1613" spans="1:14" x14ac:dyDescent="0.2">
      <c r="A1613" s="152"/>
      <c r="B1613" s="132"/>
      <c r="C1613" s="132"/>
      <c r="D1613" s="277"/>
      <c r="E1613" s="132"/>
      <c r="F1613" s="170"/>
      <c r="G1613" s="150"/>
      <c r="H1613" s="152"/>
      <c r="I1613" s="204"/>
      <c r="J1613" s="285"/>
      <c r="K1613" s="251"/>
      <c r="L1613" s="133" t="str">
        <f>IF(AND(I1613&lt;&gt;"",ISERROR(IF(ISERROR(VLOOKUP(I1613*1,Summary!$C$8:$C$153,1,0)),VLOOKUP(I1613,Summary!$C$8:$C$153,1,0),VLOOKUP(I1613*1,Summary!$C$8:$C$153,1,0)))),"Add account Number to Summary","")</f>
        <v/>
      </c>
      <c r="M1613" s="131" t="str">
        <f t="shared" si="25"/>
        <v/>
      </c>
      <c r="N1613" s="287">
        <f>IF(C1613="Sale",SUMIFS($D$4:D1613,$B$4:B1613,B1613,$C$4:C1613,"")+SUMIFS($D$4:D1613,$B$4:B1613,B1613,$C$4:C1613,"Purch")-SUMIFS($D$4:D1613,$B$4:B1613,B1613,$C$4:C1613,"Sale"),0)</f>
        <v>0</v>
      </c>
    </row>
    <row r="1614" spans="1:14" x14ac:dyDescent="0.2">
      <c r="A1614" s="152"/>
      <c r="B1614" s="132"/>
      <c r="C1614" s="132"/>
      <c r="D1614" s="277"/>
      <c r="E1614" s="132"/>
      <c r="F1614" s="170"/>
      <c r="G1614" s="150"/>
      <c r="H1614" s="152"/>
      <c r="I1614" s="204"/>
      <c r="J1614" s="285"/>
      <c r="K1614" s="251"/>
      <c r="L1614" s="133" t="str">
        <f>IF(AND(I1614&lt;&gt;"",ISERROR(IF(ISERROR(VLOOKUP(I1614*1,Summary!$C$8:$C$153,1,0)),VLOOKUP(I1614,Summary!$C$8:$C$153,1,0),VLOOKUP(I1614*1,Summary!$C$8:$C$153,1,0)))),"Add account Number to Summary","")</f>
        <v/>
      </c>
      <c r="M1614" s="131" t="str">
        <f t="shared" si="25"/>
        <v/>
      </c>
      <c r="N1614" s="287">
        <f>IF(C1614="Sale",SUMIFS($D$4:D1614,$B$4:B1614,B1614,$C$4:C1614,"")+SUMIFS($D$4:D1614,$B$4:B1614,B1614,$C$4:C1614,"Purch")-SUMIFS($D$4:D1614,$B$4:B1614,B1614,$C$4:C1614,"Sale"),0)</f>
        <v>0</v>
      </c>
    </row>
    <row r="1615" spans="1:14" x14ac:dyDescent="0.2">
      <c r="A1615" s="152"/>
      <c r="B1615" s="132"/>
      <c r="C1615" s="132"/>
      <c r="D1615" s="277"/>
      <c r="E1615" s="132"/>
      <c r="F1615" s="170"/>
      <c r="G1615" s="150"/>
      <c r="H1615" s="152"/>
      <c r="I1615" s="204"/>
      <c r="J1615" s="285"/>
      <c r="K1615" s="251"/>
      <c r="L1615" s="133" t="str">
        <f>IF(AND(I1615&lt;&gt;"",ISERROR(IF(ISERROR(VLOOKUP(I1615*1,Summary!$C$8:$C$153,1,0)),VLOOKUP(I1615,Summary!$C$8:$C$153,1,0),VLOOKUP(I1615*1,Summary!$C$8:$C$153,1,0)))),"Add account Number to Summary","")</f>
        <v/>
      </c>
      <c r="M1615" s="131" t="str">
        <f t="shared" si="25"/>
        <v/>
      </c>
      <c r="N1615" s="287">
        <f>IF(C1615="Sale",SUMIFS($D$4:D1615,$B$4:B1615,B1615,$C$4:C1615,"")+SUMIFS($D$4:D1615,$B$4:B1615,B1615,$C$4:C1615,"Purch")-SUMIFS($D$4:D1615,$B$4:B1615,B1615,$C$4:C1615,"Sale"),0)</f>
        <v>0</v>
      </c>
    </row>
    <row r="1616" spans="1:14" x14ac:dyDescent="0.2">
      <c r="A1616" s="152"/>
      <c r="B1616" s="132"/>
      <c r="C1616" s="132"/>
      <c r="D1616" s="277"/>
      <c r="E1616" s="132"/>
      <c r="F1616" s="170"/>
      <c r="G1616" s="150"/>
      <c r="H1616" s="152"/>
      <c r="I1616" s="204"/>
      <c r="J1616" s="285"/>
      <c r="K1616" s="251"/>
      <c r="L1616" s="133" t="str">
        <f>IF(AND(I1616&lt;&gt;"",ISERROR(IF(ISERROR(VLOOKUP(I1616*1,Summary!$C$8:$C$153,1,0)),VLOOKUP(I1616,Summary!$C$8:$C$153,1,0),VLOOKUP(I1616*1,Summary!$C$8:$C$153,1,0)))),"Add account Number to Summary","")</f>
        <v/>
      </c>
      <c r="M1616" s="131" t="str">
        <f t="shared" si="25"/>
        <v/>
      </c>
      <c r="N1616" s="287">
        <f>IF(C1616="Sale",SUMIFS($D$4:D1616,$B$4:B1616,B1616,$C$4:C1616,"")+SUMIFS($D$4:D1616,$B$4:B1616,B1616,$C$4:C1616,"Purch")-SUMIFS($D$4:D1616,$B$4:B1616,B1616,$C$4:C1616,"Sale"),0)</f>
        <v>0</v>
      </c>
    </row>
    <row r="1617" spans="1:14" x14ac:dyDescent="0.2">
      <c r="A1617" s="152"/>
      <c r="B1617" s="132"/>
      <c r="C1617" s="132"/>
      <c r="D1617" s="277"/>
      <c r="E1617" s="132"/>
      <c r="F1617" s="170"/>
      <c r="G1617" s="150"/>
      <c r="H1617" s="152"/>
      <c r="I1617" s="204"/>
      <c r="J1617" s="285"/>
      <c r="K1617" s="251"/>
      <c r="L1617" s="133" t="str">
        <f>IF(AND(I1617&lt;&gt;"",ISERROR(IF(ISERROR(VLOOKUP(I1617*1,Summary!$C$8:$C$153,1,0)),VLOOKUP(I1617,Summary!$C$8:$C$153,1,0),VLOOKUP(I1617*1,Summary!$C$8:$C$153,1,0)))),"Add account Number to Summary","")</f>
        <v/>
      </c>
      <c r="M1617" s="131" t="str">
        <f t="shared" si="25"/>
        <v/>
      </c>
      <c r="N1617" s="287">
        <f>IF(C1617="Sale",SUMIFS($D$4:D1617,$B$4:B1617,B1617,$C$4:C1617,"")+SUMIFS($D$4:D1617,$B$4:B1617,B1617,$C$4:C1617,"Purch")-SUMIFS($D$4:D1617,$B$4:B1617,B1617,$C$4:C1617,"Sale"),0)</f>
        <v>0</v>
      </c>
    </row>
    <row r="1618" spans="1:14" x14ac:dyDescent="0.2">
      <c r="A1618" s="152"/>
      <c r="B1618" s="132"/>
      <c r="C1618" s="132"/>
      <c r="D1618" s="277"/>
      <c r="E1618" s="132"/>
      <c r="F1618" s="170"/>
      <c r="G1618" s="150"/>
      <c r="H1618" s="152"/>
      <c r="I1618" s="204"/>
      <c r="J1618" s="285"/>
      <c r="K1618" s="251"/>
      <c r="L1618" s="133" t="str">
        <f>IF(AND(I1618&lt;&gt;"",ISERROR(IF(ISERROR(VLOOKUP(I1618*1,Summary!$C$8:$C$153,1,0)),VLOOKUP(I1618,Summary!$C$8:$C$153,1,0),VLOOKUP(I1618*1,Summary!$C$8:$C$153,1,0)))),"Add account Number to Summary","")</f>
        <v/>
      </c>
      <c r="M1618" s="131" t="str">
        <f t="shared" si="25"/>
        <v/>
      </c>
      <c r="N1618" s="287">
        <f>IF(C1618="Sale",SUMIFS($D$4:D1618,$B$4:B1618,B1618,$C$4:C1618,"")+SUMIFS($D$4:D1618,$B$4:B1618,B1618,$C$4:C1618,"Purch")-SUMIFS($D$4:D1618,$B$4:B1618,B1618,$C$4:C1618,"Sale"),0)</f>
        <v>0</v>
      </c>
    </row>
    <row r="1619" spans="1:14" x14ac:dyDescent="0.2">
      <c r="A1619" s="152"/>
      <c r="B1619" s="132"/>
      <c r="C1619" s="132"/>
      <c r="D1619" s="277"/>
      <c r="E1619" s="132"/>
      <c r="F1619" s="170"/>
      <c r="G1619" s="150"/>
      <c r="H1619" s="152"/>
      <c r="I1619" s="204"/>
      <c r="J1619" s="285"/>
      <c r="K1619" s="251"/>
      <c r="L1619" s="133" t="str">
        <f>IF(AND(I1619&lt;&gt;"",ISERROR(IF(ISERROR(VLOOKUP(I1619*1,Summary!$C$8:$C$153,1,0)),VLOOKUP(I1619,Summary!$C$8:$C$153,1,0),VLOOKUP(I1619*1,Summary!$C$8:$C$153,1,0)))),"Add account Number to Summary","")</f>
        <v/>
      </c>
      <c r="M1619" s="131" t="str">
        <f t="shared" si="25"/>
        <v/>
      </c>
      <c r="N1619" s="287">
        <f>IF(C1619="Sale",SUMIFS($D$4:D1619,$B$4:B1619,B1619,$C$4:C1619,"")+SUMIFS($D$4:D1619,$B$4:B1619,B1619,$C$4:C1619,"Purch")-SUMIFS($D$4:D1619,$B$4:B1619,B1619,$C$4:C1619,"Sale"),0)</f>
        <v>0</v>
      </c>
    </row>
    <row r="1620" spans="1:14" x14ac:dyDescent="0.2">
      <c r="A1620" s="152"/>
      <c r="B1620" s="132"/>
      <c r="C1620" s="132"/>
      <c r="D1620" s="277"/>
      <c r="E1620" s="132"/>
      <c r="F1620" s="170"/>
      <c r="G1620" s="150"/>
      <c r="H1620" s="152"/>
      <c r="I1620" s="204"/>
      <c r="J1620" s="285"/>
      <c r="K1620" s="251"/>
      <c r="L1620" s="133" t="str">
        <f>IF(AND(I1620&lt;&gt;"",ISERROR(IF(ISERROR(VLOOKUP(I1620*1,Summary!$C$8:$C$153,1,0)),VLOOKUP(I1620,Summary!$C$8:$C$153,1,0),VLOOKUP(I1620*1,Summary!$C$8:$C$153,1,0)))),"Add account Number to Summary","")</f>
        <v/>
      </c>
      <c r="M1620" s="131" t="str">
        <f t="shared" si="25"/>
        <v/>
      </c>
      <c r="N1620" s="287">
        <f>IF(C1620="Sale",SUMIFS($D$4:D1620,$B$4:B1620,B1620,$C$4:C1620,"")+SUMIFS($D$4:D1620,$B$4:B1620,B1620,$C$4:C1620,"Purch")-SUMIFS($D$4:D1620,$B$4:B1620,B1620,$C$4:C1620,"Sale"),0)</f>
        <v>0</v>
      </c>
    </row>
    <row r="1621" spans="1:14" x14ac:dyDescent="0.2">
      <c r="A1621" s="152"/>
      <c r="B1621" s="132"/>
      <c r="C1621" s="132"/>
      <c r="D1621" s="277"/>
      <c r="E1621" s="132"/>
      <c r="F1621" s="170"/>
      <c r="G1621" s="150"/>
      <c r="H1621" s="152"/>
      <c r="I1621" s="204"/>
      <c r="J1621" s="285"/>
      <c r="K1621" s="251"/>
      <c r="L1621" s="133" t="str">
        <f>IF(AND(I1621&lt;&gt;"",ISERROR(IF(ISERROR(VLOOKUP(I1621*1,Summary!$C$8:$C$153,1,0)),VLOOKUP(I1621,Summary!$C$8:$C$153,1,0),VLOOKUP(I1621*1,Summary!$C$8:$C$153,1,0)))),"Add account Number to Summary","")</f>
        <v/>
      </c>
      <c r="M1621" s="131" t="str">
        <f t="shared" si="25"/>
        <v/>
      </c>
      <c r="N1621" s="287">
        <f>IF(C1621="Sale",SUMIFS($D$4:D1621,$B$4:B1621,B1621,$C$4:C1621,"")+SUMIFS($D$4:D1621,$B$4:B1621,B1621,$C$4:C1621,"Purch")-SUMIFS($D$4:D1621,$B$4:B1621,B1621,$C$4:C1621,"Sale"),0)</f>
        <v>0</v>
      </c>
    </row>
    <row r="1622" spans="1:14" x14ac:dyDescent="0.2">
      <c r="A1622" s="152"/>
      <c r="B1622" s="132"/>
      <c r="C1622" s="132"/>
      <c r="D1622" s="277"/>
      <c r="E1622" s="132"/>
      <c r="F1622" s="170"/>
      <c r="G1622" s="150"/>
      <c r="H1622" s="152"/>
      <c r="I1622" s="204"/>
      <c r="J1622" s="285"/>
      <c r="K1622" s="251"/>
      <c r="L1622" s="133" t="str">
        <f>IF(AND(I1622&lt;&gt;"",ISERROR(IF(ISERROR(VLOOKUP(I1622*1,Summary!$C$8:$C$153,1,0)),VLOOKUP(I1622,Summary!$C$8:$C$153,1,0),VLOOKUP(I1622*1,Summary!$C$8:$C$153,1,0)))),"Add account Number to Summary","")</f>
        <v/>
      </c>
      <c r="M1622" s="131" t="str">
        <f t="shared" si="25"/>
        <v/>
      </c>
      <c r="N1622" s="287">
        <f>IF(C1622="Sale",SUMIFS($D$4:D1622,$B$4:B1622,B1622,$C$4:C1622,"")+SUMIFS($D$4:D1622,$B$4:B1622,B1622,$C$4:C1622,"Purch")-SUMIFS($D$4:D1622,$B$4:B1622,B1622,$C$4:C1622,"Sale"),0)</f>
        <v>0</v>
      </c>
    </row>
    <row r="1623" spans="1:14" x14ac:dyDescent="0.2">
      <c r="A1623" s="152"/>
      <c r="B1623" s="132"/>
      <c r="C1623" s="132"/>
      <c r="D1623" s="277"/>
      <c r="E1623" s="132"/>
      <c r="F1623" s="170"/>
      <c r="G1623" s="150"/>
      <c r="H1623" s="152"/>
      <c r="I1623" s="204"/>
      <c r="J1623" s="285"/>
      <c r="K1623" s="251"/>
      <c r="L1623" s="133" t="str">
        <f>IF(AND(I1623&lt;&gt;"",ISERROR(IF(ISERROR(VLOOKUP(I1623*1,Summary!$C$8:$C$153,1,0)),VLOOKUP(I1623,Summary!$C$8:$C$153,1,0),VLOOKUP(I1623*1,Summary!$C$8:$C$153,1,0)))),"Add account Number to Summary","")</f>
        <v/>
      </c>
      <c r="M1623" s="131" t="str">
        <f t="shared" si="25"/>
        <v/>
      </c>
      <c r="N1623" s="287">
        <f>IF(C1623="Sale",SUMIFS($D$4:D1623,$B$4:B1623,B1623,$C$4:C1623,"")+SUMIFS($D$4:D1623,$B$4:B1623,B1623,$C$4:C1623,"Purch")-SUMIFS($D$4:D1623,$B$4:B1623,B1623,$C$4:C1623,"Sale"),0)</f>
        <v>0</v>
      </c>
    </row>
    <row r="1624" spans="1:14" x14ac:dyDescent="0.2">
      <c r="A1624" s="152"/>
      <c r="B1624" s="132"/>
      <c r="C1624" s="132"/>
      <c r="D1624" s="277"/>
      <c r="E1624" s="132"/>
      <c r="F1624" s="170"/>
      <c r="G1624" s="150"/>
      <c r="H1624" s="152"/>
      <c r="I1624" s="204"/>
      <c r="J1624" s="285"/>
      <c r="K1624" s="251"/>
      <c r="L1624" s="133" t="str">
        <f>IF(AND(I1624&lt;&gt;"",ISERROR(IF(ISERROR(VLOOKUP(I1624*1,Summary!$C$8:$C$153,1,0)),VLOOKUP(I1624,Summary!$C$8:$C$153,1,0),VLOOKUP(I1624*1,Summary!$C$8:$C$153,1,0)))),"Add account Number to Summary","")</f>
        <v/>
      </c>
      <c r="M1624" s="131" t="str">
        <f t="shared" si="25"/>
        <v/>
      </c>
      <c r="N1624" s="287">
        <f>IF(C1624="Sale",SUMIFS($D$4:D1624,$B$4:B1624,B1624,$C$4:C1624,"")+SUMIFS($D$4:D1624,$B$4:B1624,B1624,$C$4:C1624,"Purch")-SUMIFS($D$4:D1624,$B$4:B1624,B1624,$C$4:C1624,"Sale"),0)</f>
        <v>0</v>
      </c>
    </row>
    <row r="1625" spans="1:14" x14ac:dyDescent="0.2">
      <c r="A1625" s="152"/>
      <c r="B1625" s="132"/>
      <c r="C1625" s="132"/>
      <c r="D1625" s="277"/>
      <c r="E1625" s="132"/>
      <c r="F1625" s="170"/>
      <c r="G1625" s="150"/>
      <c r="H1625" s="152"/>
      <c r="I1625" s="204"/>
      <c r="J1625" s="285"/>
      <c r="K1625" s="251"/>
      <c r="L1625" s="133" t="str">
        <f>IF(AND(I1625&lt;&gt;"",ISERROR(IF(ISERROR(VLOOKUP(I1625*1,Summary!$C$8:$C$153,1,0)),VLOOKUP(I1625,Summary!$C$8:$C$153,1,0),VLOOKUP(I1625*1,Summary!$C$8:$C$153,1,0)))),"Add account Number to Summary","")</f>
        <v/>
      </c>
      <c r="M1625" s="131" t="str">
        <f t="shared" si="25"/>
        <v/>
      </c>
      <c r="N1625" s="287">
        <f>IF(C1625="Sale",SUMIFS($D$4:D1625,$B$4:B1625,B1625,$C$4:C1625,"")+SUMIFS($D$4:D1625,$B$4:B1625,B1625,$C$4:C1625,"Purch")-SUMIFS($D$4:D1625,$B$4:B1625,B1625,$C$4:C1625,"Sale"),0)</f>
        <v>0</v>
      </c>
    </row>
    <row r="1626" spans="1:14" x14ac:dyDescent="0.2">
      <c r="A1626" s="152"/>
      <c r="B1626" s="132"/>
      <c r="C1626" s="132"/>
      <c r="D1626" s="277"/>
      <c r="E1626" s="132"/>
      <c r="F1626" s="170"/>
      <c r="G1626" s="150"/>
      <c r="H1626" s="152"/>
      <c r="I1626" s="204"/>
      <c r="J1626" s="285"/>
      <c r="K1626" s="251"/>
      <c r="L1626" s="133" t="str">
        <f>IF(AND(I1626&lt;&gt;"",ISERROR(IF(ISERROR(VLOOKUP(I1626*1,Summary!$C$8:$C$153,1,0)),VLOOKUP(I1626,Summary!$C$8:$C$153,1,0),VLOOKUP(I1626*1,Summary!$C$8:$C$153,1,0)))),"Add account Number to Summary","")</f>
        <v/>
      </c>
      <c r="M1626" s="131" t="str">
        <f t="shared" si="25"/>
        <v/>
      </c>
      <c r="N1626" s="287">
        <f>IF(C1626="Sale",SUMIFS($D$4:D1626,$B$4:B1626,B1626,$C$4:C1626,"")+SUMIFS($D$4:D1626,$B$4:B1626,B1626,$C$4:C1626,"Purch")-SUMIFS($D$4:D1626,$B$4:B1626,B1626,$C$4:C1626,"Sale"),0)</f>
        <v>0</v>
      </c>
    </row>
    <row r="1627" spans="1:14" x14ac:dyDescent="0.2">
      <c r="A1627" s="152"/>
      <c r="B1627" s="132"/>
      <c r="C1627" s="132"/>
      <c r="D1627" s="277"/>
      <c r="E1627" s="132"/>
      <c r="F1627" s="170"/>
      <c r="G1627" s="150"/>
      <c r="H1627" s="152"/>
      <c r="I1627" s="204"/>
      <c r="J1627" s="285"/>
      <c r="K1627" s="251"/>
      <c r="L1627" s="133" t="str">
        <f>IF(AND(I1627&lt;&gt;"",ISERROR(IF(ISERROR(VLOOKUP(I1627*1,Summary!$C$8:$C$153,1,0)),VLOOKUP(I1627,Summary!$C$8:$C$153,1,0),VLOOKUP(I1627*1,Summary!$C$8:$C$153,1,0)))),"Add account Number to Summary","")</f>
        <v/>
      </c>
      <c r="M1627" s="131" t="str">
        <f t="shared" si="25"/>
        <v/>
      </c>
      <c r="N1627" s="287">
        <f>IF(C1627="Sale",SUMIFS($D$4:D1627,$B$4:B1627,B1627,$C$4:C1627,"")+SUMIFS($D$4:D1627,$B$4:B1627,B1627,$C$4:C1627,"Purch")-SUMIFS($D$4:D1627,$B$4:B1627,B1627,$C$4:C1627,"Sale"),0)</f>
        <v>0</v>
      </c>
    </row>
    <row r="1628" spans="1:14" x14ac:dyDescent="0.2">
      <c r="A1628" s="152"/>
      <c r="B1628" s="132"/>
      <c r="C1628" s="132"/>
      <c r="D1628" s="277"/>
      <c r="E1628" s="132"/>
      <c r="F1628" s="170"/>
      <c r="G1628" s="150"/>
      <c r="H1628" s="152"/>
      <c r="I1628" s="204"/>
      <c r="J1628" s="285"/>
      <c r="K1628" s="251"/>
      <c r="L1628" s="133" t="str">
        <f>IF(AND(I1628&lt;&gt;"",ISERROR(IF(ISERROR(VLOOKUP(I1628*1,Summary!$C$8:$C$153,1,0)),VLOOKUP(I1628,Summary!$C$8:$C$153,1,0),VLOOKUP(I1628*1,Summary!$C$8:$C$153,1,0)))),"Add account Number to Summary","")</f>
        <v/>
      </c>
      <c r="M1628" s="131" t="str">
        <f t="shared" si="25"/>
        <v/>
      </c>
      <c r="N1628" s="287">
        <f>IF(C1628="Sale",SUMIFS($D$4:D1628,$B$4:B1628,B1628,$C$4:C1628,"")+SUMIFS($D$4:D1628,$B$4:B1628,B1628,$C$4:C1628,"Purch")-SUMIFS($D$4:D1628,$B$4:B1628,B1628,$C$4:C1628,"Sale"),0)</f>
        <v>0</v>
      </c>
    </row>
    <row r="1629" spans="1:14" x14ac:dyDescent="0.2">
      <c r="A1629" s="152"/>
      <c r="B1629" s="132"/>
      <c r="C1629" s="132"/>
      <c r="D1629" s="277"/>
      <c r="E1629" s="132"/>
      <c r="F1629" s="170"/>
      <c r="G1629" s="150"/>
      <c r="H1629" s="152"/>
      <c r="I1629" s="204"/>
      <c r="J1629" s="285"/>
      <c r="K1629" s="251"/>
      <c r="L1629" s="133" t="str">
        <f>IF(AND(I1629&lt;&gt;"",ISERROR(IF(ISERROR(VLOOKUP(I1629*1,Summary!$C$8:$C$153,1,0)),VLOOKUP(I1629,Summary!$C$8:$C$153,1,0),VLOOKUP(I1629*1,Summary!$C$8:$C$153,1,0)))),"Add account Number to Summary","")</f>
        <v/>
      </c>
      <c r="M1629" s="131" t="str">
        <f t="shared" si="25"/>
        <v/>
      </c>
      <c r="N1629" s="287">
        <f>IF(C1629="Sale",SUMIFS($D$4:D1629,$B$4:B1629,B1629,$C$4:C1629,"")+SUMIFS($D$4:D1629,$B$4:B1629,B1629,$C$4:C1629,"Purch")-SUMIFS($D$4:D1629,$B$4:B1629,B1629,$C$4:C1629,"Sale"),0)</f>
        <v>0</v>
      </c>
    </row>
    <row r="1630" spans="1:14" x14ac:dyDescent="0.2">
      <c r="A1630" s="152"/>
      <c r="B1630" s="132"/>
      <c r="C1630" s="132"/>
      <c r="D1630" s="277"/>
      <c r="E1630" s="132"/>
      <c r="F1630" s="170"/>
      <c r="G1630" s="150"/>
      <c r="H1630" s="152"/>
      <c r="I1630" s="204"/>
      <c r="J1630" s="285"/>
      <c r="K1630" s="251"/>
      <c r="L1630" s="133" t="str">
        <f>IF(AND(I1630&lt;&gt;"",ISERROR(IF(ISERROR(VLOOKUP(I1630*1,Summary!$C$8:$C$153,1,0)),VLOOKUP(I1630,Summary!$C$8:$C$153,1,0),VLOOKUP(I1630*1,Summary!$C$8:$C$153,1,0)))),"Add account Number to Summary","")</f>
        <v/>
      </c>
      <c r="M1630" s="131" t="str">
        <f t="shared" si="25"/>
        <v/>
      </c>
      <c r="N1630" s="287">
        <f>IF(C1630="Sale",SUMIFS($D$4:D1630,$B$4:B1630,B1630,$C$4:C1630,"")+SUMIFS($D$4:D1630,$B$4:B1630,B1630,$C$4:C1630,"Purch")-SUMIFS($D$4:D1630,$B$4:B1630,B1630,$C$4:C1630,"Sale"),0)</f>
        <v>0</v>
      </c>
    </row>
    <row r="1631" spans="1:14" x14ac:dyDescent="0.2">
      <c r="A1631" s="152"/>
      <c r="B1631" s="132"/>
      <c r="C1631" s="132"/>
      <c r="D1631" s="277"/>
      <c r="E1631" s="132"/>
      <c r="F1631" s="170"/>
      <c r="G1631" s="150"/>
      <c r="H1631" s="152"/>
      <c r="I1631" s="204"/>
      <c r="J1631" s="285"/>
      <c r="K1631" s="251"/>
      <c r="L1631" s="133" t="str">
        <f>IF(AND(I1631&lt;&gt;"",ISERROR(IF(ISERROR(VLOOKUP(I1631*1,Summary!$C$8:$C$153,1,0)),VLOOKUP(I1631,Summary!$C$8:$C$153,1,0),VLOOKUP(I1631*1,Summary!$C$8:$C$153,1,0)))),"Add account Number to Summary","")</f>
        <v/>
      </c>
      <c r="M1631" s="131" t="str">
        <f t="shared" si="25"/>
        <v/>
      </c>
      <c r="N1631" s="287">
        <f>IF(C1631="Sale",SUMIFS($D$4:D1631,$B$4:B1631,B1631,$C$4:C1631,"")+SUMIFS($D$4:D1631,$B$4:B1631,B1631,$C$4:C1631,"Purch")-SUMIFS($D$4:D1631,$B$4:B1631,B1631,$C$4:C1631,"Sale"),0)</f>
        <v>0</v>
      </c>
    </row>
    <row r="1632" spans="1:14" x14ac:dyDescent="0.2">
      <c r="A1632" s="152"/>
      <c r="B1632" s="132"/>
      <c r="C1632" s="132"/>
      <c r="D1632" s="277"/>
      <c r="E1632" s="132"/>
      <c r="F1632" s="170"/>
      <c r="G1632" s="150"/>
      <c r="H1632" s="152"/>
      <c r="I1632" s="204"/>
      <c r="J1632" s="285"/>
      <c r="K1632" s="251"/>
      <c r="L1632" s="133" t="str">
        <f>IF(AND(I1632&lt;&gt;"",ISERROR(IF(ISERROR(VLOOKUP(I1632*1,Summary!$C$8:$C$153,1,0)),VLOOKUP(I1632,Summary!$C$8:$C$153,1,0),VLOOKUP(I1632*1,Summary!$C$8:$C$153,1,0)))),"Add account Number to Summary","")</f>
        <v/>
      </c>
      <c r="M1632" s="131" t="str">
        <f t="shared" si="25"/>
        <v/>
      </c>
      <c r="N1632" s="287">
        <f>IF(C1632="Sale",SUMIFS($D$4:D1632,$B$4:B1632,B1632,$C$4:C1632,"")+SUMIFS($D$4:D1632,$B$4:B1632,B1632,$C$4:C1632,"Purch")-SUMIFS($D$4:D1632,$B$4:B1632,B1632,$C$4:C1632,"Sale"),0)</f>
        <v>0</v>
      </c>
    </row>
    <row r="1633" spans="1:14" x14ac:dyDescent="0.2">
      <c r="A1633" s="152"/>
      <c r="B1633" s="132"/>
      <c r="C1633" s="132"/>
      <c r="D1633" s="277"/>
      <c r="E1633" s="132"/>
      <c r="F1633" s="170"/>
      <c r="G1633" s="150"/>
      <c r="H1633" s="152"/>
      <c r="I1633" s="204"/>
      <c r="J1633" s="285"/>
      <c r="K1633" s="251"/>
      <c r="L1633" s="133" t="str">
        <f>IF(AND(I1633&lt;&gt;"",ISERROR(IF(ISERROR(VLOOKUP(I1633*1,Summary!$C$8:$C$153,1,0)),VLOOKUP(I1633,Summary!$C$8:$C$153,1,0),VLOOKUP(I1633*1,Summary!$C$8:$C$153,1,0)))),"Add account Number to Summary","")</f>
        <v/>
      </c>
      <c r="M1633" s="131" t="str">
        <f t="shared" si="25"/>
        <v/>
      </c>
      <c r="N1633" s="287">
        <f>IF(C1633="Sale",SUMIFS($D$4:D1633,$B$4:B1633,B1633,$C$4:C1633,"")+SUMIFS($D$4:D1633,$B$4:B1633,B1633,$C$4:C1633,"Purch")-SUMIFS($D$4:D1633,$B$4:B1633,B1633,$C$4:C1633,"Sale"),0)</f>
        <v>0</v>
      </c>
    </row>
    <row r="1634" spans="1:14" x14ac:dyDescent="0.2">
      <c r="A1634" s="152"/>
      <c r="B1634" s="132"/>
      <c r="C1634" s="132"/>
      <c r="D1634" s="277"/>
      <c r="E1634" s="132"/>
      <c r="F1634" s="170"/>
      <c r="G1634" s="150"/>
      <c r="H1634" s="152"/>
      <c r="I1634" s="204"/>
      <c r="J1634" s="285"/>
      <c r="K1634" s="251"/>
      <c r="L1634" s="133" t="str">
        <f>IF(AND(I1634&lt;&gt;"",ISERROR(IF(ISERROR(VLOOKUP(I1634*1,Summary!$C$8:$C$153,1,0)),VLOOKUP(I1634,Summary!$C$8:$C$153,1,0),VLOOKUP(I1634*1,Summary!$C$8:$C$153,1,0)))),"Add account Number to Summary","")</f>
        <v/>
      </c>
      <c r="M1634" s="131" t="str">
        <f t="shared" si="25"/>
        <v/>
      </c>
      <c r="N1634" s="287">
        <f>IF(C1634="Sale",SUMIFS($D$4:D1634,$B$4:B1634,B1634,$C$4:C1634,"")+SUMIFS($D$4:D1634,$B$4:B1634,B1634,$C$4:C1634,"Purch")-SUMIFS($D$4:D1634,$B$4:B1634,B1634,$C$4:C1634,"Sale"),0)</f>
        <v>0</v>
      </c>
    </row>
    <row r="1635" spans="1:14" x14ac:dyDescent="0.2">
      <c r="A1635" s="152"/>
      <c r="B1635" s="132"/>
      <c r="C1635" s="132"/>
      <c r="D1635" s="277"/>
      <c r="E1635" s="132"/>
      <c r="F1635" s="170"/>
      <c r="G1635" s="150"/>
      <c r="H1635" s="152"/>
      <c r="I1635" s="204"/>
      <c r="J1635" s="285"/>
      <c r="K1635" s="251"/>
      <c r="L1635" s="133" t="str">
        <f>IF(AND(I1635&lt;&gt;"",ISERROR(IF(ISERROR(VLOOKUP(I1635*1,Summary!$C$8:$C$153,1,0)),VLOOKUP(I1635,Summary!$C$8:$C$153,1,0),VLOOKUP(I1635*1,Summary!$C$8:$C$153,1,0)))),"Add account Number to Summary","")</f>
        <v/>
      </c>
      <c r="M1635" s="131" t="str">
        <f t="shared" si="25"/>
        <v/>
      </c>
      <c r="N1635" s="287">
        <f>IF(C1635="Sale",SUMIFS($D$4:D1635,$B$4:B1635,B1635,$C$4:C1635,"")+SUMIFS($D$4:D1635,$B$4:B1635,B1635,$C$4:C1635,"Purch")-SUMIFS($D$4:D1635,$B$4:B1635,B1635,$C$4:C1635,"Sale"),0)</f>
        <v>0</v>
      </c>
    </row>
    <row r="1636" spans="1:14" x14ac:dyDescent="0.2">
      <c r="A1636" s="152"/>
      <c r="B1636" s="132"/>
      <c r="C1636" s="132"/>
      <c r="D1636" s="277"/>
      <c r="E1636" s="132"/>
      <c r="F1636" s="170"/>
      <c r="G1636" s="150"/>
      <c r="H1636" s="152"/>
      <c r="I1636" s="204"/>
      <c r="J1636" s="285"/>
      <c r="K1636" s="251"/>
      <c r="L1636" s="133" t="str">
        <f>IF(AND(I1636&lt;&gt;"",ISERROR(IF(ISERROR(VLOOKUP(I1636*1,Summary!$C$8:$C$153,1,0)),VLOOKUP(I1636,Summary!$C$8:$C$153,1,0),VLOOKUP(I1636*1,Summary!$C$8:$C$153,1,0)))),"Add account Number to Summary","")</f>
        <v/>
      </c>
      <c r="M1636" s="131" t="str">
        <f t="shared" si="25"/>
        <v/>
      </c>
      <c r="N1636" s="287">
        <f>IF(C1636="Sale",SUMIFS($D$4:D1636,$B$4:B1636,B1636,$C$4:C1636,"")+SUMIFS($D$4:D1636,$B$4:B1636,B1636,$C$4:C1636,"Purch")-SUMIFS($D$4:D1636,$B$4:B1636,B1636,$C$4:C1636,"Sale"),0)</f>
        <v>0</v>
      </c>
    </row>
    <row r="1637" spans="1:14" x14ac:dyDescent="0.2">
      <c r="A1637" s="152"/>
      <c r="B1637" s="132"/>
      <c r="C1637" s="132"/>
      <c r="D1637" s="277"/>
      <c r="E1637" s="132"/>
      <c r="F1637" s="170"/>
      <c r="G1637" s="150"/>
      <c r="H1637" s="152"/>
      <c r="I1637" s="204"/>
      <c r="J1637" s="285"/>
      <c r="K1637" s="251"/>
      <c r="L1637" s="133" t="str">
        <f>IF(AND(I1637&lt;&gt;"",ISERROR(IF(ISERROR(VLOOKUP(I1637*1,Summary!$C$8:$C$153,1,0)),VLOOKUP(I1637,Summary!$C$8:$C$153,1,0),VLOOKUP(I1637*1,Summary!$C$8:$C$153,1,0)))),"Add account Number to Summary","")</f>
        <v/>
      </c>
      <c r="M1637" s="131" t="str">
        <f t="shared" si="25"/>
        <v/>
      </c>
      <c r="N1637" s="287">
        <f>IF(C1637="Sale",SUMIFS($D$4:D1637,$B$4:B1637,B1637,$C$4:C1637,"")+SUMIFS($D$4:D1637,$B$4:B1637,B1637,$C$4:C1637,"Purch")-SUMIFS($D$4:D1637,$B$4:B1637,B1637,$C$4:C1637,"Sale"),0)</f>
        <v>0</v>
      </c>
    </row>
    <row r="1638" spans="1:14" x14ac:dyDescent="0.2">
      <c r="A1638" s="152"/>
      <c r="B1638" s="132"/>
      <c r="C1638" s="132"/>
      <c r="D1638" s="277"/>
      <c r="E1638" s="132"/>
      <c r="F1638" s="170"/>
      <c r="G1638" s="150"/>
      <c r="H1638" s="152"/>
      <c r="I1638" s="204"/>
      <c r="J1638" s="285"/>
      <c r="K1638" s="251"/>
      <c r="L1638" s="133" t="str">
        <f>IF(AND(I1638&lt;&gt;"",ISERROR(IF(ISERROR(VLOOKUP(I1638*1,Summary!$C$8:$C$153,1,0)),VLOOKUP(I1638,Summary!$C$8:$C$153,1,0),VLOOKUP(I1638*1,Summary!$C$8:$C$153,1,0)))),"Add account Number to Summary","")</f>
        <v/>
      </c>
      <c r="M1638" s="131" t="str">
        <f t="shared" si="25"/>
        <v/>
      </c>
      <c r="N1638" s="287">
        <f>IF(C1638="Sale",SUMIFS($D$4:D1638,$B$4:B1638,B1638,$C$4:C1638,"")+SUMIFS($D$4:D1638,$B$4:B1638,B1638,$C$4:C1638,"Purch")-SUMIFS($D$4:D1638,$B$4:B1638,B1638,$C$4:C1638,"Sale"),0)</f>
        <v>0</v>
      </c>
    </row>
    <row r="1639" spans="1:14" x14ac:dyDescent="0.2">
      <c r="A1639" s="152"/>
      <c r="B1639" s="132"/>
      <c r="C1639" s="132"/>
      <c r="D1639" s="277"/>
      <c r="E1639" s="132"/>
      <c r="F1639" s="170"/>
      <c r="G1639" s="150"/>
      <c r="H1639" s="152"/>
      <c r="I1639" s="204"/>
      <c r="J1639" s="285"/>
      <c r="K1639" s="251"/>
      <c r="L1639" s="133" t="str">
        <f>IF(AND(I1639&lt;&gt;"",ISERROR(IF(ISERROR(VLOOKUP(I1639*1,Summary!$C$8:$C$153,1,0)),VLOOKUP(I1639,Summary!$C$8:$C$153,1,0),VLOOKUP(I1639*1,Summary!$C$8:$C$153,1,0)))),"Add account Number to Summary","")</f>
        <v/>
      </c>
      <c r="M1639" s="131" t="str">
        <f t="shared" si="25"/>
        <v/>
      </c>
      <c r="N1639" s="287">
        <f>IF(C1639="Sale",SUMIFS($D$4:D1639,$B$4:B1639,B1639,$C$4:C1639,"")+SUMIFS($D$4:D1639,$B$4:B1639,B1639,$C$4:C1639,"Purch")-SUMIFS($D$4:D1639,$B$4:B1639,B1639,$C$4:C1639,"Sale"),0)</f>
        <v>0</v>
      </c>
    </row>
    <row r="1640" spans="1:14" x14ac:dyDescent="0.2">
      <c r="A1640" s="152"/>
      <c r="B1640" s="132"/>
      <c r="C1640" s="132"/>
      <c r="D1640" s="277"/>
      <c r="E1640" s="132"/>
      <c r="F1640" s="170"/>
      <c r="G1640" s="150"/>
      <c r="H1640" s="152"/>
      <c r="I1640" s="204"/>
      <c r="J1640" s="285"/>
      <c r="K1640" s="251"/>
      <c r="L1640" s="133" t="str">
        <f>IF(AND(I1640&lt;&gt;"",ISERROR(IF(ISERROR(VLOOKUP(I1640*1,Summary!$C$8:$C$153,1,0)),VLOOKUP(I1640,Summary!$C$8:$C$153,1,0),VLOOKUP(I1640*1,Summary!$C$8:$C$153,1,0)))),"Add account Number to Summary","")</f>
        <v/>
      </c>
      <c r="M1640" s="131" t="str">
        <f t="shared" si="25"/>
        <v/>
      </c>
      <c r="N1640" s="287">
        <f>IF(C1640="Sale",SUMIFS($D$4:D1640,$B$4:B1640,B1640,$C$4:C1640,"")+SUMIFS($D$4:D1640,$B$4:B1640,B1640,$C$4:C1640,"Purch")-SUMIFS($D$4:D1640,$B$4:B1640,B1640,$C$4:C1640,"Sale"),0)</f>
        <v>0</v>
      </c>
    </row>
    <row r="1641" spans="1:14" x14ac:dyDescent="0.2">
      <c r="A1641" s="152"/>
      <c r="B1641" s="132"/>
      <c r="C1641" s="132"/>
      <c r="D1641" s="277"/>
      <c r="E1641" s="132"/>
      <c r="F1641" s="170"/>
      <c r="G1641" s="150"/>
      <c r="H1641" s="152"/>
      <c r="I1641" s="204"/>
      <c r="J1641" s="285"/>
      <c r="K1641" s="251"/>
      <c r="L1641" s="133" t="str">
        <f>IF(AND(I1641&lt;&gt;"",ISERROR(IF(ISERROR(VLOOKUP(I1641*1,Summary!$C$8:$C$153,1,0)),VLOOKUP(I1641,Summary!$C$8:$C$153,1,0),VLOOKUP(I1641*1,Summary!$C$8:$C$153,1,0)))),"Add account Number to Summary","")</f>
        <v/>
      </c>
      <c r="M1641" s="131" t="str">
        <f t="shared" si="25"/>
        <v/>
      </c>
      <c r="N1641" s="287">
        <f>IF(C1641="Sale",SUMIFS($D$4:D1641,$B$4:B1641,B1641,$C$4:C1641,"")+SUMIFS($D$4:D1641,$B$4:B1641,B1641,$C$4:C1641,"Purch")-SUMIFS($D$4:D1641,$B$4:B1641,B1641,$C$4:C1641,"Sale"),0)</f>
        <v>0</v>
      </c>
    </row>
    <row r="1642" spans="1:14" x14ac:dyDescent="0.2">
      <c r="A1642" s="152"/>
      <c r="B1642" s="132"/>
      <c r="C1642" s="132"/>
      <c r="D1642" s="277"/>
      <c r="E1642" s="132"/>
      <c r="F1642" s="170"/>
      <c r="G1642" s="150"/>
      <c r="H1642" s="152"/>
      <c r="I1642" s="204"/>
      <c r="J1642" s="285"/>
      <c r="K1642" s="251"/>
      <c r="L1642" s="133" t="str">
        <f>IF(AND(I1642&lt;&gt;"",ISERROR(IF(ISERROR(VLOOKUP(I1642*1,Summary!$C$8:$C$153,1,0)),VLOOKUP(I1642,Summary!$C$8:$C$153,1,0),VLOOKUP(I1642*1,Summary!$C$8:$C$153,1,0)))),"Add account Number to Summary","")</f>
        <v/>
      </c>
      <c r="M1642" s="131" t="str">
        <f t="shared" si="25"/>
        <v/>
      </c>
      <c r="N1642" s="287">
        <f>IF(C1642="Sale",SUMIFS($D$4:D1642,$B$4:B1642,B1642,$C$4:C1642,"")+SUMIFS($D$4:D1642,$B$4:B1642,B1642,$C$4:C1642,"Purch")-SUMIFS($D$4:D1642,$B$4:B1642,B1642,$C$4:C1642,"Sale"),0)</f>
        <v>0</v>
      </c>
    </row>
    <row r="1643" spans="1:14" x14ac:dyDescent="0.2">
      <c r="A1643" s="152"/>
      <c r="B1643" s="132"/>
      <c r="C1643" s="132"/>
      <c r="D1643" s="277"/>
      <c r="E1643" s="132"/>
      <c r="F1643" s="170"/>
      <c r="G1643" s="150"/>
      <c r="H1643" s="152"/>
      <c r="I1643" s="204"/>
      <c r="J1643" s="285"/>
      <c r="K1643" s="251"/>
      <c r="L1643" s="133" t="str">
        <f>IF(AND(I1643&lt;&gt;"",ISERROR(IF(ISERROR(VLOOKUP(I1643*1,Summary!$C$8:$C$153,1,0)),VLOOKUP(I1643,Summary!$C$8:$C$153,1,0),VLOOKUP(I1643*1,Summary!$C$8:$C$153,1,0)))),"Add account Number to Summary","")</f>
        <v/>
      </c>
      <c r="M1643" s="131" t="str">
        <f t="shared" si="25"/>
        <v/>
      </c>
      <c r="N1643" s="287">
        <f>IF(C1643="Sale",SUMIFS($D$4:D1643,$B$4:B1643,B1643,$C$4:C1643,"")+SUMIFS($D$4:D1643,$B$4:B1643,B1643,$C$4:C1643,"Purch")-SUMIFS($D$4:D1643,$B$4:B1643,B1643,$C$4:C1643,"Sale"),0)</f>
        <v>0</v>
      </c>
    </row>
    <row r="1644" spans="1:14" x14ac:dyDescent="0.2">
      <c r="A1644" s="152"/>
      <c r="B1644" s="132"/>
      <c r="C1644" s="132"/>
      <c r="D1644" s="277"/>
      <c r="E1644" s="132"/>
      <c r="F1644" s="170"/>
      <c r="G1644" s="150"/>
      <c r="H1644" s="152"/>
      <c r="I1644" s="204"/>
      <c r="J1644" s="285"/>
      <c r="K1644" s="251"/>
      <c r="L1644" s="133" t="str">
        <f>IF(AND(I1644&lt;&gt;"",ISERROR(IF(ISERROR(VLOOKUP(I1644*1,Summary!$C$8:$C$153,1,0)),VLOOKUP(I1644,Summary!$C$8:$C$153,1,0),VLOOKUP(I1644*1,Summary!$C$8:$C$153,1,0)))),"Add account Number to Summary","")</f>
        <v/>
      </c>
      <c r="M1644" s="131" t="str">
        <f t="shared" ref="M1644:M1707" si="26">IF(K1644="Yes",IF(YEAR(A1644)&lt;&gt;YEAR(date),"Check Date",""),"")</f>
        <v/>
      </c>
      <c r="N1644" s="287">
        <f>IF(C1644="Sale",SUMIFS($D$4:D1644,$B$4:B1644,B1644,$C$4:C1644,"")+SUMIFS($D$4:D1644,$B$4:B1644,B1644,$C$4:C1644,"Purch")-SUMIFS($D$4:D1644,$B$4:B1644,B1644,$C$4:C1644,"Sale"),0)</f>
        <v>0</v>
      </c>
    </row>
    <row r="1645" spans="1:14" x14ac:dyDescent="0.2">
      <c r="A1645" s="152"/>
      <c r="B1645" s="132"/>
      <c r="C1645" s="132"/>
      <c r="D1645" s="277"/>
      <c r="E1645" s="132"/>
      <c r="F1645" s="170"/>
      <c r="G1645" s="150"/>
      <c r="H1645" s="152"/>
      <c r="I1645" s="204"/>
      <c r="J1645" s="285"/>
      <c r="K1645" s="251"/>
      <c r="L1645" s="133" t="str">
        <f>IF(AND(I1645&lt;&gt;"",ISERROR(IF(ISERROR(VLOOKUP(I1645*1,Summary!$C$8:$C$153,1,0)),VLOOKUP(I1645,Summary!$C$8:$C$153,1,0),VLOOKUP(I1645*1,Summary!$C$8:$C$153,1,0)))),"Add account Number to Summary","")</f>
        <v/>
      </c>
      <c r="M1645" s="131" t="str">
        <f t="shared" si="26"/>
        <v/>
      </c>
      <c r="N1645" s="287">
        <f>IF(C1645="Sale",SUMIFS($D$4:D1645,$B$4:B1645,B1645,$C$4:C1645,"")+SUMIFS($D$4:D1645,$B$4:B1645,B1645,$C$4:C1645,"Purch")-SUMIFS($D$4:D1645,$B$4:B1645,B1645,$C$4:C1645,"Sale"),0)</f>
        <v>0</v>
      </c>
    </row>
    <row r="1646" spans="1:14" x14ac:dyDescent="0.2">
      <c r="A1646" s="152"/>
      <c r="B1646" s="132"/>
      <c r="C1646" s="132"/>
      <c r="D1646" s="277"/>
      <c r="E1646" s="132"/>
      <c r="F1646" s="170"/>
      <c r="G1646" s="150"/>
      <c r="H1646" s="152"/>
      <c r="I1646" s="204"/>
      <c r="J1646" s="285"/>
      <c r="K1646" s="251"/>
      <c r="L1646" s="133" t="str">
        <f>IF(AND(I1646&lt;&gt;"",ISERROR(IF(ISERROR(VLOOKUP(I1646*1,Summary!$C$8:$C$153,1,0)),VLOOKUP(I1646,Summary!$C$8:$C$153,1,0),VLOOKUP(I1646*1,Summary!$C$8:$C$153,1,0)))),"Add account Number to Summary","")</f>
        <v/>
      </c>
      <c r="M1646" s="131" t="str">
        <f t="shared" si="26"/>
        <v/>
      </c>
      <c r="N1646" s="287">
        <f>IF(C1646="Sale",SUMIFS($D$4:D1646,$B$4:B1646,B1646,$C$4:C1646,"")+SUMIFS($D$4:D1646,$B$4:B1646,B1646,$C$4:C1646,"Purch")-SUMIFS($D$4:D1646,$B$4:B1646,B1646,$C$4:C1646,"Sale"),0)</f>
        <v>0</v>
      </c>
    </row>
    <row r="1647" spans="1:14" x14ac:dyDescent="0.2">
      <c r="A1647" s="152"/>
      <c r="B1647" s="132"/>
      <c r="C1647" s="132"/>
      <c r="D1647" s="277"/>
      <c r="E1647" s="132"/>
      <c r="F1647" s="170"/>
      <c r="G1647" s="150"/>
      <c r="H1647" s="152"/>
      <c r="I1647" s="204"/>
      <c r="J1647" s="285"/>
      <c r="K1647" s="251"/>
      <c r="L1647" s="133" t="str">
        <f>IF(AND(I1647&lt;&gt;"",ISERROR(IF(ISERROR(VLOOKUP(I1647*1,Summary!$C$8:$C$153,1,0)),VLOOKUP(I1647,Summary!$C$8:$C$153,1,0),VLOOKUP(I1647*1,Summary!$C$8:$C$153,1,0)))),"Add account Number to Summary","")</f>
        <v/>
      </c>
      <c r="M1647" s="131" t="str">
        <f t="shared" si="26"/>
        <v/>
      </c>
      <c r="N1647" s="287">
        <f>IF(C1647="Sale",SUMIFS($D$4:D1647,$B$4:B1647,B1647,$C$4:C1647,"")+SUMIFS($D$4:D1647,$B$4:B1647,B1647,$C$4:C1647,"Purch")-SUMIFS($D$4:D1647,$B$4:B1647,B1647,$C$4:C1647,"Sale"),0)</f>
        <v>0</v>
      </c>
    </row>
    <row r="1648" spans="1:14" x14ac:dyDescent="0.2">
      <c r="A1648" s="152"/>
      <c r="B1648" s="132"/>
      <c r="C1648" s="132"/>
      <c r="D1648" s="277"/>
      <c r="E1648" s="132"/>
      <c r="F1648" s="170"/>
      <c r="G1648" s="150"/>
      <c r="H1648" s="152"/>
      <c r="I1648" s="204"/>
      <c r="J1648" s="285"/>
      <c r="K1648" s="251"/>
      <c r="L1648" s="133" t="str">
        <f>IF(AND(I1648&lt;&gt;"",ISERROR(IF(ISERROR(VLOOKUP(I1648*1,Summary!$C$8:$C$153,1,0)),VLOOKUP(I1648,Summary!$C$8:$C$153,1,0),VLOOKUP(I1648*1,Summary!$C$8:$C$153,1,0)))),"Add account Number to Summary","")</f>
        <v/>
      </c>
      <c r="M1648" s="131" t="str">
        <f t="shared" si="26"/>
        <v/>
      </c>
      <c r="N1648" s="287">
        <f>IF(C1648="Sale",SUMIFS($D$4:D1648,$B$4:B1648,B1648,$C$4:C1648,"")+SUMIFS($D$4:D1648,$B$4:B1648,B1648,$C$4:C1648,"Purch")-SUMIFS($D$4:D1648,$B$4:B1648,B1648,$C$4:C1648,"Sale"),0)</f>
        <v>0</v>
      </c>
    </row>
    <row r="1649" spans="1:14" x14ac:dyDescent="0.2">
      <c r="A1649" s="152"/>
      <c r="B1649" s="132"/>
      <c r="C1649" s="132"/>
      <c r="D1649" s="277"/>
      <c r="E1649" s="132"/>
      <c r="F1649" s="170"/>
      <c r="G1649" s="150"/>
      <c r="H1649" s="152"/>
      <c r="I1649" s="204"/>
      <c r="J1649" s="285"/>
      <c r="K1649" s="251"/>
      <c r="L1649" s="133" t="str">
        <f>IF(AND(I1649&lt;&gt;"",ISERROR(IF(ISERROR(VLOOKUP(I1649*1,Summary!$C$8:$C$153,1,0)),VLOOKUP(I1649,Summary!$C$8:$C$153,1,0),VLOOKUP(I1649*1,Summary!$C$8:$C$153,1,0)))),"Add account Number to Summary","")</f>
        <v/>
      </c>
      <c r="M1649" s="131" t="str">
        <f t="shared" si="26"/>
        <v/>
      </c>
      <c r="N1649" s="287">
        <f>IF(C1649="Sale",SUMIFS($D$4:D1649,$B$4:B1649,B1649,$C$4:C1649,"")+SUMIFS($D$4:D1649,$B$4:B1649,B1649,$C$4:C1649,"Purch")-SUMIFS($D$4:D1649,$B$4:B1649,B1649,$C$4:C1649,"Sale"),0)</f>
        <v>0</v>
      </c>
    </row>
    <row r="1650" spans="1:14" x14ac:dyDescent="0.2">
      <c r="A1650" s="152"/>
      <c r="B1650" s="132"/>
      <c r="C1650" s="132"/>
      <c r="D1650" s="277"/>
      <c r="E1650" s="132"/>
      <c r="F1650" s="170"/>
      <c r="G1650" s="150"/>
      <c r="H1650" s="152"/>
      <c r="I1650" s="204"/>
      <c r="J1650" s="285"/>
      <c r="K1650" s="251"/>
      <c r="L1650" s="133" t="str">
        <f>IF(AND(I1650&lt;&gt;"",ISERROR(IF(ISERROR(VLOOKUP(I1650*1,Summary!$C$8:$C$153,1,0)),VLOOKUP(I1650,Summary!$C$8:$C$153,1,0),VLOOKUP(I1650*1,Summary!$C$8:$C$153,1,0)))),"Add account Number to Summary","")</f>
        <v/>
      </c>
      <c r="M1650" s="131" t="str">
        <f t="shared" si="26"/>
        <v/>
      </c>
      <c r="N1650" s="287">
        <f>IF(C1650="Sale",SUMIFS($D$4:D1650,$B$4:B1650,B1650,$C$4:C1650,"")+SUMIFS($D$4:D1650,$B$4:B1650,B1650,$C$4:C1650,"Purch")-SUMIFS($D$4:D1650,$B$4:B1650,B1650,$C$4:C1650,"Sale"),0)</f>
        <v>0</v>
      </c>
    </row>
    <row r="1651" spans="1:14" x14ac:dyDescent="0.2">
      <c r="A1651" s="152"/>
      <c r="B1651" s="132"/>
      <c r="C1651" s="132"/>
      <c r="D1651" s="277"/>
      <c r="E1651" s="132"/>
      <c r="F1651" s="170"/>
      <c r="G1651" s="150"/>
      <c r="H1651" s="152"/>
      <c r="I1651" s="204"/>
      <c r="J1651" s="285"/>
      <c r="K1651" s="251"/>
      <c r="L1651" s="133" t="str">
        <f>IF(AND(I1651&lt;&gt;"",ISERROR(IF(ISERROR(VLOOKUP(I1651*1,Summary!$C$8:$C$153,1,0)),VLOOKUP(I1651,Summary!$C$8:$C$153,1,0),VLOOKUP(I1651*1,Summary!$C$8:$C$153,1,0)))),"Add account Number to Summary","")</f>
        <v/>
      </c>
      <c r="M1651" s="131" t="str">
        <f t="shared" si="26"/>
        <v/>
      </c>
      <c r="N1651" s="287">
        <f>IF(C1651="Sale",SUMIFS($D$4:D1651,$B$4:B1651,B1651,$C$4:C1651,"")+SUMIFS($D$4:D1651,$B$4:B1651,B1651,$C$4:C1651,"Purch")-SUMIFS($D$4:D1651,$B$4:B1651,B1651,$C$4:C1651,"Sale"),0)</f>
        <v>0</v>
      </c>
    </row>
    <row r="1652" spans="1:14" x14ac:dyDescent="0.2">
      <c r="A1652" s="152"/>
      <c r="B1652" s="132"/>
      <c r="C1652" s="132"/>
      <c r="D1652" s="277"/>
      <c r="E1652" s="132"/>
      <c r="F1652" s="170"/>
      <c r="G1652" s="150"/>
      <c r="H1652" s="152"/>
      <c r="I1652" s="204"/>
      <c r="J1652" s="285"/>
      <c r="K1652" s="251"/>
      <c r="L1652" s="133" t="str">
        <f>IF(AND(I1652&lt;&gt;"",ISERROR(IF(ISERROR(VLOOKUP(I1652*1,Summary!$C$8:$C$153,1,0)),VLOOKUP(I1652,Summary!$C$8:$C$153,1,0),VLOOKUP(I1652*1,Summary!$C$8:$C$153,1,0)))),"Add account Number to Summary","")</f>
        <v/>
      </c>
      <c r="M1652" s="131" t="str">
        <f t="shared" si="26"/>
        <v/>
      </c>
      <c r="N1652" s="287">
        <f>IF(C1652="Sale",SUMIFS($D$4:D1652,$B$4:B1652,B1652,$C$4:C1652,"")+SUMIFS($D$4:D1652,$B$4:B1652,B1652,$C$4:C1652,"Purch")-SUMIFS($D$4:D1652,$B$4:B1652,B1652,$C$4:C1652,"Sale"),0)</f>
        <v>0</v>
      </c>
    </row>
    <row r="1653" spans="1:14" x14ac:dyDescent="0.2">
      <c r="A1653" s="152"/>
      <c r="B1653" s="132"/>
      <c r="C1653" s="132"/>
      <c r="D1653" s="277"/>
      <c r="E1653" s="132"/>
      <c r="F1653" s="170"/>
      <c r="G1653" s="150"/>
      <c r="H1653" s="152"/>
      <c r="I1653" s="204"/>
      <c r="J1653" s="285"/>
      <c r="K1653" s="251"/>
      <c r="L1653" s="133" t="str">
        <f>IF(AND(I1653&lt;&gt;"",ISERROR(IF(ISERROR(VLOOKUP(I1653*1,Summary!$C$8:$C$153,1,0)),VLOOKUP(I1653,Summary!$C$8:$C$153,1,0),VLOOKUP(I1653*1,Summary!$C$8:$C$153,1,0)))),"Add account Number to Summary","")</f>
        <v/>
      </c>
      <c r="M1653" s="131" t="str">
        <f t="shared" si="26"/>
        <v/>
      </c>
      <c r="N1653" s="287">
        <f>IF(C1653="Sale",SUMIFS($D$4:D1653,$B$4:B1653,B1653,$C$4:C1653,"")+SUMIFS($D$4:D1653,$B$4:B1653,B1653,$C$4:C1653,"Purch")-SUMIFS($D$4:D1653,$B$4:B1653,B1653,$C$4:C1653,"Sale"),0)</f>
        <v>0</v>
      </c>
    </row>
    <row r="1654" spans="1:14" x14ac:dyDescent="0.2">
      <c r="A1654" s="152"/>
      <c r="B1654" s="132"/>
      <c r="C1654" s="132"/>
      <c r="D1654" s="277"/>
      <c r="E1654" s="132"/>
      <c r="F1654" s="170"/>
      <c r="G1654" s="150"/>
      <c r="H1654" s="152"/>
      <c r="I1654" s="204"/>
      <c r="J1654" s="285"/>
      <c r="K1654" s="251"/>
      <c r="L1654" s="133" t="str">
        <f>IF(AND(I1654&lt;&gt;"",ISERROR(IF(ISERROR(VLOOKUP(I1654*1,Summary!$C$8:$C$153,1,0)),VLOOKUP(I1654,Summary!$C$8:$C$153,1,0),VLOOKUP(I1654*1,Summary!$C$8:$C$153,1,0)))),"Add account Number to Summary","")</f>
        <v/>
      </c>
      <c r="M1654" s="131" t="str">
        <f t="shared" si="26"/>
        <v/>
      </c>
      <c r="N1654" s="287">
        <f>IF(C1654="Sale",SUMIFS($D$4:D1654,$B$4:B1654,B1654,$C$4:C1654,"")+SUMIFS($D$4:D1654,$B$4:B1654,B1654,$C$4:C1654,"Purch")-SUMIFS($D$4:D1654,$B$4:B1654,B1654,$C$4:C1654,"Sale"),0)</f>
        <v>0</v>
      </c>
    </row>
    <row r="1655" spans="1:14" x14ac:dyDescent="0.2">
      <c r="A1655" s="152"/>
      <c r="B1655" s="132"/>
      <c r="C1655" s="132"/>
      <c r="D1655" s="277"/>
      <c r="E1655" s="132"/>
      <c r="F1655" s="170"/>
      <c r="G1655" s="150"/>
      <c r="H1655" s="152"/>
      <c r="I1655" s="204"/>
      <c r="J1655" s="285"/>
      <c r="K1655" s="251"/>
      <c r="L1655" s="133" t="str">
        <f>IF(AND(I1655&lt;&gt;"",ISERROR(IF(ISERROR(VLOOKUP(I1655*1,Summary!$C$8:$C$153,1,0)),VLOOKUP(I1655,Summary!$C$8:$C$153,1,0),VLOOKUP(I1655*1,Summary!$C$8:$C$153,1,0)))),"Add account Number to Summary","")</f>
        <v/>
      </c>
      <c r="M1655" s="131" t="str">
        <f t="shared" si="26"/>
        <v/>
      </c>
      <c r="N1655" s="287">
        <f>IF(C1655="Sale",SUMIFS($D$4:D1655,$B$4:B1655,B1655,$C$4:C1655,"")+SUMIFS($D$4:D1655,$B$4:B1655,B1655,$C$4:C1655,"Purch")-SUMIFS($D$4:D1655,$B$4:B1655,B1655,$C$4:C1655,"Sale"),0)</f>
        <v>0</v>
      </c>
    </row>
    <row r="1656" spans="1:14" x14ac:dyDescent="0.2">
      <c r="A1656" s="152"/>
      <c r="B1656" s="132"/>
      <c r="C1656" s="132"/>
      <c r="D1656" s="277"/>
      <c r="E1656" s="132"/>
      <c r="F1656" s="170"/>
      <c r="G1656" s="150"/>
      <c r="H1656" s="152"/>
      <c r="I1656" s="204"/>
      <c r="J1656" s="285"/>
      <c r="K1656" s="251"/>
      <c r="L1656" s="133" t="str">
        <f>IF(AND(I1656&lt;&gt;"",ISERROR(IF(ISERROR(VLOOKUP(I1656*1,Summary!$C$8:$C$153,1,0)),VLOOKUP(I1656,Summary!$C$8:$C$153,1,0),VLOOKUP(I1656*1,Summary!$C$8:$C$153,1,0)))),"Add account Number to Summary","")</f>
        <v/>
      </c>
      <c r="M1656" s="131" t="str">
        <f t="shared" si="26"/>
        <v/>
      </c>
      <c r="N1656" s="287">
        <f>IF(C1656="Sale",SUMIFS($D$4:D1656,$B$4:B1656,B1656,$C$4:C1656,"")+SUMIFS($D$4:D1656,$B$4:B1656,B1656,$C$4:C1656,"Purch")-SUMIFS($D$4:D1656,$B$4:B1656,B1656,$C$4:C1656,"Sale"),0)</f>
        <v>0</v>
      </c>
    </row>
    <row r="1657" spans="1:14" x14ac:dyDescent="0.2">
      <c r="A1657" s="152"/>
      <c r="B1657" s="132"/>
      <c r="C1657" s="132"/>
      <c r="D1657" s="277"/>
      <c r="E1657" s="132"/>
      <c r="F1657" s="170"/>
      <c r="G1657" s="150"/>
      <c r="H1657" s="152"/>
      <c r="I1657" s="204"/>
      <c r="J1657" s="285"/>
      <c r="K1657" s="251"/>
      <c r="L1657" s="133" t="str">
        <f>IF(AND(I1657&lt;&gt;"",ISERROR(IF(ISERROR(VLOOKUP(I1657*1,Summary!$C$8:$C$153,1,0)),VLOOKUP(I1657,Summary!$C$8:$C$153,1,0),VLOOKUP(I1657*1,Summary!$C$8:$C$153,1,0)))),"Add account Number to Summary","")</f>
        <v/>
      </c>
      <c r="M1657" s="131" t="str">
        <f t="shared" si="26"/>
        <v/>
      </c>
      <c r="N1657" s="287">
        <f>IF(C1657="Sale",SUMIFS($D$4:D1657,$B$4:B1657,B1657,$C$4:C1657,"")+SUMIFS($D$4:D1657,$B$4:B1657,B1657,$C$4:C1657,"Purch")-SUMIFS($D$4:D1657,$B$4:B1657,B1657,$C$4:C1657,"Sale"),0)</f>
        <v>0</v>
      </c>
    </row>
    <row r="1658" spans="1:14" x14ac:dyDescent="0.2">
      <c r="A1658" s="152"/>
      <c r="B1658" s="132"/>
      <c r="C1658" s="132"/>
      <c r="D1658" s="277"/>
      <c r="E1658" s="132"/>
      <c r="F1658" s="170"/>
      <c r="G1658" s="150"/>
      <c r="H1658" s="152"/>
      <c r="I1658" s="204"/>
      <c r="J1658" s="285"/>
      <c r="K1658" s="251"/>
      <c r="L1658" s="133" t="str">
        <f>IF(AND(I1658&lt;&gt;"",ISERROR(IF(ISERROR(VLOOKUP(I1658*1,Summary!$C$8:$C$153,1,0)),VLOOKUP(I1658,Summary!$C$8:$C$153,1,0),VLOOKUP(I1658*1,Summary!$C$8:$C$153,1,0)))),"Add account Number to Summary","")</f>
        <v/>
      </c>
      <c r="M1658" s="131" t="str">
        <f t="shared" si="26"/>
        <v/>
      </c>
      <c r="N1658" s="287">
        <f>IF(C1658="Sale",SUMIFS($D$4:D1658,$B$4:B1658,B1658,$C$4:C1658,"")+SUMIFS($D$4:D1658,$B$4:B1658,B1658,$C$4:C1658,"Purch")-SUMIFS($D$4:D1658,$B$4:B1658,B1658,$C$4:C1658,"Sale"),0)</f>
        <v>0</v>
      </c>
    </row>
    <row r="1659" spans="1:14" x14ac:dyDescent="0.2">
      <c r="A1659" s="152"/>
      <c r="B1659" s="132"/>
      <c r="C1659" s="132"/>
      <c r="D1659" s="277"/>
      <c r="E1659" s="132"/>
      <c r="F1659" s="170"/>
      <c r="G1659" s="150"/>
      <c r="H1659" s="152"/>
      <c r="I1659" s="204"/>
      <c r="J1659" s="285"/>
      <c r="K1659" s="251"/>
      <c r="L1659" s="133" t="str">
        <f>IF(AND(I1659&lt;&gt;"",ISERROR(IF(ISERROR(VLOOKUP(I1659*1,Summary!$C$8:$C$153,1,0)),VLOOKUP(I1659,Summary!$C$8:$C$153,1,0),VLOOKUP(I1659*1,Summary!$C$8:$C$153,1,0)))),"Add account Number to Summary","")</f>
        <v/>
      </c>
      <c r="M1659" s="131" t="str">
        <f t="shared" si="26"/>
        <v/>
      </c>
      <c r="N1659" s="287">
        <f>IF(C1659="Sale",SUMIFS($D$4:D1659,$B$4:B1659,B1659,$C$4:C1659,"")+SUMIFS($D$4:D1659,$B$4:B1659,B1659,$C$4:C1659,"Purch")-SUMIFS($D$4:D1659,$B$4:B1659,B1659,$C$4:C1659,"Sale"),0)</f>
        <v>0</v>
      </c>
    </row>
    <row r="1660" spans="1:14" x14ac:dyDescent="0.2">
      <c r="A1660" s="152"/>
      <c r="B1660" s="132"/>
      <c r="C1660" s="132"/>
      <c r="D1660" s="277"/>
      <c r="E1660" s="132"/>
      <c r="F1660" s="170"/>
      <c r="G1660" s="150"/>
      <c r="H1660" s="152"/>
      <c r="I1660" s="204"/>
      <c r="J1660" s="285"/>
      <c r="K1660" s="251"/>
      <c r="L1660" s="133" t="str">
        <f>IF(AND(I1660&lt;&gt;"",ISERROR(IF(ISERROR(VLOOKUP(I1660*1,Summary!$C$8:$C$153,1,0)),VLOOKUP(I1660,Summary!$C$8:$C$153,1,0),VLOOKUP(I1660*1,Summary!$C$8:$C$153,1,0)))),"Add account Number to Summary","")</f>
        <v/>
      </c>
      <c r="M1660" s="131" t="str">
        <f t="shared" si="26"/>
        <v/>
      </c>
      <c r="N1660" s="287">
        <f>IF(C1660="Sale",SUMIFS($D$4:D1660,$B$4:B1660,B1660,$C$4:C1660,"")+SUMIFS($D$4:D1660,$B$4:B1660,B1660,$C$4:C1660,"Purch")-SUMIFS($D$4:D1660,$B$4:B1660,B1660,$C$4:C1660,"Sale"),0)</f>
        <v>0</v>
      </c>
    </row>
    <row r="1661" spans="1:14" x14ac:dyDescent="0.2">
      <c r="A1661" s="152"/>
      <c r="B1661" s="132"/>
      <c r="C1661" s="132"/>
      <c r="D1661" s="277"/>
      <c r="E1661" s="132"/>
      <c r="F1661" s="170"/>
      <c r="G1661" s="150"/>
      <c r="H1661" s="152"/>
      <c r="I1661" s="204"/>
      <c r="J1661" s="285"/>
      <c r="K1661" s="251"/>
      <c r="L1661" s="133" t="str">
        <f>IF(AND(I1661&lt;&gt;"",ISERROR(IF(ISERROR(VLOOKUP(I1661*1,Summary!$C$8:$C$153,1,0)),VLOOKUP(I1661,Summary!$C$8:$C$153,1,0),VLOOKUP(I1661*1,Summary!$C$8:$C$153,1,0)))),"Add account Number to Summary","")</f>
        <v/>
      </c>
      <c r="M1661" s="131" t="str">
        <f t="shared" si="26"/>
        <v/>
      </c>
      <c r="N1661" s="287">
        <f>IF(C1661="Sale",SUMIFS($D$4:D1661,$B$4:B1661,B1661,$C$4:C1661,"")+SUMIFS($D$4:D1661,$B$4:B1661,B1661,$C$4:C1661,"Purch")-SUMIFS($D$4:D1661,$B$4:B1661,B1661,$C$4:C1661,"Sale"),0)</f>
        <v>0</v>
      </c>
    </row>
    <row r="1662" spans="1:14" x14ac:dyDescent="0.2">
      <c r="A1662" s="152"/>
      <c r="B1662" s="132"/>
      <c r="C1662" s="132"/>
      <c r="D1662" s="277"/>
      <c r="E1662" s="132"/>
      <c r="F1662" s="170"/>
      <c r="G1662" s="150"/>
      <c r="H1662" s="152"/>
      <c r="I1662" s="204"/>
      <c r="J1662" s="285"/>
      <c r="K1662" s="251"/>
      <c r="L1662" s="133" t="str">
        <f>IF(AND(I1662&lt;&gt;"",ISERROR(IF(ISERROR(VLOOKUP(I1662*1,Summary!$C$8:$C$153,1,0)),VLOOKUP(I1662,Summary!$C$8:$C$153,1,0),VLOOKUP(I1662*1,Summary!$C$8:$C$153,1,0)))),"Add account Number to Summary","")</f>
        <v/>
      </c>
      <c r="M1662" s="131" t="str">
        <f t="shared" si="26"/>
        <v/>
      </c>
      <c r="N1662" s="287">
        <f>IF(C1662="Sale",SUMIFS($D$4:D1662,$B$4:B1662,B1662,$C$4:C1662,"")+SUMIFS($D$4:D1662,$B$4:B1662,B1662,$C$4:C1662,"Purch")-SUMIFS($D$4:D1662,$B$4:B1662,B1662,$C$4:C1662,"Sale"),0)</f>
        <v>0</v>
      </c>
    </row>
    <row r="1663" spans="1:14" x14ac:dyDescent="0.2">
      <c r="A1663" s="152"/>
      <c r="B1663" s="132"/>
      <c r="C1663" s="132"/>
      <c r="D1663" s="277"/>
      <c r="E1663" s="132"/>
      <c r="F1663" s="170"/>
      <c r="G1663" s="150"/>
      <c r="H1663" s="152"/>
      <c r="I1663" s="204"/>
      <c r="J1663" s="285"/>
      <c r="K1663" s="251"/>
      <c r="L1663" s="133" t="str">
        <f>IF(AND(I1663&lt;&gt;"",ISERROR(IF(ISERROR(VLOOKUP(I1663*1,Summary!$C$8:$C$153,1,0)),VLOOKUP(I1663,Summary!$C$8:$C$153,1,0),VLOOKUP(I1663*1,Summary!$C$8:$C$153,1,0)))),"Add account Number to Summary","")</f>
        <v/>
      </c>
      <c r="M1663" s="131" t="str">
        <f t="shared" si="26"/>
        <v/>
      </c>
      <c r="N1663" s="287">
        <f>IF(C1663="Sale",SUMIFS($D$4:D1663,$B$4:B1663,B1663,$C$4:C1663,"")+SUMIFS($D$4:D1663,$B$4:B1663,B1663,$C$4:C1663,"Purch")-SUMIFS($D$4:D1663,$B$4:B1663,B1663,$C$4:C1663,"Sale"),0)</f>
        <v>0</v>
      </c>
    </row>
    <row r="1664" spans="1:14" x14ac:dyDescent="0.2">
      <c r="A1664" s="152"/>
      <c r="B1664" s="132"/>
      <c r="C1664" s="132"/>
      <c r="D1664" s="277"/>
      <c r="E1664" s="132"/>
      <c r="F1664" s="170"/>
      <c r="G1664" s="150"/>
      <c r="H1664" s="152"/>
      <c r="I1664" s="204"/>
      <c r="J1664" s="285"/>
      <c r="K1664" s="251"/>
      <c r="L1664" s="133" t="str">
        <f>IF(AND(I1664&lt;&gt;"",ISERROR(IF(ISERROR(VLOOKUP(I1664*1,Summary!$C$8:$C$153,1,0)),VLOOKUP(I1664,Summary!$C$8:$C$153,1,0),VLOOKUP(I1664*1,Summary!$C$8:$C$153,1,0)))),"Add account Number to Summary","")</f>
        <v/>
      </c>
      <c r="M1664" s="131" t="str">
        <f t="shared" si="26"/>
        <v/>
      </c>
      <c r="N1664" s="287">
        <f>IF(C1664="Sale",SUMIFS($D$4:D1664,$B$4:B1664,B1664,$C$4:C1664,"")+SUMIFS($D$4:D1664,$B$4:B1664,B1664,$C$4:C1664,"Purch")-SUMIFS($D$4:D1664,$B$4:B1664,B1664,$C$4:C1664,"Sale"),0)</f>
        <v>0</v>
      </c>
    </row>
    <row r="1665" spans="1:14" x14ac:dyDescent="0.2">
      <c r="A1665" s="152"/>
      <c r="B1665" s="132"/>
      <c r="C1665" s="132"/>
      <c r="D1665" s="277"/>
      <c r="E1665" s="132"/>
      <c r="F1665" s="170"/>
      <c r="G1665" s="150"/>
      <c r="H1665" s="152"/>
      <c r="I1665" s="204"/>
      <c r="J1665" s="285"/>
      <c r="K1665" s="251"/>
      <c r="L1665" s="133" t="str">
        <f>IF(AND(I1665&lt;&gt;"",ISERROR(IF(ISERROR(VLOOKUP(I1665*1,Summary!$C$8:$C$153,1,0)),VLOOKUP(I1665,Summary!$C$8:$C$153,1,0),VLOOKUP(I1665*1,Summary!$C$8:$C$153,1,0)))),"Add account Number to Summary","")</f>
        <v/>
      </c>
      <c r="M1665" s="131" t="str">
        <f t="shared" si="26"/>
        <v/>
      </c>
      <c r="N1665" s="287">
        <f>IF(C1665="Sale",SUMIFS($D$4:D1665,$B$4:B1665,B1665,$C$4:C1665,"")+SUMIFS($D$4:D1665,$B$4:B1665,B1665,$C$4:C1665,"Purch")-SUMIFS($D$4:D1665,$B$4:B1665,B1665,$C$4:C1665,"Sale"),0)</f>
        <v>0</v>
      </c>
    </row>
    <row r="1666" spans="1:14" x14ac:dyDescent="0.2">
      <c r="A1666" s="152"/>
      <c r="B1666" s="132"/>
      <c r="C1666" s="132"/>
      <c r="D1666" s="277"/>
      <c r="E1666" s="132"/>
      <c r="F1666" s="170"/>
      <c r="G1666" s="150"/>
      <c r="H1666" s="152"/>
      <c r="I1666" s="204"/>
      <c r="J1666" s="285"/>
      <c r="K1666" s="251"/>
      <c r="L1666" s="133" t="str">
        <f>IF(AND(I1666&lt;&gt;"",ISERROR(IF(ISERROR(VLOOKUP(I1666*1,Summary!$C$8:$C$153,1,0)),VLOOKUP(I1666,Summary!$C$8:$C$153,1,0),VLOOKUP(I1666*1,Summary!$C$8:$C$153,1,0)))),"Add account Number to Summary","")</f>
        <v/>
      </c>
      <c r="M1666" s="131" t="str">
        <f t="shared" si="26"/>
        <v/>
      </c>
      <c r="N1666" s="287">
        <f>IF(C1666="Sale",SUMIFS($D$4:D1666,$B$4:B1666,B1666,$C$4:C1666,"")+SUMIFS($D$4:D1666,$B$4:B1666,B1666,$C$4:C1666,"Purch")-SUMIFS($D$4:D1666,$B$4:B1666,B1666,$C$4:C1666,"Sale"),0)</f>
        <v>0</v>
      </c>
    </row>
    <row r="1667" spans="1:14" x14ac:dyDescent="0.2">
      <c r="A1667" s="152"/>
      <c r="B1667" s="132"/>
      <c r="C1667" s="132"/>
      <c r="D1667" s="277"/>
      <c r="E1667" s="132"/>
      <c r="F1667" s="170"/>
      <c r="G1667" s="150"/>
      <c r="H1667" s="152"/>
      <c r="I1667" s="204"/>
      <c r="J1667" s="285"/>
      <c r="K1667" s="251"/>
      <c r="L1667" s="133" t="str">
        <f>IF(AND(I1667&lt;&gt;"",ISERROR(IF(ISERROR(VLOOKUP(I1667*1,Summary!$C$8:$C$153,1,0)),VLOOKUP(I1667,Summary!$C$8:$C$153,1,0),VLOOKUP(I1667*1,Summary!$C$8:$C$153,1,0)))),"Add account Number to Summary","")</f>
        <v/>
      </c>
      <c r="M1667" s="131" t="str">
        <f t="shared" si="26"/>
        <v/>
      </c>
      <c r="N1667" s="287">
        <f>IF(C1667="Sale",SUMIFS($D$4:D1667,$B$4:B1667,B1667,$C$4:C1667,"")+SUMIFS($D$4:D1667,$B$4:B1667,B1667,$C$4:C1667,"Purch")-SUMIFS($D$4:D1667,$B$4:B1667,B1667,$C$4:C1667,"Sale"),0)</f>
        <v>0</v>
      </c>
    </row>
    <row r="1668" spans="1:14" x14ac:dyDescent="0.2">
      <c r="A1668" s="152"/>
      <c r="B1668" s="132"/>
      <c r="C1668" s="132"/>
      <c r="D1668" s="277"/>
      <c r="E1668" s="132"/>
      <c r="F1668" s="170"/>
      <c r="G1668" s="150"/>
      <c r="H1668" s="152"/>
      <c r="I1668" s="204"/>
      <c r="J1668" s="285"/>
      <c r="K1668" s="251"/>
      <c r="L1668" s="133" t="str">
        <f>IF(AND(I1668&lt;&gt;"",ISERROR(IF(ISERROR(VLOOKUP(I1668*1,Summary!$C$8:$C$153,1,0)),VLOOKUP(I1668,Summary!$C$8:$C$153,1,0),VLOOKUP(I1668*1,Summary!$C$8:$C$153,1,0)))),"Add account Number to Summary","")</f>
        <v/>
      </c>
      <c r="M1668" s="131" t="str">
        <f t="shared" si="26"/>
        <v/>
      </c>
      <c r="N1668" s="287">
        <f>IF(C1668="Sale",SUMIFS($D$4:D1668,$B$4:B1668,B1668,$C$4:C1668,"")+SUMIFS($D$4:D1668,$B$4:B1668,B1668,$C$4:C1668,"Purch")-SUMIFS($D$4:D1668,$B$4:B1668,B1668,$C$4:C1668,"Sale"),0)</f>
        <v>0</v>
      </c>
    </row>
    <row r="1669" spans="1:14" x14ac:dyDescent="0.2">
      <c r="A1669" s="152"/>
      <c r="B1669" s="132"/>
      <c r="C1669" s="132"/>
      <c r="D1669" s="277"/>
      <c r="E1669" s="132"/>
      <c r="F1669" s="170"/>
      <c r="G1669" s="150"/>
      <c r="H1669" s="152"/>
      <c r="I1669" s="204"/>
      <c r="J1669" s="285"/>
      <c r="K1669" s="251"/>
      <c r="L1669" s="133" t="str">
        <f>IF(AND(I1669&lt;&gt;"",ISERROR(IF(ISERROR(VLOOKUP(I1669*1,Summary!$C$8:$C$153,1,0)),VLOOKUP(I1669,Summary!$C$8:$C$153,1,0),VLOOKUP(I1669*1,Summary!$C$8:$C$153,1,0)))),"Add account Number to Summary","")</f>
        <v/>
      </c>
      <c r="M1669" s="131" t="str">
        <f t="shared" si="26"/>
        <v/>
      </c>
      <c r="N1669" s="287">
        <f>IF(C1669="Sale",SUMIFS($D$4:D1669,$B$4:B1669,B1669,$C$4:C1669,"")+SUMIFS($D$4:D1669,$B$4:B1669,B1669,$C$4:C1669,"Purch")-SUMIFS($D$4:D1669,$B$4:B1669,B1669,$C$4:C1669,"Sale"),0)</f>
        <v>0</v>
      </c>
    </row>
    <row r="1670" spans="1:14" x14ac:dyDescent="0.2">
      <c r="A1670" s="152"/>
      <c r="B1670" s="132"/>
      <c r="C1670" s="132"/>
      <c r="D1670" s="277"/>
      <c r="E1670" s="132"/>
      <c r="F1670" s="170"/>
      <c r="G1670" s="150"/>
      <c r="H1670" s="152"/>
      <c r="I1670" s="204"/>
      <c r="J1670" s="285"/>
      <c r="K1670" s="251"/>
      <c r="L1670" s="133" t="str">
        <f>IF(AND(I1670&lt;&gt;"",ISERROR(IF(ISERROR(VLOOKUP(I1670*1,Summary!$C$8:$C$153,1,0)),VLOOKUP(I1670,Summary!$C$8:$C$153,1,0),VLOOKUP(I1670*1,Summary!$C$8:$C$153,1,0)))),"Add account Number to Summary","")</f>
        <v/>
      </c>
      <c r="M1670" s="131" t="str">
        <f t="shared" si="26"/>
        <v/>
      </c>
      <c r="N1670" s="287">
        <f>IF(C1670="Sale",SUMIFS($D$4:D1670,$B$4:B1670,B1670,$C$4:C1670,"")+SUMIFS($D$4:D1670,$B$4:B1670,B1670,$C$4:C1670,"Purch")-SUMIFS($D$4:D1670,$B$4:B1670,B1670,$C$4:C1670,"Sale"),0)</f>
        <v>0</v>
      </c>
    </row>
    <row r="1671" spans="1:14" x14ac:dyDescent="0.2">
      <c r="A1671" s="152"/>
      <c r="B1671" s="132"/>
      <c r="C1671" s="132"/>
      <c r="D1671" s="277"/>
      <c r="E1671" s="132"/>
      <c r="F1671" s="170"/>
      <c r="G1671" s="150"/>
      <c r="H1671" s="152"/>
      <c r="I1671" s="204"/>
      <c r="J1671" s="285"/>
      <c r="K1671" s="251"/>
      <c r="L1671" s="133" t="str">
        <f>IF(AND(I1671&lt;&gt;"",ISERROR(IF(ISERROR(VLOOKUP(I1671*1,Summary!$C$8:$C$153,1,0)),VLOOKUP(I1671,Summary!$C$8:$C$153,1,0),VLOOKUP(I1671*1,Summary!$C$8:$C$153,1,0)))),"Add account Number to Summary","")</f>
        <v/>
      </c>
      <c r="M1671" s="131" t="str">
        <f t="shared" si="26"/>
        <v/>
      </c>
      <c r="N1671" s="287">
        <f>IF(C1671="Sale",SUMIFS($D$4:D1671,$B$4:B1671,B1671,$C$4:C1671,"")+SUMIFS($D$4:D1671,$B$4:B1671,B1671,$C$4:C1671,"Purch")-SUMIFS($D$4:D1671,$B$4:B1671,B1671,$C$4:C1671,"Sale"),0)</f>
        <v>0</v>
      </c>
    </row>
    <row r="1672" spans="1:14" x14ac:dyDescent="0.2">
      <c r="A1672" s="152"/>
      <c r="B1672" s="132"/>
      <c r="C1672" s="132"/>
      <c r="D1672" s="277"/>
      <c r="E1672" s="132"/>
      <c r="F1672" s="170"/>
      <c r="G1672" s="150"/>
      <c r="H1672" s="152"/>
      <c r="I1672" s="204"/>
      <c r="J1672" s="285"/>
      <c r="K1672" s="251"/>
      <c r="L1672" s="133" t="str">
        <f>IF(AND(I1672&lt;&gt;"",ISERROR(IF(ISERROR(VLOOKUP(I1672*1,Summary!$C$8:$C$153,1,0)),VLOOKUP(I1672,Summary!$C$8:$C$153,1,0),VLOOKUP(I1672*1,Summary!$C$8:$C$153,1,0)))),"Add account Number to Summary","")</f>
        <v/>
      </c>
      <c r="M1672" s="131" t="str">
        <f t="shared" si="26"/>
        <v/>
      </c>
      <c r="N1672" s="287">
        <f>IF(C1672="Sale",SUMIFS($D$4:D1672,$B$4:B1672,B1672,$C$4:C1672,"")+SUMIFS($D$4:D1672,$B$4:B1672,B1672,$C$4:C1672,"Purch")-SUMIFS($D$4:D1672,$B$4:B1672,B1672,$C$4:C1672,"Sale"),0)</f>
        <v>0</v>
      </c>
    </row>
    <row r="1673" spans="1:14" x14ac:dyDescent="0.2">
      <c r="A1673" s="152"/>
      <c r="B1673" s="132"/>
      <c r="C1673" s="132"/>
      <c r="D1673" s="277"/>
      <c r="E1673" s="132"/>
      <c r="F1673" s="170"/>
      <c r="G1673" s="150"/>
      <c r="H1673" s="152"/>
      <c r="I1673" s="204"/>
      <c r="J1673" s="285"/>
      <c r="K1673" s="251"/>
      <c r="L1673" s="133" t="str">
        <f>IF(AND(I1673&lt;&gt;"",ISERROR(IF(ISERROR(VLOOKUP(I1673*1,Summary!$C$8:$C$153,1,0)),VLOOKUP(I1673,Summary!$C$8:$C$153,1,0),VLOOKUP(I1673*1,Summary!$C$8:$C$153,1,0)))),"Add account Number to Summary","")</f>
        <v/>
      </c>
      <c r="M1673" s="131" t="str">
        <f t="shared" si="26"/>
        <v/>
      </c>
      <c r="N1673" s="287">
        <f>IF(C1673="Sale",SUMIFS($D$4:D1673,$B$4:B1673,B1673,$C$4:C1673,"")+SUMIFS($D$4:D1673,$B$4:B1673,B1673,$C$4:C1673,"Purch")-SUMIFS($D$4:D1673,$B$4:B1673,B1673,$C$4:C1673,"Sale"),0)</f>
        <v>0</v>
      </c>
    </row>
    <row r="1674" spans="1:14" x14ac:dyDescent="0.2">
      <c r="A1674" s="152"/>
      <c r="B1674" s="132"/>
      <c r="C1674" s="132"/>
      <c r="D1674" s="277"/>
      <c r="E1674" s="132"/>
      <c r="F1674" s="170"/>
      <c r="G1674" s="150"/>
      <c r="H1674" s="152"/>
      <c r="I1674" s="204"/>
      <c r="J1674" s="285"/>
      <c r="K1674" s="251"/>
      <c r="L1674" s="133" t="str">
        <f>IF(AND(I1674&lt;&gt;"",ISERROR(IF(ISERROR(VLOOKUP(I1674*1,Summary!$C$8:$C$153,1,0)),VLOOKUP(I1674,Summary!$C$8:$C$153,1,0),VLOOKUP(I1674*1,Summary!$C$8:$C$153,1,0)))),"Add account Number to Summary","")</f>
        <v/>
      </c>
      <c r="M1674" s="131" t="str">
        <f t="shared" si="26"/>
        <v/>
      </c>
      <c r="N1674" s="287">
        <f>IF(C1674="Sale",SUMIFS($D$4:D1674,$B$4:B1674,B1674,$C$4:C1674,"")+SUMIFS($D$4:D1674,$B$4:B1674,B1674,$C$4:C1674,"Purch")-SUMIFS($D$4:D1674,$B$4:B1674,B1674,$C$4:C1674,"Sale"),0)</f>
        <v>0</v>
      </c>
    </row>
    <row r="1675" spans="1:14" x14ac:dyDescent="0.2">
      <c r="A1675" s="152"/>
      <c r="B1675" s="132"/>
      <c r="C1675" s="132"/>
      <c r="D1675" s="277"/>
      <c r="E1675" s="132"/>
      <c r="F1675" s="170"/>
      <c r="G1675" s="150"/>
      <c r="H1675" s="152"/>
      <c r="I1675" s="204"/>
      <c r="J1675" s="285"/>
      <c r="K1675" s="251"/>
      <c r="L1675" s="133" t="str">
        <f>IF(AND(I1675&lt;&gt;"",ISERROR(IF(ISERROR(VLOOKUP(I1675*1,Summary!$C$8:$C$153,1,0)),VLOOKUP(I1675,Summary!$C$8:$C$153,1,0),VLOOKUP(I1675*1,Summary!$C$8:$C$153,1,0)))),"Add account Number to Summary","")</f>
        <v/>
      </c>
      <c r="M1675" s="131" t="str">
        <f t="shared" si="26"/>
        <v/>
      </c>
      <c r="N1675" s="287">
        <f>IF(C1675="Sale",SUMIFS($D$4:D1675,$B$4:B1675,B1675,$C$4:C1675,"")+SUMIFS($D$4:D1675,$B$4:B1675,B1675,$C$4:C1675,"Purch")-SUMIFS($D$4:D1675,$B$4:B1675,B1675,$C$4:C1675,"Sale"),0)</f>
        <v>0</v>
      </c>
    </row>
    <row r="1676" spans="1:14" x14ac:dyDescent="0.2">
      <c r="A1676" s="152"/>
      <c r="B1676" s="132"/>
      <c r="C1676" s="132"/>
      <c r="D1676" s="277"/>
      <c r="E1676" s="132"/>
      <c r="F1676" s="170"/>
      <c r="G1676" s="150"/>
      <c r="H1676" s="152"/>
      <c r="I1676" s="204"/>
      <c r="J1676" s="285"/>
      <c r="K1676" s="251"/>
      <c r="L1676" s="133" t="str">
        <f>IF(AND(I1676&lt;&gt;"",ISERROR(IF(ISERROR(VLOOKUP(I1676*1,Summary!$C$8:$C$153,1,0)),VLOOKUP(I1676,Summary!$C$8:$C$153,1,0),VLOOKUP(I1676*1,Summary!$C$8:$C$153,1,0)))),"Add account Number to Summary","")</f>
        <v/>
      </c>
      <c r="M1676" s="131" t="str">
        <f t="shared" si="26"/>
        <v/>
      </c>
      <c r="N1676" s="287">
        <f>IF(C1676="Sale",SUMIFS($D$4:D1676,$B$4:B1676,B1676,$C$4:C1676,"")+SUMIFS($D$4:D1676,$B$4:B1676,B1676,$C$4:C1676,"Purch")-SUMIFS($D$4:D1676,$B$4:B1676,B1676,$C$4:C1676,"Sale"),0)</f>
        <v>0</v>
      </c>
    </row>
    <row r="1677" spans="1:14" x14ac:dyDescent="0.2">
      <c r="A1677" s="152"/>
      <c r="B1677" s="132"/>
      <c r="C1677" s="132"/>
      <c r="D1677" s="277"/>
      <c r="E1677" s="132"/>
      <c r="F1677" s="170"/>
      <c r="G1677" s="150"/>
      <c r="H1677" s="152"/>
      <c r="I1677" s="204"/>
      <c r="J1677" s="285"/>
      <c r="K1677" s="251"/>
      <c r="L1677" s="133" t="str">
        <f>IF(AND(I1677&lt;&gt;"",ISERROR(IF(ISERROR(VLOOKUP(I1677*1,Summary!$C$8:$C$153,1,0)),VLOOKUP(I1677,Summary!$C$8:$C$153,1,0),VLOOKUP(I1677*1,Summary!$C$8:$C$153,1,0)))),"Add account Number to Summary","")</f>
        <v/>
      </c>
      <c r="M1677" s="131" t="str">
        <f t="shared" si="26"/>
        <v/>
      </c>
      <c r="N1677" s="287">
        <f>IF(C1677="Sale",SUMIFS($D$4:D1677,$B$4:B1677,B1677,$C$4:C1677,"")+SUMIFS($D$4:D1677,$B$4:B1677,B1677,$C$4:C1677,"Purch")-SUMIFS($D$4:D1677,$B$4:B1677,B1677,$C$4:C1677,"Sale"),0)</f>
        <v>0</v>
      </c>
    </row>
    <row r="1678" spans="1:14" x14ac:dyDescent="0.2">
      <c r="A1678" s="152"/>
      <c r="B1678" s="132"/>
      <c r="C1678" s="132"/>
      <c r="D1678" s="277"/>
      <c r="E1678" s="132"/>
      <c r="F1678" s="170"/>
      <c r="G1678" s="150"/>
      <c r="H1678" s="152"/>
      <c r="I1678" s="204"/>
      <c r="J1678" s="285"/>
      <c r="K1678" s="251"/>
      <c r="L1678" s="133" t="str">
        <f>IF(AND(I1678&lt;&gt;"",ISERROR(IF(ISERROR(VLOOKUP(I1678*1,Summary!$C$8:$C$153,1,0)),VLOOKUP(I1678,Summary!$C$8:$C$153,1,0),VLOOKUP(I1678*1,Summary!$C$8:$C$153,1,0)))),"Add account Number to Summary","")</f>
        <v/>
      </c>
      <c r="M1678" s="131" t="str">
        <f t="shared" si="26"/>
        <v/>
      </c>
      <c r="N1678" s="287">
        <f>IF(C1678="Sale",SUMIFS($D$4:D1678,$B$4:B1678,B1678,$C$4:C1678,"")+SUMIFS($D$4:D1678,$B$4:B1678,B1678,$C$4:C1678,"Purch")-SUMIFS($D$4:D1678,$B$4:B1678,B1678,$C$4:C1678,"Sale"),0)</f>
        <v>0</v>
      </c>
    </row>
    <row r="1679" spans="1:14" x14ac:dyDescent="0.2">
      <c r="A1679" s="152"/>
      <c r="B1679" s="132"/>
      <c r="C1679" s="132"/>
      <c r="D1679" s="277"/>
      <c r="E1679" s="132"/>
      <c r="F1679" s="170"/>
      <c r="G1679" s="150"/>
      <c r="H1679" s="152"/>
      <c r="I1679" s="204"/>
      <c r="J1679" s="285"/>
      <c r="K1679" s="251"/>
      <c r="L1679" s="133" t="str">
        <f>IF(AND(I1679&lt;&gt;"",ISERROR(IF(ISERROR(VLOOKUP(I1679*1,Summary!$C$8:$C$153,1,0)),VLOOKUP(I1679,Summary!$C$8:$C$153,1,0),VLOOKUP(I1679*1,Summary!$C$8:$C$153,1,0)))),"Add account Number to Summary","")</f>
        <v/>
      </c>
      <c r="M1679" s="131" t="str">
        <f t="shared" si="26"/>
        <v/>
      </c>
      <c r="N1679" s="287">
        <f>IF(C1679="Sale",SUMIFS($D$4:D1679,$B$4:B1679,B1679,$C$4:C1679,"")+SUMIFS($D$4:D1679,$B$4:B1679,B1679,$C$4:C1679,"Purch")-SUMIFS($D$4:D1679,$B$4:B1679,B1679,$C$4:C1679,"Sale"),0)</f>
        <v>0</v>
      </c>
    </row>
    <row r="1680" spans="1:14" x14ac:dyDescent="0.2">
      <c r="A1680" s="152"/>
      <c r="B1680" s="132"/>
      <c r="C1680" s="132"/>
      <c r="D1680" s="277"/>
      <c r="E1680" s="132"/>
      <c r="F1680" s="170"/>
      <c r="G1680" s="150"/>
      <c r="H1680" s="152"/>
      <c r="I1680" s="204"/>
      <c r="J1680" s="285"/>
      <c r="K1680" s="251"/>
      <c r="L1680" s="133" t="str">
        <f>IF(AND(I1680&lt;&gt;"",ISERROR(IF(ISERROR(VLOOKUP(I1680*1,Summary!$C$8:$C$153,1,0)),VLOOKUP(I1680,Summary!$C$8:$C$153,1,0),VLOOKUP(I1680*1,Summary!$C$8:$C$153,1,0)))),"Add account Number to Summary","")</f>
        <v/>
      </c>
      <c r="M1680" s="131" t="str">
        <f t="shared" si="26"/>
        <v/>
      </c>
      <c r="N1680" s="287">
        <f>IF(C1680="Sale",SUMIFS($D$4:D1680,$B$4:B1680,B1680,$C$4:C1680,"")+SUMIFS($D$4:D1680,$B$4:B1680,B1680,$C$4:C1680,"Purch")-SUMIFS($D$4:D1680,$B$4:B1680,B1680,$C$4:C1680,"Sale"),0)</f>
        <v>0</v>
      </c>
    </row>
    <row r="1681" spans="1:14" x14ac:dyDescent="0.2">
      <c r="A1681" s="152"/>
      <c r="B1681" s="132"/>
      <c r="C1681" s="132"/>
      <c r="D1681" s="277"/>
      <c r="E1681" s="132"/>
      <c r="F1681" s="170"/>
      <c r="G1681" s="150"/>
      <c r="H1681" s="152"/>
      <c r="I1681" s="204"/>
      <c r="J1681" s="285"/>
      <c r="K1681" s="251"/>
      <c r="L1681" s="133" t="str">
        <f>IF(AND(I1681&lt;&gt;"",ISERROR(IF(ISERROR(VLOOKUP(I1681*1,Summary!$C$8:$C$153,1,0)),VLOOKUP(I1681,Summary!$C$8:$C$153,1,0),VLOOKUP(I1681*1,Summary!$C$8:$C$153,1,0)))),"Add account Number to Summary","")</f>
        <v/>
      </c>
      <c r="M1681" s="131" t="str">
        <f t="shared" si="26"/>
        <v/>
      </c>
      <c r="N1681" s="287">
        <f>IF(C1681="Sale",SUMIFS($D$4:D1681,$B$4:B1681,B1681,$C$4:C1681,"")+SUMIFS($D$4:D1681,$B$4:B1681,B1681,$C$4:C1681,"Purch")-SUMIFS($D$4:D1681,$B$4:B1681,B1681,$C$4:C1681,"Sale"),0)</f>
        <v>0</v>
      </c>
    </row>
    <row r="1682" spans="1:14" x14ac:dyDescent="0.2">
      <c r="A1682" s="152"/>
      <c r="B1682" s="132"/>
      <c r="C1682" s="132"/>
      <c r="D1682" s="277"/>
      <c r="E1682" s="132"/>
      <c r="F1682" s="170"/>
      <c r="G1682" s="150"/>
      <c r="H1682" s="152"/>
      <c r="I1682" s="204"/>
      <c r="J1682" s="285"/>
      <c r="K1682" s="251"/>
      <c r="L1682" s="133" t="str">
        <f>IF(AND(I1682&lt;&gt;"",ISERROR(IF(ISERROR(VLOOKUP(I1682*1,Summary!$C$8:$C$153,1,0)),VLOOKUP(I1682,Summary!$C$8:$C$153,1,0),VLOOKUP(I1682*1,Summary!$C$8:$C$153,1,0)))),"Add account Number to Summary","")</f>
        <v/>
      </c>
      <c r="M1682" s="131" t="str">
        <f t="shared" si="26"/>
        <v/>
      </c>
      <c r="N1682" s="287">
        <f>IF(C1682="Sale",SUMIFS($D$4:D1682,$B$4:B1682,B1682,$C$4:C1682,"")+SUMIFS($D$4:D1682,$B$4:B1682,B1682,$C$4:C1682,"Purch")-SUMIFS($D$4:D1682,$B$4:B1682,B1682,$C$4:C1682,"Sale"),0)</f>
        <v>0</v>
      </c>
    </row>
    <row r="1683" spans="1:14" x14ac:dyDescent="0.2">
      <c r="A1683" s="152"/>
      <c r="B1683" s="132"/>
      <c r="C1683" s="132"/>
      <c r="D1683" s="277"/>
      <c r="E1683" s="132"/>
      <c r="F1683" s="170"/>
      <c r="G1683" s="150"/>
      <c r="H1683" s="152"/>
      <c r="I1683" s="204"/>
      <c r="J1683" s="285"/>
      <c r="K1683" s="251"/>
      <c r="L1683" s="133" t="str">
        <f>IF(AND(I1683&lt;&gt;"",ISERROR(IF(ISERROR(VLOOKUP(I1683*1,Summary!$C$8:$C$153,1,0)),VLOOKUP(I1683,Summary!$C$8:$C$153,1,0),VLOOKUP(I1683*1,Summary!$C$8:$C$153,1,0)))),"Add account Number to Summary","")</f>
        <v/>
      </c>
      <c r="M1683" s="131" t="str">
        <f t="shared" si="26"/>
        <v/>
      </c>
      <c r="N1683" s="287">
        <f>IF(C1683="Sale",SUMIFS($D$4:D1683,$B$4:B1683,B1683,$C$4:C1683,"")+SUMIFS($D$4:D1683,$B$4:B1683,B1683,$C$4:C1683,"Purch")-SUMIFS($D$4:D1683,$B$4:B1683,B1683,$C$4:C1683,"Sale"),0)</f>
        <v>0</v>
      </c>
    </row>
    <row r="1684" spans="1:14" x14ac:dyDescent="0.2">
      <c r="A1684" s="152"/>
      <c r="B1684" s="132"/>
      <c r="C1684" s="132"/>
      <c r="D1684" s="277"/>
      <c r="E1684" s="132"/>
      <c r="F1684" s="170"/>
      <c r="G1684" s="150"/>
      <c r="H1684" s="152"/>
      <c r="I1684" s="204"/>
      <c r="J1684" s="285"/>
      <c r="K1684" s="251"/>
      <c r="L1684" s="133" t="str">
        <f>IF(AND(I1684&lt;&gt;"",ISERROR(IF(ISERROR(VLOOKUP(I1684*1,Summary!$C$8:$C$153,1,0)),VLOOKUP(I1684,Summary!$C$8:$C$153,1,0),VLOOKUP(I1684*1,Summary!$C$8:$C$153,1,0)))),"Add account Number to Summary","")</f>
        <v/>
      </c>
      <c r="M1684" s="131" t="str">
        <f t="shared" si="26"/>
        <v/>
      </c>
      <c r="N1684" s="287">
        <f>IF(C1684="Sale",SUMIFS($D$4:D1684,$B$4:B1684,B1684,$C$4:C1684,"")+SUMIFS($D$4:D1684,$B$4:B1684,B1684,$C$4:C1684,"Purch")-SUMIFS($D$4:D1684,$B$4:B1684,B1684,$C$4:C1684,"Sale"),0)</f>
        <v>0</v>
      </c>
    </row>
    <row r="1685" spans="1:14" x14ac:dyDescent="0.2">
      <c r="A1685" s="152"/>
      <c r="B1685" s="132"/>
      <c r="C1685" s="132"/>
      <c r="D1685" s="277"/>
      <c r="E1685" s="132"/>
      <c r="F1685" s="170"/>
      <c r="G1685" s="150"/>
      <c r="H1685" s="152"/>
      <c r="I1685" s="204"/>
      <c r="J1685" s="285"/>
      <c r="K1685" s="251"/>
      <c r="L1685" s="133" t="str">
        <f>IF(AND(I1685&lt;&gt;"",ISERROR(IF(ISERROR(VLOOKUP(I1685*1,Summary!$C$8:$C$153,1,0)),VLOOKUP(I1685,Summary!$C$8:$C$153,1,0),VLOOKUP(I1685*1,Summary!$C$8:$C$153,1,0)))),"Add account Number to Summary","")</f>
        <v/>
      </c>
      <c r="M1685" s="131" t="str">
        <f t="shared" si="26"/>
        <v/>
      </c>
      <c r="N1685" s="287">
        <f>IF(C1685="Sale",SUMIFS($D$4:D1685,$B$4:B1685,B1685,$C$4:C1685,"")+SUMIFS($D$4:D1685,$B$4:B1685,B1685,$C$4:C1685,"Purch")-SUMIFS($D$4:D1685,$B$4:B1685,B1685,$C$4:C1685,"Sale"),0)</f>
        <v>0</v>
      </c>
    </row>
    <row r="1686" spans="1:14" x14ac:dyDescent="0.2">
      <c r="A1686" s="152"/>
      <c r="B1686" s="132"/>
      <c r="C1686" s="132"/>
      <c r="D1686" s="277"/>
      <c r="E1686" s="132"/>
      <c r="F1686" s="170"/>
      <c r="G1686" s="150"/>
      <c r="H1686" s="152"/>
      <c r="I1686" s="204"/>
      <c r="J1686" s="285"/>
      <c r="K1686" s="251"/>
      <c r="L1686" s="133" t="str">
        <f>IF(AND(I1686&lt;&gt;"",ISERROR(IF(ISERROR(VLOOKUP(I1686*1,Summary!$C$8:$C$153,1,0)),VLOOKUP(I1686,Summary!$C$8:$C$153,1,0),VLOOKUP(I1686*1,Summary!$C$8:$C$153,1,0)))),"Add account Number to Summary","")</f>
        <v/>
      </c>
      <c r="M1686" s="131" t="str">
        <f t="shared" si="26"/>
        <v/>
      </c>
      <c r="N1686" s="287">
        <f>IF(C1686="Sale",SUMIFS($D$4:D1686,$B$4:B1686,B1686,$C$4:C1686,"")+SUMIFS($D$4:D1686,$B$4:B1686,B1686,$C$4:C1686,"Purch")-SUMIFS($D$4:D1686,$B$4:B1686,B1686,$C$4:C1686,"Sale"),0)</f>
        <v>0</v>
      </c>
    </row>
    <row r="1687" spans="1:14" x14ac:dyDescent="0.2">
      <c r="A1687" s="152"/>
      <c r="B1687" s="132"/>
      <c r="C1687" s="132"/>
      <c r="D1687" s="277"/>
      <c r="E1687" s="132"/>
      <c r="F1687" s="170"/>
      <c r="G1687" s="150"/>
      <c r="H1687" s="152"/>
      <c r="I1687" s="204"/>
      <c r="J1687" s="285"/>
      <c r="K1687" s="251"/>
      <c r="L1687" s="133" t="str">
        <f>IF(AND(I1687&lt;&gt;"",ISERROR(IF(ISERROR(VLOOKUP(I1687*1,Summary!$C$8:$C$153,1,0)),VLOOKUP(I1687,Summary!$C$8:$C$153,1,0),VLOOKUP(I1687*1,Summary!$C$8:$C$153,1,0)))),"Add account Number to Summary","")</f>
        <v/>
      </c>
      <c r="M1687" s="131" t="str">
        <f t="shared" si="26"/>
        <v/>
      </c>
      <c r="N1687" s="287">
        <f>IF(C1687="Sale",SUMIFS($D$4:D1687,$B$4:B1687,B1687,$C$4:C1687,"")+SUMIFS($D$4:D1687,$B$4:B1687,B1687,$C$4:C1687,"Purch")-SUMIFS($D$4:D1687,$B$4:B1687,B1687,$C$4:C1687,"Sale"),0)</f>
        <v>0</v>
      </c>
    </row>
    <row r="1688" spans="1:14" x14ac:dyDescent="0.2">
      <c r="A1688" s="152"/>
      <c r="B1688" s="132"/>
      <c r="C1688" s="132"/>
      <c r="D1688" s="277"/>
      <c r="E1688" s="132"/>
      <c r="F1688" s="170"/>
      <c r="G1688" s="150"/>
      <c r="H1688" s="152"/>
      <c r="I1688" s="204"/>
      <c r="J1688" s="285"/>
      <c r="K1688" s="251"/>
      <c r="L1688" s="133" t="str">
        <f>IF(AND(I1688&lt;&gt;"",ISERROR(IF(ISERROR(VLOOKUP(I1688*1,Summary!$C$8:$C$153,1,0)),VLOOKUP(I1688,Summary!$C$8:$C$153,1,0),VLOOKUP(I1688*1,Summary!$C$8:$C$153,1,0)))),"Add account Number to Summary","")</f>
        <v/>
      </c>
      <c r="M1688" s="131" t="str">
        <f t="shared" si="26"/>
        <v/>
      </c>
      <c r="N1688" s="287">
        <f>IF(C1688="Sale",SUMIFS($D$4:D1688,$B$4:B1688,B1688,$C$4:C1688,"")+SUMIFS($D$4:D1688,$B$4:B1688,B1688,$C$4:C1688,"Purch")-SUMIFS($D$4:D1688,$B$4:B1688,B1688,$C$4:C1688,"Sale"),0)</f>
        <v>0</v>
      </c>
    </row>
    <row r="1689" spans="1:14" x14ac:dyDescent="0.2">
      <c r="A1689" s="152"/>
      <c r="B1689" s="132"/>
      <c r="C1689" s="132"/>
      <c r="D1689" s="277"/>
      <c r="E1689" s="132"/>
      <c r="F1689" s="170"/>
      <c r="G1689" s="150"/>
      <c r="H1689" s="152"/>
      <c r="I1689" s="204"/>
      <c r="J1689" s="285"/>
      <c r="K1689" s="251"/>
      <c r="L1689" s="133" t="str">
        <f>IF(AND(I1689&lt;&gt;"",ISERROR(IF(ISERROR(VLOOKUP(I1689*1,Summary!$C$8:$C$153,1,0)),VLOOKUP(I1689,Summary!$C$8:$C$153,1,0),VLOOKUP(I1689*1,Summary!$C$8:$C$153,1,0)))),"Add account Number to Summary","")</f>
        <v/>
      </c>
      <c r="M1689" s="131" t="str">
        <f t="shared" si="26"/>
        <v/>
      </c>
      <c r="N1689" s="287">
        <f>IF(C1689="Sale",SUMIFS($D$4:D1689,$B$4:B1689,B1689,$C$4:C1689,"")+SUMIFS($D$4:D1689,$B$4:B1689,B1689,$C$4:C1689,"Purch")-SUMIFS($D$4:D1689,$B$4:B1689,B1689,$C$4:C1689,"Sale"),0)</f>
        <v>0</v>
      </c>
    </row>
    <row r="1690" spans="1:14" x14ac:dyDescent="0.2">
      <c r="A1690" s="152"/>
      <c r="B1690" s="132"/>
      <c r="C1690" s="132"/>
      <c r="D1690" s="277"/>
      <c r="E1690" s="132"/>
      <c r="F1690" s="170"/>
      <c r="G1690" s="150"/>
      <c r="H1690" s="152"/>
      <c r="I1690" s="204"/>
      <c r="J1690" s="285"/>
      <c r="K1690" s="251"/>
      <c r="L1690" s="133" t="str">
        <f>IF(AND(I1690&lt;&gt;"",ISERROR(IF(ISERROR(VLOOKUP(I1690*1,Summary!$C$8:$C$153,1,0)),VLOOKUP(I1690,Summary!$C$8:$C$153,1,0),VLOOKUP(I1690*1,Summary!$C$8:$C$153,1,0)))),"Add account Number to Summary","")</f>
        <v/>
      </c>
      <c r="M1690" s="131" t="str">
        <f t="shared" si="26"/>
        <v/>
      </c>
      <c r="N1690" s="287">
        <f>IF(C1690="Sale",SUMIFS($D$4:D1690,$B$4:B1690,B1690,$C$4:C1690,"")+SUMIFS($D$4:D1690,$B$4:B1690,B1690,$C$4:C1690,"Purch")-SUMIFS($D$4:D1690,$B$4:B1690,B1690,$C$4:C1690,"Sale"),0)</f>
        <v>0</v>
      </c>
    </row>
    <row r="1691" spans="1:14" x14ac:dyDescent="0.2">
      <c r="A1691" s="152"/>
      <c r="B1691" s="132"/>
      <c r="C1691" s="132"/>
      <c r="D1691" s="277"/>
      <c r="E1691" s="132"/>
      <c r="F1691" s="170"/>
      <c r="G1691" s="150"/>
      <c r="H1691" s="152"/>
      <c r="I1691" s="204"/>
      <c r="J1691" s="285"/>
      <c r="K1691" s="251"/>
      <c r="L1691" s="133" t="str">
        <f>IF(AND(I1691&lt;&gt;"",ISERROR(IF(ISERROR(VLOOKUP(I1691*1,Summary!$C$8:$C$153,1,0)),VLOOKUP(I1691,Summary!$C$8:$C$153,1,0),VLOOKUP(I1691*1,Summary!$C$8:$C$153,1,0)))),"Add account Number to Summary","")</f>
        <v/>
      </c>
      <c r="M1691" s="131" t="str">
        <f t="shared" si="26"/>
        <v/>
      </c>
      <c r="N1691" s="287">
        <f>IF(C1691="Sale",SUMIFS($D$4:D1691,$B$4:B1691,B1691,$C$4:C1691,"")+SUMIFS($D$4:D1691,$B$4:B1691,B1691,$C$4:C1691,"Purch")-SUMIFS($D$4:D1691,$B$4:B1691,B1691,$C$4:C1691,"Sale"),0)</f>
        <v>0</v>
      </c>
    </row>
    <row r="1692" spans="1:14" x14ac:dyDescent="0.2">
      <c r="A1692" s="152"/>
      <c r="B1692" s="132"/>
      <c r="C1692" s="132"/>
      <c r="D1692" s="277"/>
      <c r="E1692" s="132"/>
      <c r="F1692" s="170"/>
      <c r="G1692" s="150"/>
      <c r="H1692" s="152"/>
      <c r="I1692" s="204"/>
      <c r="J1692" s="285"/>
      <c r="K1692" s="251"/>
      <c r="L1692" s="133" t="str">
        <f>IF(AND(I1692&lt;&gt;"",ISERROR(IF(ISERROR(VLOOKUP(I1692*1,Summary!$C$8:$C$153,1,0)),VLOOKUP(I1692,Summary!$C$8:$C$153,1,0),VLOOKUP(I1692*1,Summary!$C$8:$C$153,1,0)))),"Add account Number to Summary","")</f>
        <v/>
      </c>
      <c r="M1692" s="131" t="str">
        <f t="shared" si="26"/>
        <v/>
      </c>
      <c r="N1692" s="287">
        <f>IF(C1692="Sale",SUMIFS($D$4:D1692,$B$4:B1692,B1692,$C$4:C1692,"")+SUMIFS($D$4:D1692,$B$4:B1692,B1692,$C$4:C1692,"Purch")-SUMIFS($D$4:D1692,$B$4:B1692,B1692,$C$4:C1692,"Sale"),0)</f>
        <v>0</v>
      </c>
    </row>
    <row r="1693" spans="1:14" x14ac:dyDescent="0.2">
      <c r="A1693" s="152"/>
      <c r="B1693" s="132"/>
      <c r="C1693" s="132"/>
      <c r="D1693" s="277"/>
      <c r="E1693" s="132"/>
      <c r="F1693" s="170"/>
      <c r="G1693" s="150"/>
      <c r="H1693" s="152"/>
      <c r="I1693" s="204"/>
      <c r="J1693" s="285"/>
      <c r="K1693" s="251"/>
      <c r="L1693" s="133" t="str">
        <f>IF(AND(I1693&lt;&gt;"",ISERROR(IF(ISERROR(VLOOKUP(I1693*1,Summary!$C$8:$C$153,1,0)),VLOOKUP(I1693,Summary!$C$8:$C$153,1,0),VLOOKUP(I1693*1,Summary!$C$8:$C$153,1,0)))),"Add account Number to Summary","")</f>
        <v/>
      </c>
      <c r="M1693" s="131" t="str">
        <f t="shared" si="26"/>
        <v/>
      </c>
      <c r="N1693" s="287">
        <f>IF(C1693="Sale",SUMIFS($D$4:D1693,$B$4:B1693,B1693,$C$4:C1693,"")+SUMIFS($D$4:D1693,$B$4:B1693,B1693,$C$4:C1693,"Purch")-SUMIFS($D$4:D1693,$B$4:B1693,B1693,$C$4:C1693,"Sale"),0)</f>
        <v>0</v>
      </c>
    </row>
    <row r="1694" spans="1:14" x14ac:dyDescent="0.2">
      <c r="A1694" s="152"/>
      <c r="B1694" s="132"/>
      <c r="C1694" s="132"/>
      <c r="D1694" s="277"/>
      <c r="E1694" s="132"/>
      <c r="F1694" s="170"/>
      <c r="G1694" s="150"/>
      <c r="H1694" s="152"/>
      <c r="I1694" s="204"/>
      <c r="J1694" s="285"/>
      <c r="K1694" s="251"/>
      <c r="L1694" s="133" t="str">
        <f>IF(AND(I1694&lt;&gt;"",ISERROR(IF(ISERROR(VLOOKUP(I1694*1,Summary!$C$8:$C$153,1,0)),VLOOKUP(I1694,Summary!$C$8:$C$153,1,0),VLOOKUP(I1694*1,Summary!$C$8:$C$153,1,0)))),"Add account Number to Summary","")</f>
        <v/>
      </c>
      <c r="M1694" s="131" t="str">
        <f t="shared" si="26"/>
        <v/>
      </c>
      <c r="N1694" s="287">
        <f>IF(C1694="Sale",SUMIFS($D$4:D1694,$B$4:B1694,B1694,$C$4:C1694,"")+SUMIFS($D$4:D1694,$B$4:B1694,B1694,$C$4:C1694,"Purch")-SUMIFS($D$4:D1694,$B$4:B1694,B1694,$C$4:C1694,"Sale"),0)</f>
        <v>0</v>
      </c>
    </row>
    <row r="1695" spans="1:14" x14ac:dyDescent="0.2">
      <c r="A1695" s="152"/>
      <c r="B1695" s="132"/>
      <c r="C1695" s="132"/>
      <c r="D1695" s="277"/>
      <c r="E1695" s="132"/>
      <c r="F1695" s="170"/>
      <c r="G1695" s="150"/>
      <c r="H1695" s="152"/>
      <c r="I1695" s="204"/>
      <c r="J1695" s="285"/>
      <c r="K1695" s="251"/>
      <c r="L1695" s="133" t="str">
        <f>IF(AND(I1695&lt;&gt;"",ISERROR(IF(ISERROR(VLOOKUP(I1695*1,Summary!$C$8:$C$153,1,0)),VLOOKUP(I1695,Summary!$C$8:$C$153,1,0),VLOOKUP(I1695*1,Summary!$C$8:$C$153,1,0)))),"Add account Number to Summary","")</f>
        <v/>
      </c>
      <c r="M1695" s="131" t="str">
        <f t="shared" si="26"/>
        <v/>
      </c>
      <c r="N1695" s="287">
        <f>IF(C1695="Sale",SUMIFS($D$4:D1695,$B$4:B1695,B1695,$C$4:C1695,"")+SUMIFS($D$4:D1695,$B$4:B1695,B1695,$C$4:C1695,"Purch")-SUMIFS($D$4:D1695,$B$4:B1695,B1695,$C$4:C1695,"Sale"),0)</f>
        <v>0</v>
      </c>
    </row>
    <row r="1696" spans="1:14" x14ac:dyDescent="0.2">
      <c r="A1696" s="152"/>
      <c r="B1696" s="132"/>
      <c r="C1696" s="132"/>
      <c r="D1696" s="277"/>
      <c r="E1696" s="132"/>
      <c r="F1696" s="170"/>
      <c r="G1696" s="150"/>
      <c r="H1696" s="152"/>
      <c r="I1696" s="204"/>
      <c r="J1696" s="285"/>
      <c r="K1696" s="251"/>
      <c r="L1696" s="133" t="str">
        <f>IF(AND(I1696&lt;&gt;"",ISERROR(IF(ISERROR(VLOOKUP(I1696*1,Summary!$C$8:$C$153,1,0)),VLOOKUP(I1696,Summary!$C$8:$C$153,1,0),VLOOKUP(I1696*1,Summary!$C$8:$C$153,1,0)))),"Add account Number to Summary","")</f>
        <v/>
      </c>
      <c r="M1696" s="131" t="str">
        <f t="shared" si="26"/>
        <v/>
      </c>
      <c r="N1696" s="287">
        <f>IF(C1696="Sale",SUMIFS($D$4:D1696,$B$4:B1696,B1696,$C$4:C1696,"")+SUMIFS($D$4:D1696,$B$4:B1696,B1696,$C$4:C1696,"Purch")-SUMIFS($D$4:D1696,$B$4:B1696,B1696,$C$4:C1696,"Sale"),0)</f>
        <v>0</v>
      </c>
    </row>
    <row r="1697" spans="1:14" x14ac:dyDescent="0.2">
      <c r="A1697" s="152"/>
      <c r="B1697" s="132"/>
      <c r="C1697" s="132"/>
      <c r="D1697" s="277"/>
      <c r="E1697" s="132"/>
      <c r="F1697" s="170"/>
      <c r="G1697" s="150"/>
      <c r="H1697" s="152"/>
      <c r="I1697" s="204"/>
      <c r="J1697" s="285"/>
      <c r="K1697" s="251"/>
      <c r="L1697" s="133" t="str">
        <f>IF(AND(I1697&lt;&gt;"",ISERROR(IF(ISERROR(VLOOKUP(I1697*1,Summary!$C$8:$C$153,1,0)),VLOOKUP(I1697,Summary!$C$8:$C$153,1,0),VLOOKUP(I1697*1,Summary!$C$8:$C$153,1,0)))),"Add account Number to Summary","")</f>
        <v/>
      </c>
      <c r="M1697" s="131" t="str">
        <f t="shared" si="26"/>
        <v/>
      </c>
      <c r="N1697" s="287">
        <f>IF(C1697="Sale",SUMIFS($D$4:D1697,$B$4:B1697,B1697,$C$4:C1697,"")+SUMIFS($D$4:D1697,$B$4:B1697,B1697,$C$4:C1697,"Purch")-SUMIFS($D$4:D1697,$B$4:B1697,B1697,$C$4:C1697,"Sale"),0)</f>
        <v>0</v>
      </c>
    </row>
    <row r="1698" spans="1:14" x14ac:dyDescent="0.2">
      <c r="A1698" s="152"/>
      <c r="B1698" s="132"/>
      <c r="C1698" s="132"/>
      <c r="D1698" s="277"/>
      <c r="E1698" s="132"/>
      <c r="F1698" s="170"/>
      <c r="G1698" s="150"/>
      <c r="H1698" s="152"/>
      <c r="I1698" s="204"/>
      <c r="J1698" s="285"/>
      <c r="K1698" s="251"/>
      <c r="L1698" s="133" t="str">
        <f>IF(AND(I1698&lt;&gt;"",ISERROR(IF(ISERROR(VLOOKUP(I1698*1,Summary!$C$8:$C$153,1,0)),VLOOKUP(I1698,Summary!$C$8:$C$153,1,0),VLOOKUP(I1698*1,Summary!$C$8:$C$153,1,0)))),"Add account Number to Summary","")</f>
        <v/>
      </c>
      <c r="M1698" s="131" t="str">
        <f t="shared" si="26"/>
        <v/>
      </c>
      <c r="N1698" s="287">
        <f>IF(C1698="Sale",SUMIFS($D$4:D1698,$B$4:B1698,B1698,$C$4:C1698,"")+SUMIFS($D$4:D1698,$B$4:B1698,B1698,$C$4:C1698,"Purch")-SUMIFS($D$4:D1698,$B$4:B1698,B1698,$C$4:C1698,"Sale"),0)</f>
        <v>0</v>
      </c>
    </row>
    <row r="1699" spans="1:14" x14ac:dyDescent="0.2">
      <c r="A1699" s="152"/>
      <c r="B1699" s="132"/>
      <c r="C1699" s="132"/>
      <c r="D1699" s="277"/>
      <c r="E1699" s="132"/>
      <c r="F1699" s="170"/>
      <c r="G1699" s="150"/>
      <c r="H1699" s="152"/>
      <c r="I1699" s="204"/>
      <c r="J1699" s="285"/>
      <c r="K1699" s="251"/>
      <c r="L1699" s="133" t="str">
        <f>IF(AND(I1699&lt;&gt;"",ISERROR(IF(ISERROR(VLOOKUP(I1699*1,Summary!$C$8:$C$153,1,0)),VLOOKUP(I1699,Summary!$C$8:$C$153,1,0),VLOOKUP(I1699*1,Summary!$C$8:$C$153,1,0)))),"Add account Number to Summary","")</f>
        <v/>
      </c>
      <c r="M1699" s="131" t="str">
        <f t="shared" si="26"/>
        <v/>
      </c>
      <c r="N1699" s="287">
        <f>IF(C1699="Sale",SUMIFS($D$4:D1699,$B$4:B1699,B1699,$C$4:C1699,"")+SUMIFS($D$4:D1699,$B$4:B1699,B1699,$C$4:C1699,"Purch")-SUMIFS($D$4:D1699,$B$4:B1699,B1699,$C$4:C1699,"Sale"),0)</f>
        <v>0</v>
      </c>
    </row>
    <row r="1700" spans="1:14" x14ac:dyDescent="0.2">
      <c r="A1700" s="152"/>
      <c r="B1700" s="132"/>
      <c r="C1700" s="132"/>
      <c r="D1700" s="277"/>
      <c r="E1700" s="132"/>
      <c r="F1700" s="170"/>
      <c r="G1700" s="150"/>
      <c r="H1700" s="152"/>
      <c r="I1700" s="204"/>
      <c r="J1700" s="285"/>
      <c r="K1700" s="251"/>
      <c r="L1700" s="133" t="str">
        <f>IF(AND(I1700&lt;&gt;"",ISERROR(IF(ISERROR(VLOOKUP(I1700*1,Summary!$C$8:$C$153,1,0)),VLOOKUP(I1700,Summary!$C$8:$C$153,1,0),VLOOKUP(I1700*1,Summary!$C$8:$C$153,1,0)))),"Add account Number to Summary","")</f>
        <v/>
      </c>
      <c r="M1700" s="131" t="str">
        <f t="shared" si="26"/>
        <v/>
      </c>
      <c r="N1700" s="287">
        <f>IF(C1700="Sale",SUMIFS($D$4:D1700,$B$4:B1700,B1700,$C$4:C1700,"")+SUMIFS($D$4:D1700,$B$4:B1700,B1700,$C$4:C1700,"Purch")-SUMIFS($D$4:D1700,$B$4:B1700,B1700,$C$4:C1700,"Sale"),0)</f>
        <v>0</v>
      </c>
    </row>
    <row r="1701" spans="1:14" x14ac:dyDescent="0.2">
      <c r="A1701" s="152"/>
      <c r="B1701" s="132"/>
      <c r="C1701" s="132"/>
      <c r="D1701" s="277"/>
      <c r="E1701" s="132"/>
      <c r="F1701" s="170"/>
      <c r="G1701" s="150"/>
      <c r="H1701" s="152"/>
      <c r="I1701" s="204"/>
      <c r="J1701" s="285"/>
      <c r="K1701" s="251"/>
      <c r="L1701" s="133" t="str">
        <f>IF(AND(I1701&lt;&gt;"",ISERROR(IF(ISERROR(VLOOKUP(I1701*1,Summary!$C$8:$C$153,1,0)),VLOOKUP(I1701,Summary!$C$8:$C$153,1,0),VLOOKUP(I1701*1,Summary!$C$8:$C$153,1,0)))),"Add account Number to Summary","")</f>
        <v/>
      </c>
      <c r="M1701" s="131" t="str">
        <f t="shared" si="26"/>
        <v/>
      </c>
      <c r="N1701" s="287">
        <f>IF(C1701="Sale",SUMIFS($D$4:D1701,$B$4:B1701,B1701,$C$4:C1701,"")+SUMIFS($D$4:D1701,$B$4:B1701,B1701,$C$4:C1701,"Purch")-SUMIFS($D$4:D1701,$B$4:B1701,B1701,$C$4:C1701,"Sale"),0)</f>
        <v>0</v>
      </c>
    </row>
    <row r="1702" spans="1:14" x14ac:dyDescent="0.2">
      <c r="A1702" s="152"/>
      <c r="B1702" s="132"/>
      <c r="C1702" s="132"/>
      <c r="D1702" s="277"/>
      <c r="E1702" s="132"/>
      <c r="F1702" s="170"/>
      <c r="G1702" s="150"/>
      <c r="H1702" s="152"/>
      <c r="I1702" s="204"/>
      <c r="J1702" s="285"/>
      <c r="K1702" s="251"/>
      <c r="L1702" s="133" t="str">
        <f>IF(AND(I1702&lt;&gt;"",ISERROR(IF(ISERROR(VLOOKUP(I1702*1,Summary!$C$8:$C$153,1,0)),VLOOKUP(I1702,Summary!$C$8:$C$153,1,0),VLOOKUP(I1702*1,Summary!$C$8:$C$153,1,0)))),"Add account Number to Summary","")</f>
        <v/>
      </c>
      <c r="M1702" s="131" t="str">
        <f t="shared" si="26"/>
        <v/>
      </c>
      <c r="N1702" s="287">
        <f>IF(C1702="Sale",SUMIFS($D$4:D1702,$B$4:B1702,B1702,$C$4:C1702,"")+SUMIFS($D$4:D1702,$B$4:B1702,B1702,$C$4:C1702,"Purch")-SUMIFS($D$4:D1702,$B$4:B1702,B1702,$C$4:C1702,"Sale"),0)</f>
        <v>0</v>
      </c>
    </row>
    <row r="1703" spans="1:14" x14ac:dyDescent="0.2">
      <c r="A1703" s="152"/>
      <c r="B1703" s="132"/>
      <c r="C1703" s="132"/>
      <c r="D1703" s="277"/>
      <c r="E1703" s="132"/>
      <c r="F1703" s="170"/>
      <c r="G1703" s="150"/>
      <c r="H1703" s="152"/>
      <c r="I1703" s="204"/>
      <c r="J1703" s="285"/>
      <c r="K1703" s="251"/>
      <c r="L1703" s="133" t="str">
        <f>IF(AND(I1703&lt;&gt;"",ISERROR(IF(ISERROR(VLOOKUP(I1703*1,Summary!$C$8:$C$153,1,0)),VLOOKUP(I1703,Summary!$C$8:$C$153,1,0),VLOOKUP(I1703*1,Summary!$C$8:$C$153,1,0)))),"Add account Number to Summary","")</f>
        <v/>
      </c>
      <c r="M1703" s="131" t="str">
        <f t="shared" si="26"/>
        <v/>
      </c>
      <c r="N1703" s="287">
        <f>IF(C1703="Sale",SUMIFS($D$4:D1703,$B$4:B1703,B1703,$C$4:C1703,"")+SUMIFS($D$4:D1703,$B$4:B1703,B1703,$C$4:C1703,"Purch")-SUMIFS($D$4:D1703,$B$4:B1703,B1703,$C$4:C1703,"Sale"),0)</f>
        <v>0</v>
      </c>
    </row>
    <row r="1704" spans="1:14" x14ac:dyDescent="0.2">
      <c r="A1704" s="152"/>
      <c r="B1704" s="132"/>
      <c r="C1704" s="132"/>
      <c r="D1704" s="277"/>
      <c r="E1704" s="132"/>
      <c r="F1704" s="170"/>
      <c r="G1704" s="150"/>
      <c r="H1704" s="152"/>
      <c r="I1704" s="204"/>
      <c r="J1704" s="285"/>
      <c r="K1704" s="251"/>
      <c r="L1704" s="133" t="str">
        <f>IF(AND(I1704&lt;&gt;"",ISERROR(IF(ISERROR(VLOOKUP(I1704*1,Summary!$C$8:$C$153,1,0)),VLOOKUP(I1704,Summary!$C$8:$C$153,1,0),VLOOKUP(I1704*1,Summary!$C$8:$C$153,1,0)))),"Add account Number to Summary","")</f>
        <v/>
      </c>
      <c r="M1704" s="131" t="str">
        <f t="shared" si="26"/>
        <v/>
      </c>
      <c r="N1704" s="287">
        <f>IF(C1704="Sale",SUMIFS($D$4:D1704,$B$4:B1704,B1704,$C$4:C1704,"")+SUMIFS($D$4:D1704,$B$4:B1704,B1704,$C$4:C1704,"Purch")-SUMIFS($D$4:D1704,$B$4:B1704,B1704,$C$4:C1704,"Sale"),0)</f>
        <v>0</v>
      </c>
    </row>
    <row r="1705" spans="1:14" x14ac:dyDescent="0.2">
      <c r="A1705" s="152"/>
      <c r="B1705" s="132"/>
      <c r="C1705" s="132"/>
      <c r="D1705" s="277"/>
      <c r="E1705" s="132"/>
      <c r="F1705" s="170"/>
      <c r="G1705" s="150"/>
      <c r="H1705" s="152"/>
      <c r="I1705" s="204"/>
      <c r="J1705" s="285"/>
      <c r="K1705" s="251"/>
      <c r="L1705" s="133" t="str">
        <f>IF(AND(I1705&lt;&gt;"",ISERROR(IF(ISERROR(VLOOKUP(I1705*1,Summary!$C$8:$C$153,1,0)),VLOOKUP(I1705,Summary!$C$8:$C$153,1,0),VLOOKUP(I1705*1,Summary!$C$8:$C$153,1,0)))),"Add account Number to Summary","")</f>
        <v/>
      </c>
      <c r="M1705" s="131" t="str">
        <f t="shared" si="26"/>
        <v/>
      </c>
      <c r="N1705" s="287">
        <f>IF(C1705="Sale",SUMIFS($D$4:D1705,$B$4:B1705,B1705,$C$4:C1705,"")+SUMIFS($D$4:D1705,$B$4:B1705,B1705,$C$4:C1705,"Purch")-SUMIFS($D$4:D1705,$B$4:B1705,B1705,$C$4:C1705,"Sale"),0)</f>
        <v>0</v>
      </c>
    </row>
    <row r="1706" spans="1:14" x14ac:dyDescent="0.2">
      <c r="A1706" s="152"/>
      <c r="B1706" s="132"/>
      <c r="C1706" s="132"/>
      <c r="D1706" s="277"/>
      <c r="E1706" s="132"/>
      <c r="F1706" s="170"/>
      <c r="G1706" s="150"/>
      <c r="H1706" s="152"/>
      <c r="I1706" s="204"/>
      <c r="J1706" s="285"/>
      <c r="K1706" s="251"/>
      <c r="L1706" s="133" t="str">
        <f>IF(AND(I1706&lt;&gt;"",ISERROR(IF(ISERROR(VLOOKUP(I1706*1,Summary!$C$8:$C$153,1,0)),VLOOKUP(I1706,Summary!$C$8:$C$153,1,0),VLOOKUP(I1706*1,Summary!$C$8:$C$153,1,0)))),"Add account Number to Summary","")</f>
        <v/>
      </c>
      <c r="M1706" s="131" t="str">
        <f t="shared" si="26"/>
        <v/>
      </c>
      <c r="N1706" s="287">
        <f>IF(C1706="Sale",SUMIFS($D$4:D1706,$B$4:B1706,B1706,$C$4:C1706,"")+SUMIFS($D$4:D1706,$B$4:B1706,B1706,$C$4:C1706,"Purch")-SUMIFS($D$4:D1706,$B$4:B1706,B1706,$C$4:C1706,"Sale"),0)</f>
        <v>0</v>
      </c>
    </row>
    <row r="1707" spans="1:14" x14ac:dyDescent="0.2">
      <c r="A1707" s="152"/>
      <c r="B1707" s="132"/>
      <c r="C1707" s="132"/>
      <c r="D1707" s="277"/>
      <c r="E1707" s="132"/>
      <c r="F1707" s="170"/>
      <c r="G1707" s="150"/>
      <c r="H1707" s="152"/>
      <c r="I1707" s="204"/>
      <c r="J1707" s="285"/>
      <c r="K1707" s="251"/>
      <c r="L1707" s="133" t="str">
        <f>IF(AND(I1707&lt;&gt;"",ISERROR(IF(ISERROR(VLOOKUP(I1707*1,Summary!$C$8:$C$153,1,0)),VLOOKUP(I1707,Summary!$C$8:$C$153,1,0),VLOOKUP(I1707*1,Summary!$C$8:$C$153,1,0)))),"Add account Number to Summary","")</f>
        <v/>
      </c>
      <c r="M1707" s="131" t="str">
        <f t="shared" si="26"/>
        <v/>
      </c>
      <c r="N1707" s="287">
        <f>IF(C1707="Sale",SUMIFS($D$4:D1707,$B$4:B1707,B1707,$C$4:C1707,"")+SUMIFS($D$4:D1707,$B$4:B1707,B1707,$C$4:C1707,"Purch")-SUMIFS($D$4:D1707,$B$4:B1707,B1707,$C$4:C1707,"Sale"),0)</f>
        <v>0</v>
      </c>
    </row>
    <row r="1708" spans="1:14" x14ac:dyDescent="0.2">
      <c r="A1708" s="152"/>
      <c r="B1708" s="132"/>
      <c r="C1708" s="132"/>
      <c r="D1708" s="277"/>
      <c r="E1708" s="132"/>
      <c r="F1708" s="170"/>
      <c r="G1708" s="150"/>
      <c r="H1708" s="152"/>
      <c r="I1708" s="204"/>
      <c r="J1708" s="285"/>
      <c r="K1708" s="251"/>
      <c r="L1708" s="133" t="str">
        <f>IF(AND(I1708&lt;&gt;"",ISERROR(IF(ISERROR(VLOOKUP(I1708*1,Summary!$C$8:$C$153,1,0)),VLOOKUP(I1708,Summary!$C$8:$C$153,1,0),VLOOKUP(I1708*1,Summary!$C$8:$C$153,1,0)))),"Add account Number to Summary","")</f>
        <v/>
      </c>
      <c r="M1708" s="131" t="str">
        <f t="shared" ref="M1708:M1771" si="27">IF(K1708="Yes",IF(YEAR(A1708)&lt;&gt;YEAR(date),"Check Date",""),"")</f>
        <v/>
      </c>
      <c r="N1708" s="287">
        <f>IF(C1708="Sale",SUMIFS($D$4:D1708,$B$4:B1708,B1708,$C$4:C1708,"")+SUMIFS($D$4:D1708,$B$4:B1708,B1708,$C$4:C1708,"Purch")-SUMIFS($D$4:D1708,$B$4:B1708,B1708,$C$4:C1708,"Sale"),0)</f>
        <v>0</v>
      </c>
    </row>
    <row r="1709" spans="1:14" x14ac:dyDescent="0.2">
      <c r="A1709" s="152"/>
      <c r="B1709" s="132"/>
      <c r="C1709" s="132"/>
      <c r="D1709" s="277"/>
      <c r="E1709" s="132"/>
      <c r="F1709" s="170"/>
      <c r="G1709" s="150"/>
      <c r="H1709" s="152"/>
      <c r="I1709" s="204"/>
      <c r="J1709" s="285"/>
      <c r="K1709" s="251"/>
      <c r="L1709" s="133" t="str">
        <f>IF(AND(I1709&lt;&gt;"",ISERROR(IF(ISERROR(VLOOKUP(I1709*1,Summary!$C$8:$C$153,1,0)),VLOOKUP(I1709,Summary!$C$8:$C$153,1,0),VLOOKUP(I1709*1,Summary!$C$8:$C$153,1,0)))),"Add account Number to Summary","")</f>
        <v/>
      </c>
      <c r="M1709" s="131" t="str">
        <f t="shared" si="27"/>
        <v/>
      </c>
      <c r="N1709" s="287">
        <f>IF(C1709="Sale",SUMIFS($D$4:D1709,$B$4:B1709,B1709,$C$4:C1709,"")+SUMIFS($D$4:D1709,$B$4:B1709,B1709,$C$4:C1709,"Purch")-SUMIFS($D$4:D1709,$B$4:B1709,B1709,$C$4:C1709,"Sale"),0)</f>
        <v>0</v>
      </c>
    </row>
    <row r="1710" spans="1:14" x14ac:dyDescent="0.2">
      <c r="A1710" s="152"/>
      <c r="B1710" s="132"/>
      <c r="C1710" s="132"/>
      <c r="D1710" s="277"/>
      <c r="E1710" s="132"/>
      <c r="F1710" s="170"/>
      <c r="G1710" s="150"/>
      <c r="H1710" s="152"/>
      <c r="I1710" s="204"/>
      <c r="J1710" s="285"/>
      <c r="K1710" s="251"/>
      <c r="L1710" s="133" t="str">
        <f>IF(AND(I1710&lt;&gt;"",ISERROR(IF(ISERROR(VLOOKUP(I1710*1,Summary!$C$8:$C$153,1,0)),VLOOKUP(I1710,Summary!$C$8:$C$153,1,0),VLOOKUP(I1710*1,Summary!$C$8:$C$153,1,0)))),"Add account Number to Summary","")</f>
        <v/>
      </c>
      <c r="M1710" s="131" t="str">
        <f t="shared" si="27"/>
        <v/>
      </c>
      <c r="N1710" s="287">
        <f>IF(C1710="Sale",SUMIFS($D$4:D1710,$B$4:B1710,B1710,$C$4:C1710,"")+SUMIFS($D$4:D1710,$B$4:B1710,B1710,$C$4:C1710,"Purch")-SUMIFS($D$4:D1710,$B$4:B1710,B1710,$C$4:C1710,"Sale"),0)</f>
        <v>0</v>
      </c>
    </row>
    <row r="1711" spans="1:14" x14ac:dyDescent="0.2">
      <c r="A1711" s="152"/>
      <c r="B1711" s="132"/>
      <c r="C1711" s="132"/>
      <c r="D1711" s="277"/>
      <c r="E1711" s="132"/>
      <c r="F1711" s="170"/>
      <c r="G1711" s="150"/>
      <c r="H1711" s="152"/>
      <c r="I1711" s="204"/>
      <c r="J1711" s="285"/>
      <c r="K1711" s="251"/>
      <c r="L1711" s="133" t="str">
        <f>IF(AND(I1711&lt;&gt;"",ISERROR(IF(ISERROR(VLOOKUP(I1711*1,Summary!$C$8:$C$153,1,0)),VLOOKUP(I1711,Summary!$C$8:$C$153,1,0),VLOOKUP(I1711*1,Summary!$C$8:$C$153,1,0)))),"Add account Number to Summary","")</f>
        <v/>
      </c>
      <c r="M1711" s="131" t="str">
        <f t="shared" si="27"/>
        <v/>
      </c>
      <c r="N1711" s="287">
        <f>IF(C1711="Sale",SUMIFS($D$4:D1711,$B$4:B1711,B1711,$C$4:C1711,"")+SUMIFS($D$4:D1711,$B$4:B1711,B1711,$C$4:C1711,"Purch")-SUMIFS($D$4:D1711,$B$4:B1711,B1711,$C$4:C1711,"Sale"),0)</f>
        <v>0</v>
      </c>
    </row>
    <row r="1712" spans="1:14" x14ac:dyDescent="0.2">
      <c r="A1712" s="152"/>
      <c r="B1712" s="132"/>
      <c r="C1712" s="132"/>
      <c r="D1712" s="277"/>
      <c r="E1712" s="132"/>
      <c r="F1712" s="170"/>
      <c r="G1712" s="150"/>
      <c r="H1712" s="152"/>
      <c r="I1712" s="204"/>
      <c r="J1712" s="285"/>
      <c r="K1712" s="251"/>
      <c r="L1712" s="133" t="str">
        <f>IF(AND(I1712&lt;&gt;"",ISERROR(IF(ISERROR(VLOOKUP(I1712*1,Summary!$C$8:$C$153,1,0)),VLOOKUP(I1712,Summary!$C$8:$C$153,1,0),VLOOKUP(I1712*1,Summary!$C$8:$C$153,1,0)))),"Add account Number to Summary","")</f>
        <v/>
      </c>
      <c r="M1712" s="131" t="str">
        <f t="shared" si="27"/>
        <v/>
      </c>
      <c r="N1712" s="287">
        <f>IF(C1712="Sale",SUMIFS($D$4:D1712,$B$4:B1712,B1712,$C$4:C1712,"")+SUMIFS($D$4:D1712,$B$4:B1712,B1712,$C$4:C1712,"Purch")-SUMIFS($D$4:D1712,$B$4:B1712,B1712,$C$4:C1712,"Sale"),0)</f>
        <v>0</v>
      </c>
    </row>
    <row r="1713" spans="1:14" x14ac:dyDescent="0.2">
      <c r="A1713" s="152"/>
      <c r="B1713" s="132"/>
      <c r="C1713" s="132"/>
      <c r="D1713" s="277"/>
      <c r="E1713" s="132"/>
      <c r="F1713" s="170"/>
      <c r="G1713" s="150"/>
      <c r="H1713" s="152"/>
      <c r="I1713" s="204"/>
      <c r="J1713" s="285"/>
      <c r="K1713" s="251"/>
      <c r="L1713" s="133" t="str">
        <f>IF(AND(I1713&lt;&gt;"",ISERROR(IF(ISERROR(VLOOKUP(I1713*1,Summary!$C$8:$C$153,1,0)),VLOOKUP(I1713,Summary!$C$8:$C$153,1,0),VLOOKUP(I1713*1,Summary!$C$8:$C$153,1,0)))),"Add account Number to Summary","")</f>
        <v/>
      </c>
      <c r="M1713" s="131" t="str">
        <f t="shared" si="27"/>
        <v/>
      </c>
      <c r="N1713" s="287">
        <f>IF(C1713="Sale",SUMIFS($D$4:D1713,$B$4:B1713,B1713,$C$4:C1713,"")+SUMIFS($D$4:D1713,$B$4:B1713,B1713,$C$4:C1713,"Purch")-SUMIFS($D$4:D1713,$B$4:B1713,B1713,$C$4:C1713,"Sale"),0)</f>
        <v>0</v>
      </c>
    </row>
    <row r="1714" spans="1:14" x14ac:dyDescent="0.2">
      <c r="A1714" s="152"/>
      <c r="B1714" s="132"/>
      <c r="C1714" s="132"/>
      <c r="D1714" s="277"/>
      <c r="E1714" s="132"/>
      <c r="F1714" s="170"/>
      <c r="G1714" s="150"/>
      <c r="H1714" s="152"/>
      <c r="I1714" s="204"/>
      <c r="J1714" s="285"/>
      <c r="K1714" s="251"/>
      <c r="L1714" s="133" t="str">
        <f>IF(AND(I1714&lt;&gt;"",ISERROR(IF(ISERROR(VLOOKUP(I1714*1,Summary!$C$8:$C$153,1,0)),VLOOKUP(I1714,Summary!$C$8:$C$153,1,0),VLOOKUP(I1714*1,Summary!$C$8:$C$153,1,0)))),"Add account Number to Summary","")</f>
        <v/>
      </c>
      <c r="M1714" s="131" t="str">
        <f t="shared" si="27"/>
        <v/>
      </c>
      <c r="N1714" s="287">
        <f>IF(C1714="Sale",SUMIFS($D$4:D1714,$B$4:B1714,B1714,$C$4:C1714,"")+SUMIFS($D$4:D1714,$B$4:B1714,B1714,$C$4:C1714,"Purch")-SUMIFS($D$4:D1714,$B$4:B1714,B1714,$C$4:C1714,"Sale"),0)</f>
        <v>0</v>
      </c>
    </row>
    <row r="1715" spans="1:14" x14ac:dyDescent="0.2">
      <c r="A1715" s="152"/>
      <c r="B1715" s="132"/>
      <c r="C1715" s="132"/>
      <c r="D1715" s="277"/>
      <c r="E1715" s="132"/>
      <c r="F1715" s="170"/>
      <c r="G1715" s="150"/>
      <c r="H1715" s="152"/>
      <c r="I1715" s="204"/>
      <c r="J1715" s="285"/>
      <c r="K1715" s="251"/>
      <c r="L1715" s="133" t="str">
        <f>IF(AND(I1715&lt;&gt;"",ISERROR(IF(ISERROR(VLOOKUP(I1715*1,Summary!$C$8:$C$153,1,0)),VLOOKUP(I1715,Summary!$C$8:$C$153,1,0),VLOOKUP(I1715*1,Summary!$C$8:$C$153,1,0)))),"Add account Number to Summary","")</f>
        <v/>
      </c>
      <c r="M1715" s="131" t="str">
        <f t="shared" si="27"/>
        <v/>
      </c>
      <c r="N1715" s="287">
        <f>IF(C1715="Sale",SUMIFS($D$4:D1715,$B$4:B1715,B1715,$C$4:C1715,"")+SUMIFS($D$4:D1715,$B$4:B1715,B1715,$C$4:C1715,"Purch")-SUMIFS($D$4:D1715,$B$4:B1715,B1715,$C$4:C1715,"Sale"),0)</f>
        <v>0</v>
      </c>
    </row>
    <row r="1716" spans="1:14" x14ac:dyDescent="0.2">
      <c r="A1716" s="152"/>
      <c r="B1716" s="132"/>
      <c r="C1716" s="132"/>
      <c r="D1716" s="277"/>
      <c r="E1716" s="132"/>
      <c r="F1716" s="170"/>
      <c r="G1716" s="150"/>
      <c r="H1716" s="152"/>
      <c r="I1716" s="204"/>
      <c r="J1716" s="285"/>
      <c r="K1716" s="251"/>
      <c r="L1716" s="133" t="str">
        <f>IF(AND(I1716&lt;&gt;"",ISERROR(IF(ISERROR(VLOOKUP(I1716*1,Summary!$C$8:$C$153,1,0)),VLOOKUP(I1716,Summary!$C$8:$C$153,1,0),VLOOKUP(I1716*1,Summary!$C$8:$C$153,1,0)))),"Add account Number to Summary","")</f>
        <v/>
      </c>
      <c r="M1716" s="131" t="str">
        <f t="shared" si="27"/>
        <v/>
      </c>
      <c r="N1716" s="287">
        <f>IF(C1716="Sale",SUMIFS($D$4:D1716,$B$4:B1716,B1716,$C$4:C1716,"")+SUMIFS($D$4:D1716,$B$4:B1716,B1716,$C$4:C1716,"Purch")-SUMIFS($D$4:D1716,$B$4:B1716,B1716,$C$4:C1716,"Sale"),0)</f>
        <v>0</v>
      </c>
    </row>
    <row r="1717" spans="1:14" x14ac:dyDescent="0.2">
      <c r="A1717" s="152"/>
      <c r="B1717" s="132"/>
      <c r="C1717" s="132"/>
      <c r="D1717" s="277"/>
      <c r="E1717" s="132"/>
      <c r="F1717" s="170"/>
      <c r="G1717" s="150"/>
      <c r="H1717" s="152"/>
      <c r="I1717" s="204"/>
      <c r="J1717" s="285"/>
      <c r="K1717" s="251"/>
      <c r="L1717" s="133" t="str">
        <f>IF(AND(I1717&lt;&gt;"",ISERROR(IF(ISERROR(VLOOKUP(I1717*1,Summary!$C$8:$C$153,1,0)),VLOOKUP(I1717,Summary!$C$8:$C$153,1,0),VLOOKUP(I1717*1,Summary!$C$8:$C$153,1,0)))),"Add account Number to Summary","")</f>
        <v/>
      </c>
      <c r="M1717" s="131" t="str">
        <f t="shared" si="27"/>
        <v/>
      </c>
      <c r="N1717" s="287">
        <f>IF(C1717="Sale",SUMIFS($D$4:D1717,$B$4:B1717,B1717,$C$4:C1717,"")+SUMIFS($D$4:D1717,$B$4:B1717,B1717,$C$4:C1717,"Purch")-SUMIFS($D$4:D1717,$B$4:B1717,B1717,$C$4:C1717,"Sale"),0)</f>
        <v>0</v>
      </c>
    </row>
    <row r="1718" spans="1:14" x14ac:dyDescent="0.2">
      <c r="A1718" s="152"/>
      <c r="B1718" s="132"/>
      <c r="C1718" s="132"/>
      <c r="D1718" s="277"/>
      <c r="E1718" s="132"/>
      <c r="F1718" s="170"/>
      <c r="G1718" s="150"/>
      <c r="H1718" s="152"/>
      <c r="I1718" s="204"/>
      <c r="J1718" s="285"/>
      <c r="K1718" s="251"/>
      <c r="L1718" s="133" t="str">
        <f>IF(AND(I1718&lt;&gt;"",ISERROR(IF(ISERROR(VLOOKUP(I1718*1,Summary!$C$8:$C$153,1,0)),VLOOKUP(I1718,Summary!$C$8:$C$153,1,0),VLOOKUP(I1718*1,Summary!$C$8:$C$153,1,0)))),"Add account Number to Summary","")</f>
        <v/>
      </c>
      <c r="M1718" s="131" t="str">
        <f t="shared" si="27"/>
        <v/>
      </c>
      <c r="N1718" s="287">
        <f>IF(C1718="Sale",SUMIFS($D$4:D1718,$B$4:B1718,B1718,$C$4:C1718,"")+SUMIFS($D$4:D1718,$B$4:B1718,B1718,$C$4:C1718,"Purch")-SUMIFS($D$4:D1718,$B$4:B1718,B1718,$C$4:C1718,"Sale"),0)</f>
        <v>0</v>
      </c>
    </row>
    <row r="1719" spans="1:14" x14ac:dyDescent="0.2">
      <c r="A1719" s="152"/>
      <c r="B1719" s="132"/>
      <c r="C1719" s="132"/>
      <c r="D1719" s="277"/>
      <c r="E1719" s="132"/>
      <c r="F1719" s="170"/>
      <c r="G1719" s="150"/>
      <c r="H1719" s="152"/>
      <c r="I1719" s="204"/>
      <c r="J1719" s="285"/>
      <c r="K1719" s="251"/>
      <c r="L1719" s="133" t="str">
        <f>IF(AND(I1719&lt;&gt;"",ISERROR(IF(ISERROR(VLOOKUP(I1719*1,Summary!$C$8:$C$153,1,0)),VLOOKUP(I1719,Summary!$C$8:$C$153,1,0),VLOOKUP(I1719*1,Summary!$C$8:$C$153,1,0)))),"Add account Number to Summary","")</f>
        <v/>
      </c>
      <c r="M1719" s="131" t="str">
        <f t="shared" si="27"/>
        <v/>
      </c>
      <c r="N1719" s="287">
        <f>IF(C1719="Sale",SUMIFS($D$4:D1719,$B$4:B1719,B1719,$C$4:C1719,"")+SUMIFS($D$4:D1719,$B$4:B1719,B1719,$C$4:C1719,"Purch")-SUMIFS($D$4:D1719,$B$4:B1719,B1719,$C$4:C1719,"Sale"),0)</f>
        <v>0</v>
      </c>
    </row>
    <row r="1720" spans="1:14" x14ac:dyDescent="0.2">
      <c r="A1720" s="152"/>
      <c r="B1720" s="132"/>
      <c r="C1720" s="132"/>
      <c r="D1720" s="277"/>
      <c r="E1720" s="132"/>
      <c r="F1720" s="170"/>
      <c r="G1720" s="150"/>
      <c r="H1720" s="152"/>
      <c r="I1720" s="204"/>
      <c r="J1720" s="285"/>
      <c r="K1720" s="251"/>
      <c r="L1720" s="133" t="str">
        <f>IF(AND(I1720&lt;&gt;"",ISERROR(IF(ISERROR(VLOOKUP(I1720*1,Summary!$C$8:$C$153,1,0)),VLOOKUP(I1720,Summary!$C$8:$C$153,1,0),VLOOKUP(I1720*1,Summary!$C$8:$C$153,1,0)))),"Add account Number to Summary","")</f>
        <v/>
      </c>
      <c r="M1720" s="131" t="str">
        <f t="shared" si="27"/>
        <v/>
      </c>
      <c r="N1720" s="287">
        <f>IF(C1720="Sale",SUMIFS($D$4:D1720,$B$4:B1720,B1720,$C$4:C1720,"")+SUMIFS($D$4:D1720,$B$4:B1720,B1720,$C$4:C1720,"Purch")-SUMIFS($D$4:D1720,$B$4:B1720,B1720,$C$4:C1720,"Sale"),0)</f>
        <v>0</v>
      </c>
    </row>
    <row r="1721" spans="1:14" x14ac:dyDescent="0.2">
      <c r="A1721" s="152"/>
      <c r="B1721" s="132"/>
      <c r="C1721" s="132"/>
      <c r="D1721" s="277"/>
      <c r="E1721" s="132"/>
      <c r="F1721" s="170"/>
      <c r="G1721" s="150"/>
      <c r="H1721" s="152"/>
      <c r="I1721" s="204"/>
      <c r="J1721" s="285"/>
      <c r="K1721" s="251"/>
      <c r="L1721" s="133" t="str">
        <f>IF(AND(I1721&lt;&gt;"",ISERROR(IF(ISERROR(VLOOKUP(I1721*1,Summary!$C$8:$C$153,1,0)),VLOOKUP(I1721,Summary!$C$8:$C$153,1,0),VLOOKUP(I1721*1,Summary!$C$8:$C$153,1,0)))),"Add account Number to Summary","")</f>
        <v/>
      </c>
      <c r="M1721" s="131" t="str">
        <f t="shared" si="27"/>
        <v/>
      </c>
      <c r="N1721" s="287">
        <f>IF(C1721="Sale",SUMIFS($D$4:D1721,$B$4:B1721,B1721,$C$4:C1721,"")+SUMIFS($D$4:D1721,$B$4:B1721,B1721,$C$4:C1721,"Purch")-SUMIFS($D$4:D1721,$B$4:B1721,B1721,$C$4:C1721,"Sale"),0)</f>
        <v>0</v>
      </c>
    </row>
    <row r="1722" spans="1:14" x14ac:dyDescent="0.2">
      <c r="A1722" s="152"/>
      <c r="B1722" s="132"/>
      <c r="C1722" s="132"/>
      <c r="D1722" s="277"/>
      <c r="E1722" s="132"/>
      <c r="F1722" s="170"/>
      <c r="G1722" s="150"/>
      <c r="H1722" s="152"/>
      <c r="I1722" s="204"/>
      <c r="J1722" s="285"/>
      <c r="K1722" s="251"/>
      <c r="L1722" s="133" t="str">
        <f>IF(AND(I1722&lt;&gt;"",ISERROR(IF(ISERROR(VLOOKUP(I1722*1,Summary!$C$8:$C$153,1,0)),VLOOKUP(I1722,Summary!$C$8:$C$153,1,0),VLOOKUP(I1722*1,Summary!$C$8:$C$153,1,0)))),"Add account Number to Summary","")</f>
        <v/>
      </c>
      <c r="M1722" s="131" t="str">
        <f t="shared" si="27"/>
        <v/>
      </c>
      <c r="N1722" s="287">
        <f>IF(C1722="Sale",SUMIFS($D$4:D1722,$B$4:B1722,B1722,$C$4:C1722,"")+SUMIFS($D$4:D1722,$B$4:B1722,B1722,$C$4:C1722,"Purch")-SUMIFS($D$4:D1722,$B$4:B1722,B1722,$C$4:C1722,"Sale"),0)</f>
        <v>0</v>
      </c>
    </row>
    <row r="1723" spans="1:14" x14ac:dyDescent="0.2">
      <c r="A1723" s="152"/>
      <c r="B1723" s="132"/>
      <c r="C1723" s="132"/>
      <c r="D1723" s="277"/>
      <c r="E1723" s="132"/>
      <c r="F1723" s="170"/>
      <c r="G1723" s="150"/>
      <c r="H1723" s="152"/>
      <c r="I1723" s="204"/>
      <c r="J1723" s="285"/>
      <c r="K1723" s="251"/>
      <c r="L1723" s="133" t="str">
        <f>IF(AND(I1723&lt;&gt;"",ISERROR(IF(ISERROR(VLOOKUP(I1723*1,Summary!$C$8:$C$153,1,0)),VLOOKUP(I1723,Summary!$C$8:$C$153,1,0),VLOOKUP(I1723*1,Summary!$C$8:$C$153,1,0)))),"Add account Number to Summary","")</f>
        <v/>
      </c>
      <c r="M1723" s="131" t="str">
        <f t="shared" si="27"/>
        <v/>
      </c>
      <c r="N1723" s="287">
        <f>IF(C1723="Sale",SUMIFS($D$4:D1723,$B$4:B1723,B1723,$C$4:C1723,"")+SUMIFS($D$4:D1723,$B$4:B1723,B1723,$C$4:C1723,"Purch")-SUMIFS($D$4:D1723,$B$4:B1723,B1723,$C$4:C1723,"Sale"),0)</f>
        <v>0</v>
      </c>
    </row>
    <row r="1724" spans="1:14" x14ac:dyDescent="0.2">
      <c r="A1724" s="152"/>
      <c r="B1724" s="132"/>
      <c r="C1724" s="132"/>
      <c r="D1724" s="277"/>
      <c r="E1724" s="132"/>
      <c r="F1724" s="170"/>
      <c r="G1724" s="150"/>
      <c r="H1724" s="152"/>
      <c r="I1724" s="204"/>
      <c r="J1724" s="285"/>
      <c r="K1724" s="251"/>
      <c r="L1724" s="133" t="str">
        <f>IF(AND(I1724&lt;&gt;"",ISERROR(IF(ISERROR(VLOOKUP(I1724*1,Summary!$C$8:$C$153,1,0)),VLOOKUP(I1724,Summary!$C$8:$C$153,1,0),VLOOKUP(I1724*1,Summary!$C$8:$C$153,1,0)))),"Add account Number to Summary","")</f>
        <v/>
      </c>
      <c r="M1724" s="131" t="str">
        <f t="shared" si="27"/>
        <v/>
      </c>
      <c r="N1724" s="287">
        <f>IF(C1724="Sale",SUMIFS($D$4:D1724,$B$4:B1724,B1724,$C$4:C1724,"")+SUMIFS($D$4:D1724,$B$4:B1724,B1724,$C$4:C1724,"Purch")-SUMIFS($D$4:D1724,$B$4:B1724,B1724,$C$4:C1724,"Sale"),0)</f>
        <v>0</v>
      </c>
    </row>
    <row r="1725" spans="1:14" x14ac:dyDescent="0.2">
      <c r="A1725" s="152"/>
      <c r="B1725" s="132"/>
      <c r="C1725" s="132"/>
      <c r="D1725" s="277"/>
      <c r="E1725" s="132"/>
      <c r="F1725" s="170"/>
      <c r="G1725" s="150"/>
      <c r="H1725" s="152"/>
      <c r="I1725" s="204"/>
      <c r="J1725" s="285"/>
      <c r="K1725" s="251"/>
      <c r="L1725" s="133" t="str">
        <f>IF(AND(I1725&lt;&gt;"",ISERROR(IF(ISERROR(VLOOKUP(I1725*1,Summary!$C$8:$C$153,1,0)),VLOOKUP(I1725,Summary!$C$8:$C$153,1,0),VLOOKUP(I1725*1,Summary!$C$8:$C$153,1,0)))),"Add account Number to Summary","")</f>
        <v/>
      </c>
      <c r="M1725" s="131" t="str">
        <f t="shared" si="27"/>
        <v/>
      </c>
      <c r="N1725" s="287">
        <f>IF(C1725="Sale",SUMIFS($D$4:D1725,$B$4:B1725,B1725,$C$4:C1725,"")+SUMIFS($D$4:D1725,$B$4:B1725,B1725,$C$4:C1725,"Purch")-SUMIFS($D$4:D1725,$B$4:B1725,B1725,$C$4:C1725,"Sale"),0)</f>
        <v>0</v>
      </c>
    </row>
    <row r="1726" spans="1:14" x14ac:dyDescent="0.2">
      <c r="A1726" s="152"/>
      <c r="B1726" s="132"/>
      <c r="C1726" s="132"/>
      <c r="D1726" s="277"/>
      <c r="E1726" s="132"/>
      <c r="F1726" s="170"/>
      <c r="G1726" s="150"/>
      <c r="H1726" s="152"/>
      <c r="I1726" s="204"/>
      <c r="J1726" s="285"/>
      <c r="K1726" s="251"/>
      <c r="L1726" s="133" t="str">
        <f>IF(AND(I1726&lt;&gt;"",ISERROR(IF(ISERROR(VLOOKUP(I1726*1,Summary!$C$8:$C$153,1,0)),VLOOKUP(I1726,Summary!$C$8:$C$153,1,0),VLOOKUP(I1726*1,Summary!$C$8:$C$153,1,0)))),"Add account Number to Summary","")</f>
        <v/>
      </c>
      <c r="M1726" s="131" t="str">
        <f t="shared" si="27"/>
        <v/>
      </c>
      <c r="N1726" s="287">
        <f>IF(C1726="Sale",SUMIFS($D$4:D1726,$B$4:B1726,B1726,$C$4:C1726,"")+SUMIFS($D$4:D1726,$B$4:B1726,B1726,$C$4:C1726,"Purch")-SUMIFS($D$4:D1726,$B$4:B1726,B1726,$C$4:C1726,"Sale"),0)</f>
        <v>0</v>
      </c>
    </row>
    <row r="1727" spans="1:14" x14ac:dyDescent="0.2">
      <c r="A1727" s="152"/>
      <c r="B1727" s="132"/>
      <c r="C1727" s="132"/>
      <c r="D1727" s="277"/>
      <c r="E1727" s="132"/>
      <c r="F1727" s="170"/>
      <c r="G1727" s="150"/>
      <c r="H1727" s="152"/>
      <c r="I1727" s="204"/>
      <c r="J1727" s="285"/>
      <c r="K1727" s="251"/>
      <c r="L1727" s="133" t="str">
        <f>IF(AND(I1727&lt;&gt;"",ISERROR(IF(ISERROR(VLOOKUP(I1727*1,Summary!$C$8:$C$153,1,0)),VLOOKUP(I1727,Summary!$C$8:$C$153,1,0),VLOOKUP(I1727*1,Summary!$C$8:$C$153,1,0)))),"Add account Number to Summary","")</f>
        <v/>
      </c>
      <c r="M1727" s="131" t="str">
        <f t="shared" si="27"/>
        <v/>
      </c>
      <c r="N1727" s="287">
        <f>IF(C1727="Sale",SUMIFS($D$4:D1727,$B$4:B1727,B1727,$C$4:C1727,"")+SUMIFS($D$4:D1727,$B$4:B1727,B1727,$C$4:C1727,"Purch")-SUMIFS($D$4:D1727,$B$4:B1727,B1727,$C$4:C1727,"Sale"),0)</f>
        <v>0</v>
      </c>
    </row>
    <row r="1728" spans="1:14" x14ac:dyDescent="0.2">
      <c r="A1728" s="152"/>
      <c r="B1728" s="132"/>
      <c r="C1728" s="132"/>
      <c r="D1728" s="277"/>
      <c r="E1728" s="132"/>
      <c r="F1728" s="170"/>
      <c r="G1728" s="150"/>
      <c r="H1728" s="152"/>
      <c r="I1728" s="204"/>
      <c r="J1728" s="285"/>
      <c r="K1728" s="251"/>
      <c r="L1728" s="133" t="str">
        <f>IF(AND(I1728&lt;&gt;"",ISERROR(IF(ISERROR(VLOOKUP(I1728*1,Summary!$C$8:$C$153,1,0)),VLOOKUP(I1728,Summary!$C$8:$C$153,1,0),VLOOKUP(I1728*1,Summary!$C$8:$C$153,1,0)))),"Add account Number to Summary","")</f>
        <v/>
      </c>
      <c r="M1728" s="131" t="str">
        <f t="shared" si="27"/>
        <v/>
      </c>
      <c r="N1728" s="287">
        <f>IF(C1728="Sale",SUMIFS($D$4:D1728,$B$4:B1728,B1728,$C$4:C1728,"")+SUMIFS($D$4:D1728,$B$4:B1728,B1728,$C$4:C1728,"Purch")-SUMIFS($D$4:D1728,$B$4:B1728,B1728,$C$4:C1728,"Sale"),0)</f>
        <v>0</v>
      </c>
    </row>
    <row r="1729" spans="1:14" x14ac:dyDescent="0.2">
      <c r="A1729" s="152"/>
      <c r="B1729" s="132"/>
      <c r="C1729" s="132"/>
      <c r="D1729" s="277"/>
      <c r="E1729" s="132"/>
      <c r="F1729" s="170"/>
      <c r="G1729" s="150"/>
      <c r="H1729" s="152"/>
      <c r="I1729" s="204"/>
      <c r="J1729" s="285"/>
      <c r="K1729" s="251"/>
      <c r="L1729" s="133" t="str">
        <f>IF(AND(I1729&lt;&gt;"",ISERROR(IF(ISERROR(VLOOKUP(I1729*1,Summary!$C$8:$C$153,1,0)),VLOOKUP(I1729,Summary!$C$8:$C$153,1,0),VLOOKUP(I1729*1,Summary!$C$8:$C$153,1,0)))),"Add account Number to Summary","")</f>
        <v/>
      </c>
      <c r="M1729" s="131" t="str">
        <f t="shared" si="27"/>
        <v/>
      </c>
      <c r="N1729" s="287">
        <f>IF(C1729="Sale",SUMIFS($D$4:D1729,$B$4:B1729,B1729,$C$4:C1729,"")+SUMIFS($D$4:D1729,$B$4:B1729,B1729,$C$4:C1729,"Purch")-SUMIFS($D$4:D1729,$B$4:B1729,B1729,$C$4:C1729,"Sale"),0)</f>
        <v>0</v>
      </c>
    </row>
    <row r="1730" spans="1:14" x14ac:dyDescent="0.2">
      <c r="A1730" s="152"/>
      <c r="B1730" s="132"/>
      <c r="C1730" s="132"/>
      <c r="D1730" s="277"/>
      <c r="E1730" s="132"/>
      <c r="F1730" s="170"/>
      <c r="G1730" s="150"/>
      <c r="H1730" s="152"/>
      <c r="I1730" s="204"/>
      <c r="J1730" s="285"/>
      <c r="K1730" s="251"/>
      <c r="L1730" s="133" t="str">
        <f>IF(AND(I1730&lt;&gt;"",ISERROR(IF(ISERROR(VLOOKUP(I1730*1,Summary!$C$8:$C$153,1,0)),VLOOKUP(I1730,Summary!$C$8:$C$153,1,0),VLOOKUP(I1730*1,Summary!$C$8:$C$153,1,0)))),"Add account Number to Summary","")</f>
        <v/>
      </c>
      <c r="M1730" s="131" t="str">
        <f t="shared" si="27"/>
        <v/>
      </c>
      <c r="N1730" s="287">
        <f>IF(C1730="Sale",SUMIFS($D$4:D1730,$B$4:B1730,B1730,$C$4:C1730,"")+SUMIFS($D$4:D1730,$B$4:B1730,B1730,$C$4:C1730,"Purch")-SUMIFS($D$4:D1730,$B$4:B1730,B1730,$C$4:C1730,"Sale"),0)</f>
        <v>0</v>
      </c>
    </row>
    <row r="1731" spans="1:14" x14ac:dyDescent="0.2">
      <c r="A1731" s="152"/>
      <c r="B1731" s="132"/>
      <c r="C1731" s="132"/>
      <c r="D1731" s="277"/>
      <c r="E1731" s="132"/>
      <c r="F1731" s="170"/>
      <c r="G1731" s="150"/>
      <c r="H1731" s="152"/>
      <c r="I1731" s="204"/>
      <c r="J1731" s="285"/>
      <c r="K1731" s="251"/>
      <c r="L1731" s="133" t="str">
        <f>IF(AND(I1731&lt;&gt;"",ISERROR(IF(ISERROR(VLOOKUP(I1731*1,Summary!$C$8:$C$153,1,0)),VLOOKUP(I1731,Summary!$C$8:$C$153,1,0),VLOOKUP(I1731*1,Summary!$C$8:$C$153,1,0)))),"Add account Number to Summary","")</f>
        <v/>
      </c>
      <c r="M1731" s="131" t="str">
        <f t="shared" si="27"/>
        <v/>
      </c>
      <c r="N1731" s="287">
        <f>IF(C1731="Sale",SUMIFS($D$4:D1731,$B$4:B1731,B1731,$C$4:C1731,"")+SUMIFS($D$4:D1731,$B$4:B1731,B1731,$C$4:C1731,"Purch")-SUMIFS($D$4:D1731,$B$4:B1731,B1731,$C$4:C1731,"Sale"),0)</f>
        <v>0</v>
      </c>
    </row>
    <row r="1732" spans="1:14" x14ac:dyDescent="0.2">
      <c r="A1732" s="152"/>
      <c r="B1732" s="132"/>
      <c r="C1732" s="132"/>
      <c r="D1732" s="277"/>
      <c r="E1732" s="132"/>
      <c r="F1732" s="170"/>
      <c r="G1732" s="150"/>
      <c r="H1732" s="152"/>
      <c r="I1732" s="204"/>
      <c r="J1732" s="285"/>
      <c r="K1732" s="251"/>
      <c r="L1732" s="133" t="str">
        <f>IF(AND(I1732&lt;&gt;"",ISERROR(IF(ISERROR(VLOOKUP(I1732*1,Summary!$C$8:$C$153,1,0)),VLOOKUP(I1732,Summary!$C$8:$C$153,1,0),VLOOKUP(I1732*1,Summary!$C$8:$C$153,1,0)))),"Add account Number to Summary","")</f>
        <v/>
      </c>
      <c r="M1732" s="131" t="str">
        <f t="shared" si="27"/>
        <v/>
      </c>
      <c r="N1732" s="287">
        <f>IF(C1732="Sale",SUMIFS($D$4:D1732,$B$4:B1732,B1732,$C$4:C1732,"")+SUMIFS($D$4:D1732,$B$4:B1732,B1732,$C$4:C1732,"Purch")-SUMIFS($D$4:D1732,$B$4:B1732,B1732,$C$4:C1732,"Sale"),0)</f>
        <v>0</v>
      </c>
    </row>
    <row r="1733" spans="1:14" x14ac:dyDescent="0.2">
      <c r="A1733" s="152"/>
      <c r="B1733" s="132"/>
      <c r="C1733" s="132"/>
      <c r="D1733" s="277"/>
      <c r="E1733" s="132"/>
      <c r="F1733" s="170"/>
      <c r="G1733" s="150"/>
      <c r="H1733" s="152"/>
      <c r="I1733" s="204"/>
      <c r="J1733" s="285"/>
      <c r="K1733" s="251"/>
      <c r="L1733" s="133" t="str">
        <f>IF(AND(I1733&lt;&gt;"",ISERROR(IF(ISERROR(VLOOKUP(I1733*1,Summary!$C$8:$C$153,1,0)),VLOOKUP(I1733,Summary!$C$8:$C$153,1,0),VLOOKUP(I1733*1,Summary!$C$8:$C$153,1,0)))),"Add account Number to Summary","")</f>
        <v/>
      </c>
      <c r="M1733" s="131" t="str">
        <f t="shared" si="27"/>
        <v/>
      </c>
      <c r="N1733" s="287">
        <f>IF(C1733="Sale",SUMIFS($D$4:D1733,$B$4:B1733,B1733,$C$4:C1733,"")+SUMIFS($D$4:D1733,$B$4:B1733,B1733,$C$4:C1733,"Purch")-SUMIFS($D$4:D1733,$B$4:B1733,B1733,$C$4:C1733,"Sale"),0)</f>
        <v>0</v>
      </c>
    </row>
    <row r="1734" spans="1:14" x14ac:dyDescent="0.2">
      <c r="A1734" s="152"/>
      <c r="B1734" s="132"/>
      <c r="C1734" s="132"/>
      <c r="D1734" s="277"/>
      <c r="E1734" s="132"/>
      <c r="F1734" s="170"/>
      <c r="G1734" s="150"/>
      <c r="H1734" s="152"/>
      <c r="I1734" s="204"/>
      <c r="J1734" s="285"/>
      <c r="K1734" s="251"/>
      <c r="L1734" s="133" t="str">
        <f>IF(AND(I1734&lt;&gt;"",ISERROR(IF(ISERROR(VLOOKUP(I1734*1,Summary!$C$8:$C$153,1,0)),VLOOKUP(I1734,Summary!$C$8:$C$153,1,0),VLOOKUP(I1734*1,Summary!$C$8:$C$153,1,0)))),"Add account Number to Summary","")</f>
        <v/>
      </c>
      <c r="M1734" s="131" t="str">
        <f t="shared" si="27"/>
        <v/>
      </c>
      <c r="N1734" s="287">
        <f>IF(C1734="Sale",SUMIFS($D$4:D1734,$B$4:B1734,B1734,$C$4:C1734,"")+SUMIFS($D$4:D1734,$B$4:B1734,B1734,$C$4:C1734,"Purch")-SUMIFS($D$4:D1734,$B$4:B1734,B1734,$C$4:C1734,"Sale"),0)</f>
        <v>0</v>
      </c>
    </row>
    <row r="1735" spans="1:14" x14ac:dyDescent="0.2">
      <c r="A1735" s="152"/>
      <c r="B1735" s="132"/>
      <c r="C1735" s="132"/>
      <c r="D1735" s="277"/>
      <c r="E1735" s="132"/>
      <c r="F1735" s="170"/>
      <c r="G1735" s="150"/>
      <c r="H1735" s="152"/>
      <c r="I1735" s="204"/>
      <c r="J1735" s="285"/>
      <c r="K1735" s="251"/>
      <c r="L1735" s="133" t="str">
        <f>IF(AND(I1735&lt;&gt;"",ISERROR(IF(ISERROR(VLOOKUP(I1735*1,Summary!$C$8:$C$153,1,0)),VLOOKUP(I1735,Summary!$C$8:$C$153,1,0),VLOOKUP(I1735*1,Summary!$C$8:$C$153,1,0)))),"Add account Number to Summary","")</f>
        <v/>
      </c>
      <c r="M1735" s="131" t="str">
        <f t="shared" si="27"/>
        <v/>
      </c>
      <c r="N1735" s="287">
        <f>IF(C1735="Sale",SUMIFS($D$4:D1735,$B$4:B1735,B1735,$C$4:C1735,"")+SUMIFS($D$4:D1735,$B$4:B1735,B1735,$C$4:C1735,"Purch")-SUMIFS($D$4:D1735,$B$4:B1735,B1735,$C$4:C1735,"Sale"),0)</f>
        <v>0</v>
      </c>
    </row>
    <row r="1736" spans="1:14" x14ac:dyDescent="0.2">
      <c r="A1736" s="152"/>
      <c r="B1736" s="132"/>
      <c r="C1736" s="132"/>
      <c r="D1736" s="277"/>
      <c r="E1736" s="132"/>
      <c r="F1736" s="170"/>
      <c r="G1736" s="150"/>
      <c r="H1736" s="152"/>
      <c r="I1736" s="204"/>
      <c r="J1736" s="285"/>
      <c r="K1736" s="251"/>
      <c r="L1736" s="133" t="str">
        <f>IF(AND(I1736&lt;&gt;"",ISERROR(IF(ISERROR(VLOOKUP(I1736*1,Summary!$C$8:$C$153,1,0)),VLOOKUP(I1736,Summary!$C$8:$C$153,1,0),VLOOKUP(I1736*1,Summary!$C$8:$C$153,1,0)))),"Add account Number to Summary","")</f>
        <v/>
      </c>
      <c r="M1736" s="131" t="str">
        <f t="shared" si="27"/>
        <v/>
      </c>
      <c r="N1736" s="287">
        <f>IF(C1736="Sale",SUMIFS($D$4:D1736,$B$4:B1736,B1736,$C$4:C1736,"")+SUMIFS($D$4:D1736,$B$4:B1736,B1736,$C$4:C1736,"Purch")-SUMIFS($D$4:D1736,$B$4:B1736,B1736,$C$4:C1736,"Sale"),0)</f>
        <v>0</v>
      </c>
    </row>
    <row r="1737" spans="1:14" x14ac:dyDescent="0.2">
      <c r="A1737" s="152"/>
      <c r="B1737" s="132"/>
      <c r="C1737" s="132"/>
      <c r="D1737" s="277"/>
      <c r="E1737" s="132"/>
      <c r="F1737" s="170"/>
      <c r="G1737" s="150"/>
      <c r="H1737" s="152"/>
      <c r="I1737" s="204"/>
      <c r="J1737" s="285"/>
      <c r="K1737" s="251"/>
      <c r="L1737" s="133" t="str">
        <f>IF(AND(I1737&lt;&gt;"",ISERROR(IF(ISERROR(VLOOKUP(I1737*1,Summary!$C$8:$C$153,1,0)),VLOOKUP(I1737,Summary!$C$8:$C$153,1,0),VLOOKUP(I1737*1,Summary!$C$8:$C$153,1,0)))),"Add account Number to Summary","")</f>
        <v/>
      </c>
      <c r="M1737" s="131" t="str">
        <f t="shared" si="27"/>
        <v/>
      </c>
      <c r="N1737" s="287">
        <f>IF(C1737="Sale",SUMIFS($D$4:D1737,$B$4:B1737,B1737,$C$4:C1737,"")+SUMIFS($D$4:D1737,$B$4:B1737,B1737,$C$4:C1737,"Purch")-SUMIFS($D$4:D1737,$B$4:B1737,B1737,$C$4:C1737,"Sale"),0)</f>
        <v>0</v>
      </c>
    </row>
    <row r="1738" spans="1:14" x14ac:dyDescent="0.2">
      <c r="A1738" s="152"/>
      <c r="B1738" s="132"/>
      <c r="C1738" s="132"/>
      <c r="D1738" s="277"/>
      <c r="E1738" s="132"/>
      <c r="F1738" s="170"/>
      <c r="G1738" s="150"/>
      <c r="H1738" s="152"/>
      <c r="I1738" s="204"/>
      <c r="J1738" s="285"/>
      <c r="K1738" s="251"/>
      <c r="L1738" s="133" t="str">
        <f>IF(AND(I1738&lt;&gt;"",ISERROR(IF(ISERROR(VLOOKUP(I1738*1,Summary!$C$8:$C$153,1,0)),VLOOKUP(I1738,Summary!$C$8:$C$153,1,0),VLOOKUP(I1738*1,Summary!$C$8:$C$153,1,0)))),"Add account Number to Summary","")</f>
        <v/>
      </c>
      <c r="M1738" s="131" t="str">
        <f t="shared" si="27"/>
        <v/>
      </c>
      <c r="N1738" s="287">
        <f>IF(C1738="Sale",SUMIFS($D$4:D1738,$B$4:B1738,B1738,$C$4:C1738,"")+SUMIFS($D$4:D1738,$B$4:B1738,B1738,$C$4:C1738,"Purch")-SUMIFS($D$4:D1738,$B$4:B1738,B1738,$C$4:C1738,"Sale"),0)</f>
        <v>0</v>
      </c>
    </row>
    <row r="1739" spans="1:14" x14ac:dyDescent="0.2">
      <c r="A1739" s="152"/>
      <c r="B1739" s="132"/>
      <c r="C1739" s="132"/>
      <c r="D1739" s="277"/>
      <c r="E1739" s="132"/>
      <c r="F1739" s="170"/>
      <c r="G1739" s="150"/>
      <c r="H1739" s="152"/>
      <c r="I1739" s="204"/>
      <c r="J1739" s="285"/>
      <c r="K1739" s="251"/>
      <c r="L1739" s="133" t="str">
        <f>IF(AND(I1739&lt;&gt;"",ISERROR(IF(ISERROR(VLOOKUP(I1739*1,Summary!$C$8:$C$153,1,0)),VLOOKUP(I1739,Summary!$C$8:$C$153,1,0),VLOOKUP(I1739*1,Summary!$C$8:$C$153,1,0)))),"Add account Number to Summary","")</f>
        <v/>
      </c>
      <c r="M1739" s="131" t="str">
        <f t="shared" si="27"/>
        <v/>
      </c>
      <c r="N1739" s="287">
        <f>IF(C1739="Sale",SUMIFS($D$4:D1739,$B$4:B1739,B1739,$C$4:C1739,"")+SUMIFS($D$4:D1739,$B$4:B1739,B1739,$C$4:C1739,"Purch")-SUMIFS($D$4:D1739,$B$4:B1739,B1739,$C$4:C1739,"Sale"),0)</f>
        <v>0</v>
      </c>
    </row>
    <row r="1740" spans="1:14" x14ac:dyDescent="0.2">
      <c r="A1740" s="152"/>
      <c r="B1740" s="132"/>
      <c r="C1740" s="132"/>
      <c r="D1740" s="277"/>
      <c r="E1740" s="132"/>
      <c r="F1740" s="170"/>
      <c r="G1740" s="150"/>
      <c r="H1740" s="152"/>
      <c r="I1740" s="204"/>
      <c r="J1740" s="285"/>
      <c r="K1740" s="251"/>
      <c r="L1740" s="133" t="str">
        <f>IF(AND(I1740&lt;&gt;"",ISERROR(IF(ISERROR(VLOOKUP(I1740*1,Summary!$C$8:$C$153,1,0)),VLOOKUP(I1740,Summary!$C$8:$C$153,1,0),VLOOKUP(I1740*1,Summary!$C$8:$C$153,1,0)))),"Add account Number to Summary","")</f>
        <v/>
      </c>
      <c r="M1740" s="131" t="str">
        <f t="shared" si="27"/>
        <v/>
      </c>
      <c r="N1740" s="287">
        <f>IF(C1740="Sale",SUMIFS($D$4:D1740,$B$4:B1740,B1740,$C$4:C1740,"")+SUMIFS($D$4:D1740,$B$4:B1740,B1740,$C$4:C1740,"Purch")-SUMIFS($D$4:D1740,$B$4:B1740,B1740,$C$4:C1740,"Sale"),0)</f>
        <v>0</v>
      </c>
    </row>
    <row r="1741" spans="1:14" x14ac:dyDescent="0.2">
      <c r="A1741" s="152"/>
      <c r="B1741" s="132"/>
      <c r="C1741" s="132"/>
      <c r="D1741" s="277"/>
      <c r="E1741" s="132"/>
      <c r="F1741" s="170"/>
      <c r="G1741" s="150"/>
      <c r="H1741" s="152"/>
      <c r="I1741" s="204"/>
      <c r="J1741" s="285"/>
      <c r="K1741" s="251"/>
      <c r="L1741" s="133" t="str">
        <f>IF(AND(I1741&lt;&gt;"",ISERROR(IF(ISERROR(VLOOKUP(I1741*1,Summary!$C$8:$C$153,1,0)),VLOOKUP(I1741,Summary!$C$8:$C$153,1,0),VLOOKUP(I1741*1,Summary!$C$8:$C$153,1,0)))),"Add account Number to Summary","")</f>
        <v/>
      </c>
      <c r="M1741" s="131" t="str">
        <f t="shared" si="27"/>
        <v/>
      </c>
      <c r="N1741" s="287">
        <f>IF(C1741="Sale",SUMIFS($D$4:D1741,$B$4:B1741,B1741,$C$4:C1741,"")+SUMIFS($D$4:D1741,$B$4:B1741,B1741,$C$4:C1741,"Purch")-SUMIFS($D$4:D1741,$B$4:B1741,B1741,$C$4:C1741,"Sale"),0)</f>
        <v>0</v>
      </c>
    </row>
    <row r="1742" spans="1:14" x14ac:dyDescent="0.2">
      <c r="A1742" s="152"/>
      <c r="B1742" s="132"/>
      <c r="C1742" s="132"/>
      <c r="D1742" s="277"/>
      <c r="E1742" s="132"/>
      <c r="F1742" s="170"/>
      <c r="G1742" s="150"/>
      <c r="H1742" s="152"/>
      <c r="I1742" s="204"/>
      <c r="J1742" s="285"/>
      <c r="K1742" s="251"/>
      <c r="L1742" s="133" t="str">
        <f>IF(AND(I1742&lt;&gt;"",ISERROR(IF(ISERROR(VLOOKUP(I1742*1,Summary!$C$8:$C$153,1,0)),VLOOKUP(I1742,Summary!$C$8:$C$153,1,0),VLOOKUP(I1742*1,Summary!$C$8:$C$153,1,0)))),"Add account Number to Summary","")</f>
        <v/>
      </c>
      <c r="M1742" s="131" t="str">
        <f t="shared" si="27"/>
        <v/>
      </c>
      <c r="N1742" s="287">
        <f>IF(C1742="Sale",SUMIFS($D$4:D1742,$B$4:B1742,B1742,$C$4:C1742,"")+SUMIFS($D$4:D1742,$B$4:B1742,B1742,$C$4:C1742,"Purch")-SUMIFS($D$4:D1742,$B$4:B1742,B1742,$C$4:C1742,"Sale"),0)</f>
        <v>0</v>
      </c>
    </row>
    <row r="1743" spans="1:14" x14ac:dyDescent="0.2">
      <c r="A1743" s="152"/>
      <c r="B1743" s="132"/>
      <c r="C1743" s="132"/>
      <c r="D1743" s="277"/>
      <c r="E1743" s="132"/>
      <c r="F1743" s="170"/>
      <c r="G1743" s="150"/>
      <c r="H1743" s="152"/>
      <c r="I1743" s="204"/>
      <c r="J1743" s="285"/>
      <c r="K1743" s="251"/>
      <c r="L1743" s="133" t="str">
        <f>IF(AND(I1743&lt;&gt;"",ISERROR(IF(ISERROR(VLOOKUP(I1743*1,Summary!$C$8:$C$153,1,0)),VLOOKUP(I1743,Summary!$C$8:$C$153,1,0),VLOOKUP(I1743*1,Summary!$C$8:$C$153,1,0)))),"Add account Number to Summary","")</f>
        <v/>
      </c>
      <c r="M1743" s="131" t="str">
        <f t="shared" si="27"/>
        <v/>
      </c>
      <c r="N1743" s="287">
        <f>IF(C1743="Sale",SUMIFS($D$4:D1743,$B$4:B1743,B1743,$C$4:C1743,"")+SUMIFS($D$4:D1743,$B$4:B1743,B1743,$C$4:C1743,"Purch")-SUMIFS($D$4:D1743,$B$4:B1743,B1743,$C$4:C1743,"Sale"),0)</f>
        <v>0</v>
      </c>
    </row>
    <row r="1744" spans="1:14" x14ac:dyDescent="0.2">
      <c r="A1744" s="152"/>
      <c r="B1744" s="132"/>
      <c r="C1744" s="132"/>
      <c r="D1744" s="277"/>
      <c r="E1744" s="132"/>
      <c r="F1744" s="170"/>
      <c r="G1744" s="150"/>
      <c r="H1744" s="152"/>
      <c r="I1744" s="204"/>
      <c r="J1744" s="285"/>
      <c r="K1744" s="251"/>
      <c r="L1744" s="133" t="str">
        <f>IF(AND(I1744&lt;&gt;"",ISERROR(IF(ISERROR(VLOOKUP(I1744*1,Summary!$C$8:$C$153,1,0)),VLOOKUP(I1744,Summary!$C$8:$C$153,1,0),VLOOKUP(I1744*1,Summary!$C$8:$C$153,1,0)))),"Add account Number to Summary","")</f>
        <v/>
      </c>
      <c r="M1744" s="131" t="str">
        <f t="shared" si="27"/>
        <v/>
      </c>
      <c r="N1744" s="287">
        <f>IF(C1744="Sale",SUMIFS($D$4:D1744,$B$4:B1744,B1744,$C$4:C1744,"")+SUMIFS($D$4:D1744,$B$4:B1744,B1744,$C$4:C1744,"Purch")-SUMIFS($D$4:D1744,$B$4:B1744,B1744,$C$4:C1744,"Sale"),0)</f>
        <v>0</v>
      </c>
    </row>
    <row r="1745" spans="1:14" x14ac:dyDescent="0.2">
      <c r="A1745" s="152"/>
      <c r="B1745" s="132"/>
      <c r="C1745" s="132"/>
      <c r="D1745" s="277"/>
      <c r="E1745" s="132"/>
      <c r="F1745" s="170"/>
      <c r="G1745" s="150"/>
      <c r="H1745" s="152"/>
      <c r="I1745" s="204"/>
      <c r="J1745" s="285"/>
      <c r="K1745" s="251"/>
      <c r="L1745" s="133" t="str">
        <f>IF(AND(I1745&lt;&gt;"",ISERROR(IF(ISERROR(VLOOKUP(I1745*1,Summary!$C$8:$C$153,1,0)),VLOOKUP(I1745,Summary!$C$8:$C$153,1,0),VLOOKUP(I1745*1,Summary!$C$8:$C$153,1,0)))),"Add account Number to Summary","")</f>
        <v/>
      </c>
      <c r="M1745" s="131" t="str">
        <f t="shared" si="27"/>
        <v/>
      </c>
      <c r="N1745" s="287">
        <f>IF(C1745="Sale",SUMIFS($D$4:D1745,$B$4:B1745,B1745,$C$4:C1745,"")+SUMIFS($D$4:D1745,$B$4:B1745,B1745,$C$4:C1745,"Purch")-SUMIFS($D$4:D1745,$B$4:B1745,B1745,$C$4:C1745,"Sale"),0)</f>
        <v>0</v>
      </c>
    </row>
    <row r="1746" spans="1:14" x14ac:dyDescent="0.2">
      <c r="A1746" s="152"/>
      <c r="B1746" s="132"/>
      <c r="C1746" s="132"/>
      <c r="D1746" s="277"/>
      <c r="E1746" s="132"/>
      <c r="F1746" s="170"/>
      <c r="G1746" s="150"/>
      <c r="H1746" s="152"/>
      <c r="I1746" s="204"/>
      <c r="J1746" s="285"/>
      <c r="K1746" s="251"/>
      <c r="L1746" s="133" t="str">
        <f>IF(AND(I1746&lt;&gt;"",ISERROR(IF(ISERROR(VLOOKUP(I1746*1,Summary!$C$8:$C$153,1,0)),VLOOKUP(I1746,Summary!$C$8:$C$153,1,0),VLOOKUP(I1746*1,Summary!$C$8:$C$153,1,0)))),"Add account Number to Summary","")</f>
        <v/>
      </c>
      <c r="M1746" s="131" t="str">
        <f t="shared" si="27"/>
        <v/>
      </c>
      <c r="N1746" s="287">
        <f>IF(C1746="Sale",SUMIFS($D$4:D1746,$B$4:B1746,B1746,$C$4:C1746,"")+SUMIFS($D$4:D1746,$B$4:B1746,B1746,$C$4:C1746,"Purch")-SUMIFS($D$4:D1746,$B$4:B1746,B1746,$C$4:C1746,"Sale"),0)</f>
        <v>0</v>
      </c>
    </row>
    <row r="1747" spans="1:14" x14ac:dyDescent="0.2">
      <c r="A1747" s="152"/>
      <c r="B1747" s="132"/>
      <c r="C1747" s="132"/>
      <c r="D1747" s="277"/>
      <c r="E1747" s="132"/>
      <c r="F1747" s="170"/>
      <c r="G1747" s="150"/>
      <c r="H1747" s="152"/>
      <c r="I1747" s="204"/>
      <c r="J1747" s="285"/>
      <c r="K1747" s="251"/>
      <c r="L1747" s="133" t="str">
        <f>IF(AND(I1747&lt;&gt;"",ISERROR(IF(ISERROR(VLOOKUP(I1747*1,Summary!$C$8:$C$153,1,0)),VLOOKUP(I1747,Summary!$C$8:$C$153,1,0),VLOOKUP(I1747*1,Summary!$C$8:$C$153,1,0)))),"Add account Number to Summary","")</f>
        <v/>
      </c>
      <c r="M1747" s="131" t="str">
        <f t="shared" si="27"/>
        <v/>
      </c>
      <c r="N1747" s="287">
        <f>IF(C1747="Sale",SUMIFS($D$4:D1747,$B$4:B1747,B1747,$C$4:C1747,"")+SUMIFS($D$4:D1747,$B$4:B1747,B1747,$C$4:C1747,"Purch")-SUMIFS($D$4:D1747,$B$4:B1747,B1747,$C$4:C1747,"Sale"),0)</f>
        <v>0</v>
      </c>
    </row>
    <row r="1748" spans="1:14" x14ac:dyDescent="0.2">
      <c r="A1748" s="152"/>
      <c r="B1748" s="132"/>
      <c r="C1748" s="132"/>
      <c r="D1748" s="277"/>
      <c r="E1748" s="132"/>
      <c r="F1748" s="170"/>
      <c r="G1748" s="150"/>
      <c r="H1748" s="152"/>
      <c r="I1748" s="204"/>
      <c r="J1748" s="285"/>
      <c r="K1748" s="251"/>
      <c r="L1748" s="133" t="str">
        <f>IF(AND(I1748&lt;&gt;"",ISERROR(IF(ISERROR(VLOOKUP(I1748*1,Summary!$C$8:$C$153,1,0)),VLOOKUP(I1748,Summary!$C$8:$C$153,1,0),VLOOKUP(I1748*1,Summary!$C$8:$C$153,1,0)))),"Add account Number to Summary","")</f>
        <v/>
      </c>
      <c r="M1748" s="131" t="str">
        <f t="shared" si="27"/>
        <v/>
      </c>
      <c r="N1748" s="287">
        <f>IF(C1748="Sale",SUMIFS($D$4:D1748,$B$4:B1748,B1748,$C$4:C1748,"")+SUMIFS($D$4:D1748,$B$4:B1748,B1748,$C$4:C1748,"Purch")-SUMIFS($D$4:D1748,$B$4:B1748,B1748,$C$4:C1748,"Sale"),0)</f>
        <v>0</v>
      </c>
    </row>
    <row r="1749" spans="1:14" x14ac:dyDescent="0.2">
      <c r="A1749" s="152"/>
      <c r="B1749" s="132"/>
      <c r="C1749" s="132"/>
      <c r="D1749" s="277"/>
      <c r="E1749" s="132"/>
      <c r="F1749" s="170"/>
      <c r="G1749" s="150"/>
      <c r="H1749" s="152"/>
      <c r="I1749" s="204"/>
      <c r="J1749" s="285"/>
      <c r="K1749" s="251"/>
      <c r="L1749" s="133" t="str">
        <f>IF(AND(I1749&lt;&gt;"",ISERROR(IF(ISERROR(VLOOKUP(I1749*1,Summary!$C$8:$C$153,1,0)),VLOOKUP(I1749,Summary!$C$8:$C$153,1,0),VLOOKUP(I1749*1,Summary!$C$8:$C$153,1,0)))),"Add account Number to Summary","")</f>
        <v/>
      </c>
      <c r="M1749" s="131" t="str">
        <f t="shared" si="27"/>
        <v/>
      </c>
      <c r="N1749" s="287">
        <f>IF(C1749="Sale",SUMIFS($D$4:D1749,$B$4:B1749,B1749,$C$4:C1749,"")+SUMIFS($D$4:D1749,$B$4:B1749,B1749,$C$4:C1749,"Purch")-SUMIFS($D$4:D1749,$B$4:B1749,B1749,$C$4:C1749,"Sale"),0)</f>
        <v>0</v>
      </c>
    </row>
    <row r="1750" spans="1:14" x14ac:dyDescent="0.2">
      <c r="A1750" s="152"/>
      <c r="B1750" s="132"/>
      <c r="C1750" s="132"/>
      <c r="D1750" s="277"/>
      <c r="E1750" s="132"/>
      <c r="F1750" s="170"/>
      <c r="G1750" s="150"/>
      <c r="H1750" s="152"/>
      <c r="I1750" s="204"/>
      <c r="J1750" s="285"/>
      <c r="K1750" s="251"/>
      <c r="L1750" s="133" t="str">
        <f>IF(AND(I1750&lt;&gt;"",ISERROR(IF(ISERROR(VLOOKUP(I1750*1,Summary!$C$8:$C$153,1,0)),VLOOKUP(I1750,Summary!$C$8:$C$153,1,0),VLOOKUP(I1750*1,Summary!$C$8:$C$153,1,0)))),"Add account Number to Summary","")</f>
        <v/>
      </c>
      <c r="M1750" s="131" t="str">
        <f t="shared" si="27"/>
        <v/>
      </c>
      <c r="N1750" s="287">
        <f>IF(C1750="Sale",SUMIFS($D$4:D1750,$B$4:B1750,B1750,$C$4:C1750,"")+SUMIFS($D$4:D1750,$B$4:B1750,B1750,$C$4:C1750,"Purch")-SUMIFS($D$4:D1750,$B$4:B1750,B1750,$C$4:C1750,"Sale"),0)</f>
        <v>0</v>
      </c>
    </row>
    <row r="1751" spans="1:14" x14ac:dyDescent="0.2">
      <c r="A1751" s="152"/>
      <c r="B1751" s="132"/>
      <c r="C1751" s="132"/>
      <c r="D1751" s="277"/>
      <c r="E1751" s="132"/>
      <c r="F1751" s="170"/>
      <c r="G1751" s="150"/>
      <c r="H1751" s="152"/>
      <c r="I1751" s="204"/>
      <c r="J1751" s="285"/>
      <c r="K1751" s="251"/>
      <c r="L1751" s="133" t="str">
        <f>IF(AND(I1751&lt;&gt;"",ISERROR(IF(ISERROR(VLOOKUP(I1751*1,Summary!$C$8:$C$153,1,0)),VLOOKUP(I1751,Summary!$C$8:$C$153,1,0),VLOOKUP(I1751*1,Summary!$C$8:$C$153,1,0)))),"Add account Number to Summary","")</f>
        <v/>
      </c>
      <c r="M1751" s="131" t="str">
        <f t="shared" si="27"/>
        <v/>
      </c>
      <c r="N1751" s="287">
        <f>IF(C1751="Sale",SUMIFS($D$4:D1751,$B$4:B1751,B1751,$C$4:C1751,"")+SUMIFS($D$4:D1751,$B$4:B1751,B1751,$C$4:C1751,"Purch")-SUMIFS($D$4:D1751,$B$4:B1751,B1751,$C$4:C1751,"Sale"),0)</f>
        <v>0</v>
      </c>
    </row>
    <row r="1752" spans="1:14" x14ac:dyDescent="0.2">
      <c r="A1752" s="152"/>
      <c r="B1752" s="132"/>
      <c r="C1752" s="132"/>
      <c r="D1752" s="277"/>
      <c r="E1752" s="132"/>
      <c r="F1752" s="170"/>
      <c r="G1752" s="150"/>
      <c r="H1752" s="152"/>
      <c r="I1752" s="204"/>
      <c r="J1752" s="285"/>
      <c r="K1752" s="251"/>
      <c r="L1752" s="133" t="str">
        <f>IF(AND(I1752&lt;&gt;"",ISERROR(IF(ISERROR(VLOOKUP(I1752*1,Summary!$C$8:$C$153,1,0)),VLOOKUP(I1752,Summary!$C$8:$C$153,1,0),VLOOKUP(I1752*1,Summary!$C$8:$C$153,1,0)))),"Add account Number to Summary","")</f>
        <v/>
      </c>
      <c r="M1752" s="131" t="str">
        <f t="shared" si="27"/>
        <v/>
      </c>
      <c r="N1752" s="287">
        <f>IF(C1752="Sale",SUMIFS($D$4:D1752,$B$4:B1752,B1752,$C$4:C1752,"")+SUMIFS($D$4:D1752,$B$4:B1752,B1752,$C$4:C1752,"Purch")-SUMIFS($D$4:D1752,$B$4:B1752,B1752,$C$4:C1752,"Sale"),0)</f>
        <v>0</v>
      </c>
    </row>
    <row r="1753" spans="1:14" x14ac:dyDescent="0.2">
      <c r="A1753" s="152"/>
      <c r="B1753" s="132"/>
      <c r="C1753" s="132"/>
      <c r="D1753" s="277"/>
      <c r="E1753" s="132"/>
      <c r="F1753" s="170"/>
      <c r="G1753" s="150"/>
      <c r="H1753" s="152"/>
      <c r="I1753" s="204"/>
      <c r="J1753" s="285"/>
      <c r="K1753" s="251"/>
      <c r="L1753" s="133" t="str">
        <f>IF(AND(I1753&lt;&gt;"",ISERROR(IF(ISERROR(VLOOKUP(I1753*1,Summary!$C$8:$C$153,1,0)),VLOOKUP(I1753,Summary!$C$8:$C$153,1,0),VLOOKUP(I1753*1,Summary!$C$8:$C$153,1,0)))),"Add account Number to Summary","")</f>
        <v/>
      </c>
      <c r="M1753" s="131" t="str">
        <f t="shared" si="27"/>
        <v/>
      </c>
      <c r="N1753" s="287">
        <f>IF(C1753="Sale",SUMIFS($D$4:D1753,$B$4:B1753,B1753,$C$4:C1753,"")+SUMIFS($D$4:D1753,$B$4:B1753,B1753,$C$4:C1753,"Purch")-SUMIFS($D$4:D1753,$B$4:B1753,B1753,$C$4:C1753,"Sale"),0)</f>
        <v>0</v>
      </c>
    </row>
    <row r="1754" spans="1:14" x14ac:dyDescent="0.2">
      <c r="A1754" s="152"/>
      <c r="B1754" s="132"/>
      <c r="C1754" s="132"/>
      <c r="D1754" s="277"/>
      <c r="E1754" s="132"/>
      <c r="F1754" s="170"/>
      <c r="G1754" s="150"/>
      <c r="H1754" s="152"/>
      <c r="I1754" s="204"/>
      <c r="J1754" s="285"/>
      <c r="K1754" s="251"/>
      <c r="L1754" s="133" t="str">
        <f>IF(AND(I1754&lt;&gt;"",ISERROR(IF(ISERROR(VLOOKUP(I1754*1,Summary!$C$8:$C$153,1,0)),VLOOKUP(I1754,Summary!$C$8:$C$153,1,0),VLOOKUP(I1754*1,Summary!$C$8:$C$153,1,0)))),"Add account Number to Summary","")</f>
        <v/>
      </c>
      <c r="M1754" s="131" t="str">
        <f t="shared" si="27"/>
        <v/>
      </c>
      <c r="N1754" s="287">
        <f>IF(C1754="Sale",SUMIFS($D$4:D1754,$B$4:B1754,B1754,$C$4:C1754,"")+SUMIFS($D$4:D1754,$B$4:B1754,B1754,$C$4:C1754,"Purch")-SUMIFS($D$4:D1754,$B$4:B1754,B1754,$C$4:C1754,"Sale"),0)</f>
        <v>0</v>
      </c>
    </row>
    <row r="1755" spans="1:14" x14ac:dyDescent="0.2">
      <c r="A1755" s="152"/>
      <c r="B1755" s="132"/>
      <c r="C1755" s="132"/>
      <c r="D1755" s="277"/>
      <c r="E1755" s="132"/>
      <c r="F1755" s="170"/>
      <c r="G1755" s="150"/>
      <c r="H1755" s="152"/>
      <c r="I1755" s="204"/>
      <c r="J1755" s="285"/>
      <c r="K1755" s="251"/>
      <c r="L1755" s="133" t="str">
        <f>IF(AND(I1755&lt;&gt;"",ISERROR(IF(ISERROR(VLOOKUP(I1755*1,Summary!$C$8:$C$153,1,0)),VLOOKUP(I1755,Summary!$C$8:$C$153,1,0),VLOOKUP(I1755*1,Summary!$C$8:$C$153,1,0)))),"Add account Number to Summary","")</f>
        <v/>
      </c>
      <c r="M1755" s="131" t="str">
        <f t="shared" si="27"/>
        <v/>
      </c>
      <c r="N1755" s="287">
        <f>IF(C1755="Sale",SUMIFS($D$4:D1755,$B$4:B1755,B1755,$C$4:C1755,"")+SUMIFS($D$4:D1755,$B$4:B1755,B1755,$C$4:C1755,"Purch")-SUMIFS($D$4:D1755,$B$4:B1755,B1755,$C$4:C1755,"Sale"),0)</f>
        <v>0</v>
      </c>
    </row>
    <row r="1756" spans="1:14" x14ac:dyDescent="0.2">
      <c r="A1756" s="152"/>
      <c r="B1756" s="132"/>
      <c r="C1756" s="132"/>
      <c r="D1756" s="277"/>
      <c r="E1756" s="132"/>
      <c r="F1756" s="170"/>
      <c r="G1756" s="150"/>
      <c r="H1756" s="152"/>
      <c r="I1756" s="204"/>
      <c r="J1756" s="285"/>
      <c r="K1756" s="251"/>
      <c r="L1756" s="133" t="str">
        <f>IF(AND(I1756&lt;&gt;"",ISERROR(IF(ISERROR(VLOOKUP(I1756*1,Summary!$C$8:$C$153,1,0)),VLOOKUP(I1756,Summary!$C$8:$C$153,1,0),VLOOKUP(I1756*1,Summary!$C$8:$C$153,1,0)))),"Add account Number to Summary","")</f>
        <v/>
      </c>
      <c r="M1756" s="131" t="str">
        <f t="shared" si="27"/>
        <v/>
      </c>
      <c r="N1756" s="287">
        <f>IF(C1756="Sale",SUMIFS($D$4:D1756,$B$4:B1756,B1756,$C$4:C1756,"")+SUMIFS($D$4:D1756,$B$4:B1756,B1756,$C$4:C1756,"Purch")-SUMIFS($D$4:D1756,$B$4:B1756,B1756,$C$4:C1756,"Sale"),0)</f>
        <v>0</v>
      </c>
    </row>
    <row r="1757" spans="1:14" x14ac:dyDescent="0.2">
      <c r="A1757" s="152"/>
      <c r="B1757" s="132"/>
      <c r="C1757" s="132"/>
      <c r="D1757" s="277"/>
      <c r="E1757" s="132"/>
      <c r="F1757" s="170"/>
      <c r="G1757" s="150"/>
      <c r="H1757" s="152"/>
      <c r="I1757" s="204"/>
      <c r="J1757" s="285"/>
      <c r="K1757" s="251"/>
      <c r="L1757" s="133" t="str">
        <f>IF(AND(I1757&lt;&gt;"",ISERROR(IF(ISERROR(VLOOKUP(I1757*1,Summary!$C$8:$C$153,1,0)),VLOOKUP(I1757,Summary!$C$8:$C$153,1,0),VLOOKUP(I1757*1,Summary!$C$8:$C$153,1,0)))),"Add account Number to Summary","")</f>
        <v/>
      </c>
      <c r="M1757" s="131" t="str">
        <f t="shared" si="27"/>
        <v/>
      </c>
      <c r="N1757" s="287">
        <f>IF(C1757="Sale",SUMIFS($D$4:D1757,$B$4:B1757,B1757,$C$4:C1757,"")+SUMIFS($D$4:D1757,$B$4:B1757,B1757,$C$4:C1757,"Purch")-SUMIFS($D$4:D1757,$B$4:B1757,B1757,$C$4:C1757,"Sale"),0)</f>
        <v>0</v>
      </c>
    </row>
    <row r="1758" spans="1:14" x14ac:dyDescent="0.2">
      <c r="A1758" s="152"/>
      <c r="B1758" s="132"/>
      <c r="C1758" s="132"/>
      <c r="D1758" s="277"/>
      <c r="E1758" s="132"/>
      <c r="F1758" s="170"/>
      <c r="G1758" s="150"/>
      <c r="H1758" s="152"/>
      <c r="I1758" s="204"/>
      <c r="J1758" s="285"/>
      <c r="K1758" s="251"/>
      <c r="L1758" s="133" t="str">
        <f>IF(AND(I1758&lt;&gt;"",ISERROR(IF(ISERROR(VLOOKUP(I1758*1,Summary!$C$8:$C$153,1,0)),VLOOKUP(I1758,Summary!$C$8:$C$153,1,0),VLOOKUP(I1758*1,Summary!$C$8:$C$153,1,0)))),"Add account Number to Summary","")</f>
        <v/>
      </c>
      <c r="M1758" s="131" t="str">
        <f t="shared" si="27"/>
        <v/>
      </c>
      <c r="N1758" s="287">
        <f>IF(C1758="Sale",SUMIFS($D$4:D1758,$B$4:B1758,B1758,$C$4:C1758,"")+SUMIFS($D$4:D1758,$B$4:B1758,B1758,$C$4:C1758,"Purch")-SUMIFS($D$4:D1758,$B$4:B1758,B1758,$C$4:C1758,"Sale"),0)</f>
        <v>0</v>
      </c>
    </row>
    <row r="1759" spans="1:14" x14ac:dyDescent="0.2">
      <c r="A1759" s="152"/>
      <c r="B1759" s="132"/>
      <c r="C1759" s="132"/>
      <c r="D1759" s="277"/>
      <c r="E1759" s="132"/>
      <c r="F1759" s="170"/>
      <c r="G1759" s="150"/>
      <c r="H1759" s="152"/>
      <c r="I1759" s="204"/>
      <c r="J1759" s="285"/>
      <c r="K1759" s="251"/>
      <c r="L1759" s="133" t="str">
        <f>IF(AND(I1759&lt;&gt;"",ISERROR(IF(ISERROR(VLOOKUP(I1759*1,Summary!$C$8:$C$153,1,0)),VLOOKUP(I1759,Summary!$C$8:$C$153,1,0),VLOOKUP(I1759*1,Summary!$C$8:$C$153,1,0)))),"Add account Number to Summary","")</f>
        <v/>
      </c>
      <c r="M1759" s="131" t="str">
        <f t="shared" si="27"/>
        <v/>
      </c>
      <c r="N1759" s="287">
        <f>IF(C1759="Sale",SUMIFS($D$4:D1759,$B$4:B1759,B1759,$C$4:C1759,"")+SUMIFS($D$4:D1759,$B$4:B1759,B1759,$C$4:C1759,"Purch")-SUMIFS($D$4:D1759,$B$4:B1759,B1759,$C$4:C1759,"Sale"),0)</f>
        <v>0</v>
      </c>
    </row>
    <row r="1760" spans="1:14" x14ac:dyDescent="0.2">
      <c r="A1760" s="152"/>
      <c r="B1760" s="132"/>
      <c r="C1760" s="132"/>
      <c r="D1760" s="277"/>
      <c r="E1760" s="132"/>
      <c r="F1760" s="170"/>
      <c r="G1760" s="150"/>
      <c r="H1760" s="152"/>
      <c r="I1760" s="204"/>
      <c r="J1760" s="285"/>
      <c r="K1760" s="251"/>
      <c r="L1760" s="133" t="str">
        <f>IF(AND(I1760&lt;&gt;"",ISERROR(IF(ISERROR(VLOOKUP(I1760*1,Summary!$C$8:$C$153,1,0)),VLOOKUP(I1760,Summary!$C$8:$C$153,1,0),VLOOKUP(I1760*1,Summary!$C$8:$C$153,1,0)))),"Add account Number to Summary","")</f>
        <v/>
      </c>
      <c r="M1760" s="131" t="str">
        <f t="shared" si="27"/>
        <v/>
      </c>
      <c r="N1760" s="287">
        <f>IF(C1760="Sale",SUMIFS($D$4:D1760,$B$4:B1760,B1760,$C$4:C1760,"")+SUMIFS($D$4:D1760,$B$4:B1760,B1760,$C$4:C1760,"Purch")-SUMIFS($D$4:D1760,$B$4:B1760,B1760,$C$4:C1760,"Sale"),0)</f>
        <v>0</v>
      </c>
    </row>
    <row r="1761" spans="1:14" x14ac:dyDescent="0.2">
      <c r="A1761" s="152"/>
      <c r="B1761" s="132"/>
      <c r="C1761" s="132"/>
      <c r="D1761" s="277"/>
      <c r="E1761" s="132"/>
      <c r="F1761" s="170"/>
      <c r="G1761" s="150"/>
      <c r="H1761" s="152"/>
      <c r="I1761" s="204"/>
      <c r="J1761" s="285"/>
      <c r="K1761" s="251"/>
      <c r="L1761" s="133" t="str">
        <f>IF(AND(I1761&lt;&gt;"",ISERROR(IF(ISERROR(VLOOKUP(I1761*1,Summary!$C$8:$C$153,1,0)),VLOOKUP(I1761,Summary!$C$8:$C$153,1,0),VLOOKUP(I1761*1,Summary!$C$8:$C$153,1,0)))),"Add account Number to Summary","")</f>
        <v/>
      </c>
      <c r="M1761" s="131" t="str">
        <f t="shared" si="27"/>
        <v/>
      </c>
      <c r="N1761" s="287">
        <f>IF(C1761="Sale",SUMIFS($D$4:D1761,$B$4:B1761,B1761,$C$4:C1761,"")+SUMIFS($D$4:D1761,$B$4:B1761,B1761,$C$4:C1761,"Purch")-SUMIFS($D$4:D1761,$B$4:B1761,B1761,$C$4:C1761,"Sale"),0)</f>
        <v>0</v>
      </c>
    </row>
    <row r="1762" spans="1:14" x14ac:dyDescent="0.2">
      <c r="A1762" s="152"/>
      <c r="B1762" s="132"/>
      <c r="C1762" s="132"/>
      <c r="D1762" s="277"/>
      <c r="E1762" s="132"/>
      <c r="F1762" s="170"/>
      <c r="G1762" s="150"/>
      <c r="H1762" s="152"/>
      <c r="I1762" s="204"/>
      <c r="J1762" s="285"/>
      <c r="K1762" s="251"/>
      <c r="L1762" s="133" t="str">
        <f>IF(AND(I1762&lt;&gt;"",ISERROR(IF(ISERROR(VLOOKUP(I1762*1,Summary!$C$8:$C$153,1,0)),VLOOKUP(I1762,Summary!$C$8:$C$153,1,0),VLOOKUP(I1762*1,Summary!$C$8:$C$153,1,0)))),"Add account Number to Summary","")</f>
        <v/>
      </c>
      <c r="M1762" s="131" t="str">
        <f t="shared" si="27"/>
        <v/>
      </c>
      <c r="N1762" s="287">
        <f>IF(C1762="Sale",SUMIFS($D$4:D1762,$B$4:B1762,B1762,$C$4:C1762,"")+SUMIFS($D$4:D1762,$B$4:B1762,B1762,$C$4:C1762,"Purch")-SUMIFS($D$4:D1762,$B$4:B1762,B1762,$C$4:C1762,"Sale"),0)</f>
        <v>0</v>
      </c>
    </row>
    <row r="1763" spans="1:14" x14ac:dyDescent="0.2">
      <c r="A1763" s="152"/>
      <c r="B1763" s="132"/>
      <c r="C1763" s="132"/>
      <c r="D1763" s="277"/>
      <c r="E1763" s="132"/>
      <c r="F1763" s="170"/>
      <c r="G1763" s="150"/>
      <c r="H1763" s="152"/>
      <c r="I1763" s="204"/>
      <c r="J1763" s="285"/>
      <c r="K1763" s="251"/>
      <c r="L1763" s="133" t="str">
        <f>IF(AND(I1763&lt;&gt;"",ISERROR(IF(ISERROR(VLOOKUP(I1763*1,Summary!$C$8:$C$153,1,0)),VLOOKUP(I1763,Summary!$C$8:$C$153,1,0),VLOOKUP(I1763*1,Summary!$C$8:$C$153,1,0)))),"Add account Number to Summary","")</f>
        <v/>
      </c>
      <c r="M1763" s="131" t="str">
        <f t="shared" si="27"/>
        <v/>
      </c>
      <c r="N1763" s="287">
        <f>IF(C1763="Sale",SUMIFS($D$4:D1763,$B$4:B1763,B1763,$C$4:C1763,"")+SUMIFS($D$4:D1763,$B$4:B1763,B1763,$C$4:C1763,"Purch")-SUMIFS($D$4:D1763,$B$4:B1763,B1763,$C$4:C1763,"Sale"),0)</f>
        <v>0</v>
      </c>
    </row>
    <row r="1764" spans="1:14" x14ac:dyDescent="0.2">
      <c r="A1764" s="152"/>
      <c r="B1764" s="132"/>
      <c r="C1764" s="132"/>
      <c r="D1764" s="277"/>
      <c r="E1764" s="132"/>
      <c r="F1764" s="170"/>
      <c r="G1764" s="150"/>
      <c r="H1764" s="152"/>
      <c r="I1764" s="204"/>
      <c r="J1764" s="285"/>
      <c r="K1764" s="251"/>
      <c r="L1764" s="133" t="str">
        <f>IF(AND(I1764&lt;&gt;"",ISERROR(IF(ISERROR(VLOOKUP(I1764*1,Summary!$C$8:$C$153,1,0)),VLOOKUP(I1764,Summary!$C$8:$C$153,1,0),VLOOKUP(I1764*1,Summary!$C$8:$C$153,1,0)))),"Add account Number to Summary","")</f>
        <v/>
      </c>
      <c r="M1764" s="131" t="str">
        <f t="shared" si="27"/>
        <v/>
      </c>
      <c r="N1764" s="287">
        <f>IF(C1764="Sale",SUMIFS($D$4:D1764,$B$4:B1764,B1764,$C$4:C1764,"")+SUMIFS($D$4:D1764,$B$4:B1764,B1764,$C$4:C1764,"Purch")-SUMIFS($D$4:D1764,$B$4:B1764,B1764,$C$4:C1764,"Sale"),0)</f>
        <v>0</v>
      </c>
    </row>
    <row r="1765" spans="1:14" x14ac:dyDescent="0.2">
      <c r="A1765" s="152"/>
      <c r="B1765" s="132"/>
      <c r="C1765" s="132"/>
      <c r="D1765" s="277"/>
      <c r="E1765" s="132"/>
      <c r="F1765" s="170"/>
      <c r="G1765" s="150"/>
      <c r="H1765" s="152"/>
      <c r="I1765" s="204"/>
      <c r="J1765" s="285"/>
      <c r="K1765" s="251"/>
      <c r="L1765" s="133" t="str">
        <f>IF(AND(I1765&lt;&gt;"",ISERROR(IF(ISERROR(VLOOKUP(I1765*1,Summary!$C$8:$C$153,1,0)),VLOOKUP(I1765,Summary!$C$8:$C$153,1,0),VLOOKUP(I1765*1,Summary!$C$8:$C$153,1,0)))),"Add account Number to Summary","")</f>
        <v/>
      </c>
      <c r="M1765" s="131" t="str">
        <f t="shared" si="27"/>
        <v/>
      </c>
      <c r="N1765" s="287">
        <f>IF(C1765="Sale",SUMIFS($D$4:D1765,$B$4:B1765,B1765,$C$4:C1765,"")+SUMIFS($D$4:D1765,$B$4:B1765,B1765,$C$4:C1765,"Purch")-SUMIFS($D$4:D1765,$B$4:B1765,B1765,$C$4:C1765,"Sale"),0)</f>
        <v>0</v>
      </c>
    </row>
    <row r="1766" spans="1:14" x14ac:dyDescent="0.2">
      <c r="A1766" s="152"/>
      <c r="B1766" s="132"/>
      <c r="C1766" s="132"/>
      <c r="D1766" s="277"/>
      <c r="E1766" s="132"/>
      <c r="F1766" s="170"/>
      <c r="G1766" s="150"/>
      <c r="H1766" s="152"/>
      <c r="I1766" s="204"/>
      <c r="J1766" s="285"/>
      <c r="K1766" s="251"/>
      <c r="L1766" s="133" t="str">
        <f>IF(AND(I1766&lt;&gt;"",ISERROR(IF(ISERROR(VLOOKUP(I1766*1,Summary!$C$8:$C$153,1,0)),VLOOKUP(I1766,Summary!$C$8:$C$153,1,0),VLOOKUP(I1766*1,Summary!$C$8:$C$153,1,0)))),"Add account Number to Summary","")</f>
        <v/>
      </c>
      <c r="M1766" s="131" t="str">
        <f t="shared" si="27"/>
        <v/>
      </c>
      <c r="N1766" s="287">
        <f>IF(C1766="Sale",SUMIFS($D$4:D1766,$B$4:B1766,B1766,$C$4:C1766,"")+SUMIFS($D$4:D1766,$B$4:B1766,B1766,$C$4:C1766,"Purch")-SUMIFS($D$4:D1766,$B$4:B1766,B1766,$C$4:C1766,"Sale"),0)</f>
        <v>0</v>
      </c>
    </row>
    <row r="1767" spans="1:14" x14ac:dyDescent="0.2">
      <c r="A1767" s="152"/>
      <c r="B1767" s="132"/>
      <c r="C1767" s="132"/>
      <c r="D1767" s="277"/>
      <c r="E1767" s="132"/>
      <c r="F1767" s="170"/>
      <c r="G1767" s="150"/>
      <c r="H1767" s="152"/>
      <c r="I1767" s="204"/>
      <c r="J1767" s="285"/>
      <c r="K1767" s="251"/>
      <c r="L1767" s="133" t="str">
        <f>IF(AND(I1767&lt;&gt;"",ISERROR(IF(ISERROR(VLOOKUP(I1767*1,Summary!$C$8:$C$153,1,0)),VLOOKUP(I1767,Summary!$C$8:$C$153,1,0),VLOOKUP(I1767*1,Summary!$C$8:$C$153,1,0)))),"Add account Number to Summary","")</f>
        <v/>
      </c>
      <c r="M1767" s="131" t="str">
        <f t="shared" si="27"/>
        <v/>
      </c>
      <c r="N1767" s="287">
        <f>IF(C1767="Sale",SUMIFS($D$4:D1767,$B$4:B1767,B1767,$C$4:C1767,"")+SUMIFS($D$4:D1767,$B$4:B1767,B1767,$C$4:C1767,"Purch")-SUMIFS($D$4:D1767,$B$4:B1767,B1767,$C$4:C1767,"Sale"),0)</f>
        <v>0</v>
      </c>
    </row>
    <row r="1768" spans="1:14" x14ac:dyDescent="0.2">
      <c r="A1768" s="152"/>
      <c r="B1768" s="132"/>
      <c r="C1768" s="132"/>
      <c r="D1768" s="277"/>
      <c r="E1768" s="132"/>
      <c r="F1768" s="170"/>
      <c r="G1768" s="150"/>
      <c r="H1768" s="152"/>
      <c r="I1768" s="204"/>
      <c r="J1768" s="285"/>
      <c r="K1768" s="251"/>
      <c r="L1768" s="133" t="str">
        <f>IF(AND(I1768&lt;&gt;"",ISERROR(IF(ISERROR(VLOOKUP(I1768*1,Summary!$C$8:$C$153,1,0)),VLOOKUP(I1768,Summary!$C$8:$C$153,1,0),VLOOKUP(I1768*1,Summary!$C$8:$C$153,1,0)))),"Add account Number to Summary","")</f>
        <v/>
      </c>
      <c r="M1768" s="131" t="str">
        <f t="shared" si="27"/>
        <v/>
      </c>
      <c r="N1768" s="287">
        <f>IF(C1768="Sale",SUMIFS($D$4:D1768,$B$4:B1768,B1768,$C$4:C1768,"")+SUMIFS($D$4:D1768,$B$4:B1768,B1768,$C$4:C1768,"Purch")-SUMIFS($D$4:D1768,$B$4:B1768,B1768,$C$4:C1768,"Sale"),0)</f>
        <v>0</v>
      </c>
    </row>
    <row r="1769" spans="1:14" x14ac:dyDescent="0.2">
      <c r="A1769" s="152"/>
      <c r="B1769" s="132"/>
      <c r="C1769" s="132"/>
      <c r="D1769" s="277"/>
      <c r="E1769" s="132"/>
      <c r="F1769" s="170"/>
      <c r="G1769" s="150"/>
      <c r="H1769" s="152"/>
      <c r="I1769" s="204"/>
      <c r="J1769" s="285"/>
      <c r="K1769" s="251"/>
      <c r="L1769" s="133" t="str">
        <f>IF(AND(I1769&lt;&gt;"",ISERROR(IF(ISERROR(VLOOKUP(I1769*1,Summary!$C$8:$C$153,1,0)),VLOOKUP(I1769,Summary!$C$8:$C$153,1,0),VLOOKUP(I1769*1,Summary!$C$8:$C$153,1,0)))),"Add account Number to Summary","")</f>
        <v/>
      </c>
      <c r="M1769" s="131" t="str">
        <f t="shared" si="27"/>
        <v/>
      </c>
      <c r="N1769" s="287">
        <f>IF(C1769="Sale",SUMIFS($D$4:D1769,$B$4:B1769,B1769,$C$4:C1769,"")+SUMIFS($D$4:D1769,$B$4:B1769,B1769,$C$4:C1769,"Purch")-SUMIFS($D$4:D1769,$B$4:B1769,B1769,$C$4:C1769,"Sale"),0)</f>
        <v>0</v>
      </c>
    </row>
    <row r="1770" spans="1:14" x14ac:dyDescent="0.2">
      <c r="A1770" s="152"/>
      <c r="B1770" s="132"/>
      <c r="C1770" s="132"/>
      <c r="D1770" s="277"/>
      <c r="E1770" s="132"/>
      <c r="F1770" s="170"/>
      <c r="G1770" s="150"/>
      <c r="H1770" s="152"/>
      <c r="I1770" s="204"/>
      <c r="J1770" s="285"/>
      <c r="K1770" s="251"/>
      <c r="L1770" s="133" t="str">
        <f>IF(AND(I1770&lt;&gt;"",ISERROR(IF(ISERROR(VLOOKUP(I1770*1,Summary!$C$8:$C$153,1,0)),VLOOKUP(I1770,Summary!$C$8:$C$153,1,0),VLOOKUP(I1770*1,Summary!$C$8:$C$153,1,0)))),"Add account Number to Summary","")</f>
        <v/>
      </c>
      <c r="M1770" s="131" t="str">
        <f t="shared" si="27"/>
        <v/>
      </c>
      <c r="N1770" s="287">
        <f>IF(C1770="Sale",SUMIFS($D$4:D1770,$B$4:B1770,B1770,$C$4:C1770,"")+SUMIFS($D$4:D1770,$B$4:B1770,B1770,$C$4:C1770,"Purch")-SUMIFS($D$4:D1770,$B$4:B1770,B1770,$C$4:C1770,"Sale"),0)</f>
        <v>0</v>
      </c>
    </row>
    <row r="1771" spans="1:14" x14ac:dyDescent="0.2">
      <c r="A1771" s="152"/>
      <c r="B1771" s="132"/>
      <c r="C1771" s="132"/>
      <c r="D1771" s="277"/>
      <c r="E1771" s="132"/>
      <c r="F1771" s="170"/>
      <c r="G1771" s="150"/>
      <c r="H1771" s="152"/>
      <c r="I1771" s="204"/>
      <c r="J1771" s="285"/>
      <c r="K1771" s="251"/>
      <c r="L1771" s="133" t="str">
        <f>IF(AND(I1771&lt;&gt;"",ISERROR(IF(ISERROR(VLOOKUP(I1771*1,Summary!$C$8:$C$153,1,0)),VLOOKUP(I1771,Summary!$C$8:$C$153,1,0),VLOOKUP(I1771*1,Summary!$C$8:$C$153,1,0)))),"Add account Number to Summary","")</f>
        <v/>
      </c>
      <c r="M1771" s="131" t="str">
        <f t="shared" si="27"/>
        <v/>
      </c>
      <c r="N1771" s="287">
        <f>IF(C1771="Sale",SUMIFS($D$4:D1771,$B$4:B1771,B1771,$C$4:C1771,"")+SUMIFS($D$4:D1771,$B$4:B1771,B1771,$C$4:C1771,"Purch")-SUMIFS($D$4:D1771,$B$4:B1771,B1771,$C$4:C1771,"Sale"),0)</f>
        <v>0</v>
      </c>
    </row>
    <row r="1772" spans="1:14" x14ac:dyDescent="0.2">
      <c r="A1772" s="152"/>
      <c r="B1772" s="132"/>
      <c r="C1772" s="132"/>
      <c r="D1772" s="277"/>
      <c r="E1772" s="132"/>
      <c r="F1772" s="170"/>
      <c r="G1772" s="150"/>
      <c r="H1772" s="152"/>
      <c r="I1772" s="204"/>
      <c r="J1772" s="285"/>
      <c r="K1772" s="251"/>
      <c r="L1772" s="133" t="str">
        <f>IF(AND(I1772&lt;&gt;"",ISERROR(IF(ISERROR(VLOOKUP(I1772*1,Summary!$C$8:$C$153,1,0)),VLOOKUP(I1772,Summary!$C$8:$C$153,1,0),VLOOKUP(I1772*1,Summary!$C$8:$C$153,1,0)))),"Add account Number to Summary","")</f>
        <v/>
      </c>
      <c r="M1772" s="131" t="str">
        <f t="shared" ref="M1772:M1835" si="28">IF(K1772="Yes",IF(YEAR(A1772)&lt;&gt;YEAR(date),"Check Date",""),"")</f>
        <v/>
      </c>
      <c r="N1772" s="287">
        <f>IF(C1772="Sale",SUMIFS($D$4:D1772,$B$4:B1772,B1772,$C$4:C1772,"")+SUMIFS($D$4:D1772,$B$4:B1772,B1772,$C$4:C1772,"Purch")-SUMIFS($D$4:D1772,$B$4:B1772,B1772,$C$4:C1772,"Sale"),0)</f>
        <v>0</v>
      </c>
    </row>
    <row r="1773" spans="1:14" x14ac:dyDescent="0.2">
      <c r="A1773" s="152"/>
      <c r="B1773" s="132"/>
      <c r="C1773" s="132"/>
      <c r="D1773" s="277"/>
      <c r="E1773" s="132"/>
      <c r="F1773" s="170"/>
      <c r="G1773" s="150"/>
      <c r="H1773" s="152"/>
      <c r="I1773" s="204"/>
      <c r="J1773" s="285"/>
      <c r="K1773" s="251"/>
      <c r="L1773" s="133" t="str">
        <f>IF(AND(I1773&lt;&gt;"",ISERROR(IF(ISERROR(VLOOKUP(I1773*1,Summary!$C$8:$C$153,1,0)),VLOOKUP(I1773,Summary!$C$8:$C$153,1,0),VLOOKUP(I1773*1,Summary!$C$8:$C$153,1,0)))),"Add account Number to Summary","")</f>
        <v/>
      </c>
      <c r="M1773" s="131" t="str">
        <f t="shared" si="28"/>
        <v/>
      </c>
      <c r="N1773" s="287">
        <f>IF(C1773="Sale",SUMIFS($D$4:D1773,$B$4:B1773,B1773,$C$4:C1773,"")+SUMIFS($D$4:D1773,$B$4:B1773,B1773,$C$4:C1773,"Purch")-SUMIFS($D$4:D1773,$B$4:B1773,B1773,$C$4:C1773,"Sale"),0)</f>
        <v>0</v>
      </c>
    </row>
    <row r="1774" spans="1:14" x14ac:dyDescent="0.2">
      <c r="A1774" s="152"/>
      <c r="B1774" s="132"/>
      <c r="C1774" s="132"/>
      <c r="D1774" s="277"/>
      <c r="E1774" s="132"/>
      <c r="F1774" s="170"/>
      <c r="G1774" s="150"/>
      <c r="H1774" s="152"/>
      <c r="I1774" s="204"/>
      <c r="J1774" s="285"/>
      <c r="K1774" s="251"/>
      <c r="L1774" s="133" t="str">
        <f>IF(AND(I1774&lt;&gt;"",ISERROR(IF(ISERROR(VLOOKUP(I1774*1,Summary!$C$8:$C$153,1,0)),VLOOKUP(I1774,Summary!$C$8:$C$153,1,0),VLOOKUP(I1774*1,Summary!$C$8:$C$153,1,0)))),"Add account Number to Summary","")</f>
        <v/>
      </c>
      <c r="M1774" s="131" t="str">
        <f t="shared" si="28"/>
        <v/>
      </c>
      <c r="N1774" s="287">
        <f>IF(C1774="Sale",SUMIFS($D$4:D1774,$B$4:B1774,B1774,$C$4:C1774,"")+SUMIFS($D$4:D1774,$B$4:B1774,B1774,$C$4:C1774,"Purch")-SUMIFS($D$4:D1774,$B$4:B1774,B1774,$C$4:C1774,"Sale"),0)</f>
        <v>0</v>
      </c>
    </row>
    <row r="1775" spans="1:14" x14ac:dyDescent="0.2">
      <c r="A1775" s="152"/>
      <c r="B1775" s="132"/>
      <c r="C1775" s="132"/>
      <c r="D1775" s="277"/>
      <c r="E1775" s="132"/>
      <c r="F1775" s="170"/>
      <c r="G1775" s="150"/>
      <c r="H1775" s="152"/>
      <c r="I1775" s="204"/>
      <c r="J1775" s="285"/>
      <c r="K1775" s="251"/>
      <c r="L1775" s="133" t="str">
        <f>IF(AND(I1775&lt;&gt;"",ISERROR(IF(ISERROR(VLOOKUP(I1775*1,Summary!$C$8:$C$153,1,0)),VLOOKUP(I1775,Summary!$C$8:$C$153,1,0),VLOOKUP(I1775*1,Summary!$C$8:$C$153,1,0)))),"Add account Number to Summary","")</f>
        <v/>
      </c>
      <c r="M1775" s="131" t="str">
        <f t="shared" si="28"/>
        <v/>
      </c>
      <c r="N1775" s="287">
        <f>IF(C1775="Sale",SUMIFS($D$4:D1775,$B$4:B1775,B1775,$C$4:C1775,"")+SUMIFS($D$4:D1775,$B$4:B1775,B1775,$C$4:C1775,"Purch")-SUMIFS($D$4:D1775,$B$4:B1775,B1775,$C$4:C1775,"Sale"),0)</f>
        <v>0</v>
      </c>
    </row>
    <row r="1776" spans="1:14" x14ac:dyDescent="0.2">
      <c r="A1776" s="152"/>
      <c r="B1776" s="132"/>
      <c r="C1776" s="132"/>
      <c r="D1776" s="277"/>
      <c r="E1776" s="132"/>
      <c r="F1776" s="170"/>
      <c r="G1776" s="150"/>
      <c r="H1776" s="152"/>
      <c r="I1776" s="204"/>
      <c r="J1776" s="285"/>
      <c r="K1776" s="251"/>
      <c r="L1776" s="133" t="str">
        <f>IF(AND(I1776&lt;&gt;"",ISERROR(IF(ISERROR(VLOOKUP(I1776*1,Summary!$C$8:$C$153,1,0)),VLOOKUP(I1776,Summary!$C$8:$C$153,1,0),VLOOKUP(I1776*1,Summary!$C$8:$C$153,1,0)))),"Add account Number to Summary","")</f>
        <v/>
      </c>
      <c r="M1776" s="131" t="str">
        <f t="shared" si="28"/>
        <v/>
      </c>
      <c r="N1776" s="287">
        <f>IF(C1776="Sale",SUMIFS($D$4:D1776,$B$4:B1776,B1776,$C$4:C1776,"")+SUMIFS($D$4:D1776,$B$4:B1776,B1776,$C$4:C1776,"Purch")-SUMIFS($D$4:D1776,$B$4:B1776,B1776,$C$4:C1776,"Sale"),0)</f>
        <v>0</v>
      </c>
    </row>
    <row r="1777" spans="1:14" x14ac:dyDescent="0.2">
      <c r="A1777" s="152"/>
      <c r="B1777" s="132"/>
      <c r="C1777" s="132"/>
      <c r="D1777" s="277"/>
      <c r="E1777" s="132"/>
      <c r="F1777" s="170"/>
      <c r="G1777" s="150"/>
      <c r="H1777" s="152"/>
      <c r="I1777" s="204"/>
      <c r="J1777" s="285"/>
      <c r="K1777" s="251"/>
      <c r="L1777" s="133" t="str">
        <f>IF(AND(I1777&lt;&gt;"",ISERROR(IF(ISERROR(VLOOKUP(I1777*1,Summary!$C$8:$C$153,1,0)),VLOOKUP(I1777,Summary!$C$8:$C$153,1,0),VLOOKUP(I1777*1,Summary!$C$8:$C$153,1,0)))),"Add account Number to Summary","")</f>
        <v/>
      </c>
      <c r="M1777" s="131" t="str">
        <f t="shared" si="28"/>
        <v/>
      </c>
      <c r="N1777" s="287">
        <f>IF(C1777="Sale",SUMIFS($D$4:D1777,$B$4:B1777,B1777,$C$4:C1777,"")+SUMIFS($D$4:D1777,$B$4:B1777,B1777,$C$4:C1777,"Purch")-SUMIFS($D$4:D1777,$B$4:B1777,B1777,$C$4:C1777,"Sale"),0)</f>
        <v>0</v>
      </c>
    </row>
    <row r="1778" spans="1:14" x14ac:dyDescent="0.2">
      <c r="A1778" s="152"/>
      <c r="B1778" s="132"/>
      <c r="C1778" s="132"/>
      <c r="D1778" s="277"/>
      <c r="E1778" s="132"/>
      <c r="F1778" s="170"/>
      <c r="G1778" s="150"/>
      <c r="H1778" s="152"/>
      <c r="I1778" s="204"/>
      <c r="J1778" s="285"/>
      <c r="K1778" s="251"/>
      <c r="L1778" s="133" t="str">
        <f>IF(AND(I1778&lt;&gt;"",ISERROR(IF(ISERROR(VLOOKUP(I1778*1,Summary!$C$8:$C$153,1,0)),VLOOKUP(I1778,Summary!$C$8:$C$153,1,0),VLOOKUP(I1778*1,Summary!$C$8:$C$153,1,0)))),"Add account Number to Summary","")</f>
        <v/>
      </c>
      <c r="M1778" s="131" t="str">
        <f t="shared" si="28"/>
        <v/>
      </c>
      <c r="N1778" s="287">
        <f>IF(C1778="Sale",SUMIFS($D$4:D1778,$B$4:B1778,B1778,$C$4:C1778,"")+SUMIFS($D$4:D1778,$B$4:B1778,B1778,$C$4:C1778,"Purch")-SUMIFS($D$4:D1778,$B$4:B1778,B1778,$C$4:C1778,"Sale"),0)</f>
        <v>0</v>
      </c>
    </row>
    <row r="1779" spans="1:14" x14ac:dyDescent="0.2">
      <c r="A1779" s="152"/>
      <c r="B1779" s="132"/>
      <c r="C1779" s="132"/>
      <c r="D1779" s="277"/>
      <c r="E1779" s="132"/>
      <c r="F1779" s="170"/>
      <c r="G1779" s="150"/>
      <c r="H1779" s="152"/>
      <c r="I1779" s="204"/>
      <c r="J1779" s="285"/>
      <c r="K1779" s="251"/>
      <c r="L1779" s="133" t="str">
        <f>IF(AND(I1779&lt;&gt;"",ISERROR(IF(ISERROR(VLOOKUP(I1779*1,Summary!$C$8:$C$153,1,0)),VLOOKUP(I1779,Summary!$C$8:$C$153,1,0),VLOOKUP(I1779*1,Summary!$C$8:$C$153,1,0)))),"Add account Number to Summary","")</f>
        <v/>
      </c>
      <c r="M1779" s="131" t="str">
        <f t="shared" si="28"/>
        <v/>
      </c>
      <c r="N1779" s="287">
        <f>IF(C1779="Sale",SUMIFS($D$4:D1779,$B$4:B1779,B1779,$C$4:C1779,"")+SUMIFS($D$4:D1779,$B$4:B1779,B1779,$C$4:C1779,"Purch")-SUMIFS($D$4:D1779,$B$4:B1779,B1779,$C$4:C1779,"Sale"),0)</f>
        <v>0</v>
      </c>
    </row>
    <row r="1780" spans="1:14" x14ac:dyDescent="0.2">
      <c r="A1780" s="152"/>
      <c r="B1780" s="132"/>
      <c r="C1780" s="132"/>
      <c r="D1780" s="277"/>
      <c r="E1780" s="132"/>
      <c r="F1780" s="170"/>
      <c r="G1780" s="150"/>
      <c r="H1780" s="152"/>
      <c r="I1780" s="204"/>
      <c r="J1780" s="285"/>
      <c r="K1780" s="251"/>
      <c r="L1780" s="133" t="str">
        <f>IF(AND(I1780&lt;&gt;"",ISERROR(IF(ISERROR(VLOOKUP(I1780*1,Summary!$C$8:$C$153,1,0)),VLOOKUP(I1780,Summary!$C$8:$C$153,1,0),VLOOKUP(I1780*1,Summary!$C$8:$C$153,1,0)))),"Add account Number to Summary","")</f>
        <v/>
      </c>
      <c r="M1780" s="131" t="str">
        <f t="shared" si="28"/>
        <v/>
      </c>
      <c r="N1780" s="287">
        <f>IF(C1780="Sale",SUMIFS($D$4:D1780,$B$4:B1780,B1780,$C$4:C1780,"")+SUMIFS($D$4:D1780,$B$4:B1780,B1780,$C$4:C1780,"Purch")-SUMIFS($D$4:D1780,$B$4:B1780,B1780,$C$4:C1780,"Sale"),0)</f>
        <v>0</v>
      </c>
    </row>
    <row r="1781" spans="1:14" x14ac:dyDescent="0.2">
      <c r="A1781" s="152"/>
      <c r="B1781" s="132"/>
      <c r="C1781" s="132"/>
      <c r="D1781" s="277"/>
      <c r="E1781" s="132"/>
      <c r="F1781" s="170"/>
      <c r="G1781" s="150"/>
      <c r="H1781" s="152"/>
      <c r="I1781" s="204"/>
      <c r="J1781" s="285"/>
      <c r="K1781" s="251"/>
      <c r="L1781" s="133" t="str">
        <f>IF(AND(I1781&lt;&gt;"",ISERROR(IF(ISERROR(VLOOKUP(I1781*1,Summary!$C$8:$C$153,1,0)),VLOOKUP(I1781,Summary!$C$8:$C$153,1,0),VLOOKUP(I1781*1,Summary!$C$8:$C$153,1,0)))),"Add account Number to Summary","")</f>
        <v/>
      </c>
      <c r="M1781" s="131" t="str">
        <f t="shared" si="28"/>
        <v/>
      </c>
      <c r="N1781" s="287">
        <f>IF(C1781="Sale",SUMIFS($D$4:D1781,$B$4:B1781,B1781,$C$4:C1781,"")+SUMIFS($D$4:D1781,$B$4:B1781,B1781,$C$4:C1781,"Purch")-SUMIFS($D$4:D1781,$B$4:B1781,B1781,$C$4:C1781,"Sale"),0)</f>
        <v>0</v>
      </c>
    </row>
    <row r="1782" spans="1:14" x14ac:dyDescent="0.2">
      <c r="A1782" s="152"/>
      <c r="B1782" s="132"/>
      <c r="C1782" s="132"/>
      <c r="D1782" s="277"/>
      <c r="E1782" s="132"/>
      <c r="F1782" s="170"/>
      <c r="G1782" s="150"/>
      <c r="H1782" s="152"/>
      <c r="I1782" s="204"/>
      <c r="J1782" s="285"/>
      <c r="K1782" s="251"/>
      <c r="L1782" s="133" t="str">
        <f>IF(AND(I1782&lt;&gt;"",ISERROR(IF(ISERROR(VLOOKUP(I1782*1,Summary!$C$8:$C$153,1,0)),VLOOKUP(I1782,Summary!$C$8:$C$153,1,0),VLOOKUP(I1782*1,Summary!$C$8:$C$153,1,0)))),"Add account Number to Summary","")</f>
        <v/>
      </c>
      <c r="M1782" s="131" t="str">
        <f t="shared" si="28"/>
        <v/>
      </c>
      <c r="N1782" s="287">
        <f>IF(C1782="Sale",SUMIFS($D$4:D1782,$B$4:B1782,B1782,$C$4:C1782,"")+SUMIFS($D$4:D1782,$B$4:B1782,B1782,$C$4:C1782,"Purch")-SUMIFS($D$4:D1782,$B$4:B1782,B1782,$C$4:C1782,"Sale"),0)</f>
        <v>0</v>
      </c>
    </row>
    <row r="1783" spans="1:14" x14ac:dyDescent="0.2">
      <c r="A1783" s="152"/>
      <c r="B1783" s="132"/>
      <c r="C1783" s="132"/>
      <c r="D1783" s="277"/>
      <c r="E1783" s="132"/>
      <c r="F1783" s="170"/>
      <c r="G1783" s="150"/>
      <c r="H1783" s="152"/>
      <c r="I1783" s="204"/>
      <c r="J1783" s="285"/>
      <c r="K1783" s="251"/>
      <c r="L1783" s="133" t="str">
        <f>IF(AND(I1783&lt;&gt;"",ISERROR(IF(ISERROR(VLOOKUP(I1783*1,Summary!$C$8:$C$153,1,0)),VLOOKUP(I1783,Summary!$C$8:$C$153,1,0),VLOOKUP(I1783*1,Summary!$C$8:$C$153,1,0)))),"Add account Number to Summary","")</f>
        <v/>
      </c>
      <c r="M1783" s="131" t="str">
        <f t="shared" si="28"/>
        <v/>
      </c>
      <c r="N1783" s="287">
        <f>IF(C1783="Sale",SUMIFS($D$4:D1783,$B$4:B1783,B1783,$C$4:C1783,"")+SUMIFS($D$4:D1783,$B$4:B1783,B1783,$C$4:C1783,"Purch")-SUMIFS($D$4:D1783,$B$4:B1783,B1783,$C$4:C1783,"Sale"),0)</f>
        <v>0</v>
      </c>
    </row>
    <row r="1784" spans="1:14" x14ac:dyDescent="0.2">
      <c r="A1784" s="152"/>
      <c r="B1784" s="132"/>
      <c r="C1784" s="132"/>
      <c r="D1784" s="277"/>
      <c r="E1784" s="132"/>
      <c r="F1784" s="170"/>
      <c r="G1784" s="150"/>
      <c r="H1784" s="152"/>
      <c r="I1784" s="204"/>
      <c r="J1784" s="285"/>
      <c r="K1784" s="251"/>
      <c r="L1784" s="133" t="str">
        <f>IF(AND(I1784&lt;&gt;"",ISERROR(IF(ISERROR(VLOOKUP(I1784*1,Summary!$C$8:$C$153,1,0)),VLOOKUP(I1784,Summary!$C$8:$C$153,1,0),VLOOKUP(I1784*1,Summary!$C$8:$C$153,1,0)))),"Add account Number to Summary","")</f>
        <v/>
      </c>
      <c r="M1784" s="131" t="str">
        <f t="shared" si="28"/>
        <v/>
      </c>
      <c r="N1784" s="287">
        <f>IF(C1784="Sale",SUMIFS($D$4:D1784,$B$4:B1784,B1784,$C$4:C1784,"")+SUMIFS($D$4:D1784,$B$4:B1784,B1784,$C$4:C1784,"Purch")-SUMIFS($D$4:D1784,$B$4:B1784,B1784,$C$4:C1784,"Sale"),0)</f>
        <v>0</v>
      </c>
    </row>
    <row r="1785" spans="1:14" x14ac:dyDescent="0.2">
      <c r="A1785" s="152"/>
      <c r="B1785" s="132"/>
      <c r="C1785" s="132"/>
      <c r="D1785" s="277"/>
      <c r="E1785" s="132"/>
      <c r="F1785" s="170"/>
      <c r="G1785" s="150"/>
      <c r="H1785" s="152"/>
      <c r="I1785" s="204"/>
      <c r="J1785" s="285"/>
      <c r="K1785" s="251"/>
      <c r="L1785" s="133" t="str">
        <f>IF(AND(I1785&lt;&gt;"",ISERROR(IF(ISERROR(VLOOKUP(I1785*1,Summary!$C$8:$C$153,1,0)),VLOOKUP(I1785,Summary!$C$8:$C$153,1,0),VLOOKUP(I1785*1,Summary!$C$8:$C$153,1,0)))),"Add account Number to Summary","")</f>
        <v/>
      </c>
      <c r="M1785" s="131" t="str">
        <f t="shared" si="28"/>
        <v/>
      </c>
      <c r="N1785" s="287">
        <f>IF(C1785="Sale",SUMIFS($D$4:D1785,$B$4:B1785,B1785,$C$4:C1785,"")+SUMIFS($D$4:D1785,$B$4:B1785,B1785,$C$4:C1785,"Purch")-SUMIFS($D$4:D1785,$B$4:B1785,B1785,$C$4:C1785,"Sale"),0)</f>
        <v>0</v>
      </c>
    </row>
    <row r="1786" spans="1:14" x14ac:dyDescent="0.2">
      <c r="A1786" s="152"/>
      <c r="B1786" s="132"/>
      <c r="C1786" s="132"/>
      <c r="D1786" s="277"/>
      <c r="E1786" s="132"/>
      <c r="F1786" s="170"/>
      <c r="G1786" s="150"/>
      <c r="H1786" s="152"/>
      <c r="I1786" s="204"/>
      <c r="J1786" s="285"/>
      <c r="K1786" s="251"/>
      <c r="L1786" s="133" t="str">
        <f>IF(AND(I1786&lt;&gt;"",ISERROR(IF(ISERROR(VLOOKUP(I1786*1,Summary!$C$8:$C$153,1,0)),VLOOKUP(I1786,Summary!$C$8:$C$153,1,0),VLOOKUP(I1786*1,Summary!$C$8:$C$153,1,0)))),"Add account Number to Summary","")</f>
        <v/>
      </c>
      <c r="M1786" s="131" t="str">
        <f t="shared" si="28"/>
        <v/>
      </c>
      <c r="N1786" s="287">
        <f>IF(C1786="Sale",SUMIFS($D$4:D1786,$B$4:B1786,B1786,$C$4:C1786,"")+SUMIFS($D$4:D1786,$B$4:B1786,B1786,$C$4:C1786,"Purch")-SUMIFS($D$4:D1786,$B$4:B1786,B1786,$C$4:C1786,"Sale"),0)</f>
        <v>0</v>
      </c>
    </row>
    <row r="1787" spans="1:14" x14ac:dyDescent="0.2">
      <c r="A1787" s="152"/>
      <c r="B1787" s="132"/>
      <c r="C1787" s="132"/>
      <c r="D1787" s="277"/>
      <c r="E1787" s="132"/>
      <c r="F1787" s="170"/>
      <c r="G1787" s="150"/>
      <c r="H1787" s="152"/>
      <c r="I1787" s="204"/>
      <c r="J1787" s="285"/>
      <c r="K1787" s="251"/>
      <c r="L1787" s="133" t="str">
        <f>IF(AND(I1787&lt;&gt;"",ISERROR(IF(ISERROR(VLOOKUP(I1787*1,Summary!$C$8:$C$153,1,0)),VLOOKUP(I1787,Summary!$C$8:$C$153,1,0),VLOOKUP(I1787*1,Summary!$C$8:$C$153,1,0)))),"Add account Number to Summary","")</f>
        <v/>
      </c>
      <c r="M1787" s="131" t="str">
        <f t="shared" si="28"/>
        <v/>
      </c>
      <c r="N1787" s="287">
        <f>IF(C1787="Sale",SUMIFS($D$4:D1787,$B$4:B1787,B1787,$C$4:C1787,"")+SUMIFS($D$4:D1787,$B$4:B1787,B1787,$C$4:C1787,"Purch")-SUMIFS($D$4:D1787,$B$4:B1787,B1787,$C$4:C1787,"Sale"),0)</f>
        <v>0</v>
      </c>
    </row>
    <row r="1788" spans="1:14" x14ac:dyDescent="0.2">
      <c r="A1788" s="152"/>
      <c r="B1788" s="132"/>
      <c r="C1788" s="132"/>
      <c r="D1788" s="277"/>
      <c r="E1788" s="132"/>
      <c r="F1788" s="170"/>
      <c r="G1788" s="150"/>
      <c r="H1788" s="152"/>
      <c r="I1788" s="204"/>
      <c r="J1788" s="285"/>
      <c r="K1788" s="251"/>
      <c r="L1788" s="133" t="str">
        <f>IF(AND(I1788&lt;&gt;"",ISERROR(IF(ISERROR(VLOOKUP(I1788*1,Summary!$C$8:$C$153,1,0)),VLOOKUP(I1788,Summary!$C$8:$C$153,1,0),VLOOKUP(I1788*1,Summary!$C$8:$C$153,1,0)))),"Add account Number to Summary","")</f>
        <v/>
      </c>
      <c r="M1788" s="131" t="str">
        <f t="shared" si="28"/>
        <v/>
      </c>
      <c r="N1788" s="287">
        <f>IF(C1788="Sale",SUMIFS($D$4:D1788,$B$4:B1788,B1788,$C$4:C1788,"")+SUMIFS($D$4:D1788,$B$4:B1788,B1788,$C$4:C1788,"Purch")-SUMIFS($D$4:D1788,$B$4:B1788,B1788,$C$4:C1788,"Sale"),0)</f>
        <v>0</v>
      </c>
    </row>
    <row r="1789" spans="1:14" x14ac:dyDescent="0.2">
      <c r="A1789" s="152"/>
      <c r="B1789" s="132"/>
      <c r="C1789" s="132"/>
      <c r="D1789" s="277"/>
      <c r="E1789" s="132"/>
      <c r="F1789" s="170"/>
      <c r="G1789" s="150"/>
      <c r="H1789" s="152"/>
      <c r="I1789" s="204"/>
      <c r="J1789" s="285"/>
      <c r="K1789" s="251"/>
      <c r="L1789" s="133" t="str">
        <f>IF(AND(I1789&lt;&gt;"",ISERROR(IF(ISERROR(VLOOKUP(I1789*1,Summary!$C$8:$C$153,1,0)),VLOOKUP(I1789,Summary!$C$8:$C$153,1,0),VLOOKUP(I1789*1,Summary!$C$8:$C$153,1,0)))),"Add account Number to Summary","")</f>
        <v/>
      </c>
      <c r="M1789" s="131" t="str">
        <f t="shared" si="28"/>
        <v/>
      </c>
      <c r="N1789" s="287">
        <f>IF(C1789="Sale",SUMIFS($D$4:D1789,$B$4:B1789,B1789,$C$4:C1789,"")+SUMIFS($D$4:D1789,$B$4:B1789,B1789,$C$4:C1789,"Purch")-SUMIFS($D$4:D1789,$B$4:B1789,B1789,$C$4:C1789,"Sale"),0)</f>
        <v>0</v>
      </c>
    </row>
    <row r="1790" spans="1:14" x14ac:dyDescent="0.2">
      <c r="A1790" s="152"/>
      <c r="B1790" s="132"/>
      <c r="C1790" s="132"/>
      <c r="D1790" s="277"/>
      <c r="E1790" s="132"/>
      <c r="F1790" s="170"/>
      <c r="G1790" s="150"/>
      <c r="H1790" s="152"/>
      <c r="I1790" s="204"/>
      <c r="J1790" s="285"/>
      <c r="K1790" s="251"/>
      <c r="L1790" s="133" t="str">
        <f>IF(AND(I1790&lt;&gt;"",ISERROR(IF(ISERROR(VLOOKUP(I1790*1,Summary!$C$8:$C$153,1,0)),VLOOKUP(I1790,Summary!$C$8:$C$153,1,0),VLOOKUP(I1790*1,Summary!$C$8:$C$153,1,0)))),"Add account Number to Summary","")</f>
        <v/>
      </c>
      <c r="M1790" s="131" t="str">
        <f t="shared" si="28"/>
        <v/>
      </c>
      <c r="N1790" s="287">
        <f>IF(C1790="Sale",SUMIFS($D$4:D1790,$B$4:B1790,B1790,$C$4:C1790,"")+SUMIFS($D$4:D1790,$B$4:B1790,B1790,$C$4:C1790,"Purch")-SUMIFS($D$4:D1790,$B$4:B1790,B1790,$C$4:C1790,"Sale"),0)</f>
        <v>0</v>
      </c>
    </row>
    <row r="1791" spans="1:14" x14ac:dyDescent="0.2">
      <c r="A1791" s="152"/>
      <c r="B1791" s="132"/>
      <c r="C1791" s="132"/>
      <c r="D1791" s="277"/>
      <c r="E1791" s="132"/>
      <c r="F1791" s="170"/>
      <c r="G1791" s="150"/>
      <c r="H1791" s="152"/>
      <c r="I1791" s="204"/>
      <c r="J1791" s="285"/>
      <c r="K1791" s="251"/>
      <c r="L1791" s="133" t="str">
        <f>IF(AND(I1791&lt;&gt;"",ISERROR(IF(ISERROR(VLOOKUP(I1791*1,Summary!$C$8:$C$153,1,0)),VLOOKUP(I1791,Summary!$C$8:$C$153,1,0),VLOOKUP(I1791*1,Summary!$C$8:$C$153,1,0)))),"Add account Number to Summary","")</f>
        <v/>
      </c>
      <c r="M1791" s="131" t="str">
        <f t="shared" si="28"/>
        <v/>
      </c>
      <c r="N1791" s="287">
        <f>IF(C1791="Sale",SUMIFS($D$4:D1791,$B$4:B1791,B1791,$C$4:C1791,"")+SUMIFS($D$4:D1791,$B$4:B1791,B1791,$C$4:C1791,"Purch")-SUMIFS($D$4:D1791,$B$4:B1791,B1791,$C$4:C1791,"Sale"),0)</f>
        <v>0</v>
      </c>
    </row>
    <row r="1792" spans="1:14" x14ac:dyDescent="0.2">
      <c r="A1792" s="152"/>
      <c r="B1792" s="132"/>
      <c r="C1792" s="132"/>
      <c r="D1792" s="277"/>
      <c r="E1792" s="132"/>
      <c r="F1792" s="170"/>
      <c r="G1792" s="150"/>
      <c r="H1792" s="152"/>
      <c r="I1792" s="204"/>
      <c r="J1792" s="285"/>
      <c r="K1792" s="251"/>
      <c r="L1792" s="133" t="str">
        <f>IF(AND(I1792&lt;&gt;"",ISERROR(IF(ISERROR(VLOOKUP(I1792*1,Summary!$C$8:$C$153,1,0)),VLOOKUP(I1792,Summary!$C$8:$C$153,1,0),VLOOKUP(I1792*1,Summary!$C$8:$C$153,1,0)))),"Add account Number to Summary","")</f>
        <v/>
      </c>
      <c r="M1792" s="131" t="str">
        <f t="shared" si="28"/>
        <v/>
      </c>
      <c r="N1792" s="287">
        <f>IF(C1792="Sale",SUMIFS($D$4:D1792,$B$4:B1792,B1792,$C$4:C1792,"")+SUMIFS($D$4:D1792,$B$4:B1792,B1792,$C$4:C1792,"Purch")-SUMIFS($D$4:D1792,$B$4:B1792,B1792,$C$4:C1792,"Sale"),0)</f>
        <v>0</v>
      </c>
    </row>
    <row r="1793" spans="1:14" x14ac:dyDescent="0.2">
      <c r="A1793" s="152"/>
      <c r="B1793" s="132"/>
      <c r="C1793" s="132"/>
      <c r="D1793" s="277"/>
      <c r="E1793" s="132"/>
      <c r="F1793" s="170"/>
      <c r="G1793" s="150"/>
      <c r="H1793" s="152"/>
      <c r="I1793" s="204"/>
      <c r="J1793" s="285"/>
      <c r="K1793" s="251"/>
      <c r="L1793" s="133" t="str">
        <f>IF(AND(I1793&lt;&gt;"",ISERROR(IF(ISERROR(VLOOKUP(I1793*1,Summary!$C$8:$C$153,1,0)),VLOOKUP(I1793,Summary!$C$8:$C$153,1,0),VLOOKUP(I1793*1,Summary!$C$8:$C$153,1,0)))),"Add account Number to Summary","")</f>
        <v/>
      </c>
      <c r="M1793" s="131" t="str">
        <f t="shared" si="28"/>
        <v/>
      </c>
      <c r="N1793" s="287">
        <f>IF(C1793="Sale",SUMIFS($D$4:D1793,$B$4:B1793,B1793,$C$4:C1793,"")+SUMIFS($D$4:D1793,$B$4:B1793,B1793,$C$4:C1793,"Purch")-SUMIFS($D$4:D1793,$B$4:B1793,B1793,$C$4:C1793,"Sale"),0)</f>
        <v>0</v>
      </c>
    </row>
    <row r="1794" spans="1:14" x14ac:dyDescent="0.2">
      <c r="A1794" s="152"/>
      <c r="B1794" s="132"/>
      <c r="C1794" s="132"/>
      <c r="D1794" s="277"/>
      <c r="E1794" s="132"/>
      <c r="F1794" s="170"/>
      <c r="G1794" s="150"/>
      <c r="H1794" s="152"/>
      <c r="I1794" s="204"/>
      <c r="J1794" s="285"/>
      <c r="K1794" s="251"/>
      <c r="L1794" s="133" t="str">
        <f>IF(AND(I1794&lt;&gt;"",ISERROR(IF(ISERROR(VLOOKUP(I1794*1,Summary!$C$8:$C$153,1,0)),VLOOKUP(I1794,Summary!$C$8:$C$153,1,0),VLOOKUP(I1794*1,Summary!$C$8:$C$153,1,0)))),"Add account Number to Summary","")</f>
        <v/>
      </c>
      <c r="M1794" s="131" t="str">
        <f t="shared" si="28"/>
        <v/>
      </c>
      <c r="N1794" s="287">
        <f>IF(C1794="Sale",SUMIFS($D$4:D1794,$B$4:B1794,B1794,$C$4:C1794,"")+SUMIFS($D$4:D1794,$B$4:B1794,B1794,$C$4:C1794,"Purch")-SUMIFS($D$4:D1794,$B$4:B1794,B1794,$C$4:C1794,"Sale"),0)</f>
        <v>0</v>
      </c>
    </row>
    <row r="1795" spans="1:14" x14ac:dyDescent="0.2">
      <c r="A1795" s="152"/>
      <c r="B1795" s="132"/>
      <c r="C1795" s="132"/>
      <c r="D1795" s="277"/>
      <c r="E1795" s="132"/>
      <c r="F1795" s="170"/>
      <c r="G1795" s="150"/>
      <c r="H1795" s="152"/>
      <c r="I1795" s="204"/>
      <c r="J1795" s="285"/>
      <c r="K1795" s="251"/>
      <c r="L1795" s="133" t="str">
        <f>IF(AND(I1795&lt;&gt;"",ISERROR(IF(ISERROR(VLOOKUP(I1795*1,Summary!$C$8:$C$153,1,0)),VLOOKUP(I1795,Summary!$C$8:$C$153,1,0),VLOOKUP(I1795*1,Summary!$C$8:$C$153,1,0)))),"Add account Number to Summary","")</f>
        <v/>
      </c>
      <c r="M1795" s="131" t="str">
        <f t="shared" si="28"/>
        <v/>
      </c>
      <c r="N1795" s="287">
        <f>IF(C1795="Sale",SUMIFS($D$4:D1795,$B$4:B1795,B1795,$C$4:C1795,"")+SUMIFS($D$4:D1795,$B$4:B1795,B1795,$C$4:C1795,"Purch")-SUMIFS($D$4:D1795,$B$4:B1795,B1795,$C$4:C1795,"Sale"),0)</f>
        <v>0</v>
      </c>
    </row>
    <row r="1796" spans="1:14" x14ac:dyDescent="0.2">
      <c r="A1796" s="152"/>
      <c r="B1796" s="132"/>
      <c r="C1796" s="132"/>
      <c r="D1796" s="277"/>
      <c r="E1796" s="132"/>
      <c r="F1796" s="170"/>
      <c r="G1796" s="150"/>
      <c r="H1796" s="152"/>
      <c r="I1796" s="204"/>
      <c r="J1796" s="285"/>
      <c r="K1796" s="251"/>
      <c r="L1796" s="133" t="str">
        <f>IF(AND(I1796&lt;&gt;"",ISERROR(IF(ISERROR(VLOOKUP(I1796*1,Summary!$C$8:$C$153,1,0)),VLOOKUP(I1796,Summary!$C$8:$C$153,1,0),VLOOKUP(I1796*1,Summary!$C$8:$C$153,1,0)))),"Add account Number to Summary","")</f>
        <v/>
      </c>
      <c r="M1796" s="131" t="str">
        <f t="shared" si="28"/>
        <v/>
      </c>
      <c r="N1796" s="287">
        <f>IF(C1796="Sale",SUMIFS($D$4:D1796,$B$4:B1796,B1796,$C$4:C1796,"")+SUMIFS($D$4:D1796,$B$4:B1796,B1796,$C$4:C1796,"Purch")-SUMIFS($D$4:D1796,$B$4:B1796,B1796,$C$4:C1796,"Sale"),0)</f>
        <v>0</v>
      </c>
    </row>
    <row r="1797" spans="1:14" x14ac:dyDescent="0.2">
      <c r="A1797" s="152"/>
      <c r="B1797" s="132"/>
      <c r="C1797" s="132"/>
      <c r="D1797" s="277"/>
      <c r="E1797" s="132"/>
      <c r="F1797" s="170"/>
      <c r="G1797" s="150"/>
      <c r="H1797" s="152"/>
      <c r="I1797" s="204"/>
      <c r="J1797" s="285"/>
      <c r="K1797" s="251"/>
      <c r="L1797" s="133" t="str">
        <f>IF(AND(I1797&lt;&gt;"",ISERROR(IF(ISERROR(VLOOKUP(I1797*1,Summary!$C$8:$C$153,1,0)),VLOOKUP(I1797,Summary!$C$8:$C$153,1,0),VLOOKUP(I1797*1,Summary!$C$8:$C$153,1,0)))),"Add account Number to Summary","")</f>
        <v/>
      </c>
      <c r="M1797" s="131" t="str">
        <f t="shared" si="28"/>
        <v/>
      </c>
      <c r="N1797" s="287">
        <f>IF(C1797="Sale",SUMIFS($D$4:D1797,$B$4:B1797,B1797,$C$4:C1797,"")+SUMIFS($D$4:D1797,$B$4:B1797,B1797,$C$4:C1797,"Purch")-SUMIFS($D$4:D1797,$B$4:B1797,B1797,$C$4:C1797,"Sale"),0)</f>
        <v>0</v>
      </c>
    </row>
    <row r="1798" spans="1:14" x14ac:dyDescent="0.2">
      <c r="A1798" s="152"/>
      <c r="B1798" s="132"/>
      <c r="C1798" s="132"/>
      <c r="D1798" s="277"/>
      <c r="E1798" s="132"/>
      <c r="F1798" s="170"/>
      <c r="G1798" s="150"/>
      <c r="H1798" s="152"/>
      <c r="I1798" s="204"/>
      <c r="J1798" s="285"/>
      <c r="K1798" s="251"/>
      <c r="L1798" s="133" t="str">
        <f>IF(AND(I1798&lt;&gt;"",ISERROR(IF(ISERROR(VLOOKUP(I1798*1,Summary!$C$8:$C$153,1,0)),VLOOKUP(I1798,Summary!$C$8:$C$153,1,0),VLOOKUP(I1798*1,Summary!$C$8:$C$153,1,0)))),"Add account Number to Summary","")</f>
        <v/>
      </c>
      <c r="M1798" s="131" t="str">
        <f t="shared" si="28"/>
        <v/>
      </c>
      <c r="N1798" s="287">
        <f>IF(C1798="Sale",SUMIFS($D$4:D1798,$B$4:B1798,B1798,$C$4:C1798,"")+SUMIFS($D$4:D1798,$B$4:B1798,B1798,$C$4:C1798,"Purch")-SUMIFS($D$4:D1798,$B$4:B1798,B1798,$C$4:C1798,"Sale"),0)</f>
        <v>0</v>
      </c>
    </row>
    <row r="1799" spans="1:14" x14ac:dyDescent="0.2">
      <c r="A1799" s="152"/>
      <c r="B1799" s="132"/>
      <c r="C1799" s="132"/>
      <c r="D1799" s="277"/>
      <c r="E1799" s="132"/>
      <c r="F1799" s="170"/>
      <c r="G1799" s="150"/>
      <c r="H1799" s="152"/>
      <c r="I1799" s="204"/>
      <c r="J1799" s="285"/>
      <c r="K1799" s="251"/>
      <c r="L1799" s="133" t="str">
        <f>IF(AND(I1799&lt;&gt;"",ISERROR(IF(ISERROR(VLOOKUP(I1799*1,Summary!$C$8:$C$153,1,0)),VLOOKUP(I1799,Summary!$C$8:$C$153,1,0),VLOOKUP(I1799*1,Summary!$C$8:$C$153,1,0)))),"Add account Number to Summary","")</f>
        <v/>
      </c>
      <c r="M1799" s="131" t="str">
        <f t="shared" si="28"/>
        <v/>
      </c>
      <c r="N1799" s="287">
        <f>IF(C1799="Sale",SUMIFS($D$4:D1799,$B$4:B1799,B1799,$C$4:C1799,"")+SUMIFS($D$4:D1799,$B$4:B1799,B1799,$C$4:C1799,"Purch")-SUMIFS($D$4:D1799,$B$4:B1799,B1799,$C$4:C1799,"Sale"),0)</f>
        <v>0</v>
      </c>
    </row>
    <row r="1800" spans="1:14" x14ac:dyDescent="0.2">
      <c r="A1800" s="152"/>
      <c r="B1800" s="132"/>
      <c r="C1800" s="132"/>
      <c r="D1800" s="277"/>
      <c r="E1800" s="132"/>
      <c r="F1800" s="170"/>
      <c r="G1800" s="150"/>
      <c r="H1800" s="152"/>
      <c r="I1800" s="204"/>
      <c r="J1800" s="285"/>
      <c r="K1800" s="251"/>
      <c r="L1800" s="133" t="str">
        <f>IF(AND(I1800&lt;&gt;"",ISERROR(IF(ISERROR(VLOOKUP(I1800*1,Summary!$C$8:$C$153,1,0)),VLOOKUP(I1800,Summary!$C$8:$C$153,1,0),VLOOKUP(I1800*1,Summary!$C$8:$C$153,1,0)))),"Add account Number to Summary","")</f>
        <v/>
      </c>
      <c r="M1800" s="131" t="str">
        <f t="shared" si="28"/>
        <v/>
      </c>
      <c r="N1800" s="287">
        <f>IF(C1800="Sale",SUMIFS($D$4:D1800,$B$4:B1800,B1800,$C$4:C1800,"")+SUMIFS($D$4:D1800,$B$4:B1800,B1800,$C$4:C1800,"Purch")-SUMIFS($D$4:D1800,$B$4:B1800,B1800,$C$4:C1800,"Sale"),0)</f>
        <v>0</v>
      </c>
    </row>
    <row r="1801" spans="1:14" x14ac:dyDescent="0.2">
      <c r="A1801" s="152"/>
      <c r="B1801" s="132"/>
      <c r="C1801" s="132"/>
      <c r="D1801" s="277"/>
      <c r="E1801" s="132"/>
      <c r="F1801" s="170"/>
      <c r="G1801" s="150"/>
      <c r="H1801" s="152"/>
      <c r="I1801" s="204"/>
      <c r="J1801" s="285"/>
      <c r="K1801" s="251"/>
      <c r="L1801" s="133" t="str">
        <f>IF(AND(I1801&lt;&gt;"",ISERROR(IF(ISERROR(VLOOKUP(I1801*1,Summary!$C$8:$C$153,1,0)),VLOOKUP(I1801,Summary!$C$8:$C$153,1,0),VLOOKUP(I1801*1,Summary!$C$8:$C$153,1,0)))),"Add account Number to Summary","")</f>
        <v/>
      </c>
      <c r="M1801" s="131" t="str">
        <f t="shared" si="28"/>
        <v/>
      </c>
      <c r="N1801" s="287">
        <f>IF(C1801="Sale",SUMIFS($D$4:D1801,$B$4:B1801,B1801,$C$4:C1801,"")+SUMIFS($D$4:D1801,$B$4:B1801,B1801,$C$4:C1801,"Purch")-SUMIFS($D$4:D1801,$B$4:B1801,B1801,$C$4:C1801,"Sale"),0)</f>
        <v>0</v>
      </c>
    </row>
    <row r="1802" spans="1:14" x14ac:dyDescent="0.2">
      <c r="A1802" s="152"/>
      <c r="B1802" s="132"/>
      <c r="C1802" s="132"/>
      <c r="D1802" s="277"/>
      <c r="E1802" s="132"/>
      <c r="F1802" s="170"/>
      <c r="G1802" s="150"/>
      <c r="H1802" s="152"/>
      <c r="I1802" s="204"/>
      <c r="J1802" s="285"/>
      <c r="K1802" s="251"/>
      <c r="L1802" s="133" t="str">
        <f>IF(AND(I1802&lt;&gt;"",ISERROR(IF(ISERROR(VLOOKUP(I1802*1,Summary!$C$8:$C$153,1,0)),VLOOKUP(I1802,Summary!$C$8:$C$153,1,0),VLOOKUP(I1802*1,Summary!$C$8:$C$153,1,0)))),"Add account Number to Summary","")</f>
        <v/>
      </c>
      <c r="M1802" s="131" t="str">
        <f t="shared" si="28"/>
        <v/>
      </c>
      <c r="N1802" s="287">
        <f>IF(C1802="Sale",SUMIFS($D$4:D1802,$B$4:B1802,B1802,$C$4:C1802,"")+SUMIFS($D$4:D1802,$B$4:B1802,B1802,$C$4:C1802,"Purch")-SUMIFS($D$4:D1802,$B$4:B1802,B1802,$C$4:C1802,"Sale"),0)</f>
        <v>0</v>
      </c>
    </row>
    <row r="1803" spans="1:14" x14ac:dyDescent="0.2">
      <c r="A1803" s="152"/>
      <c r="B1803" s="132"/>
      <c r="C1803" s="132"/>
      <c r="D1803" s="277"/>
      <c r="E1803" s="132"/>
      <c r="F1803" s="170"/>
      <c r="G1803" s="150"/>
      <c r="H1803" s="152"/>
      <c r="I1803" s="204"/>
      <c r="J1803" s="285"/>
      <c r="K1803" s="251"/>
      <c r="L1803" s="133" t="str">
        <f>IF(AND(I1803&lt;&gt;"",ISERROR(IF(ISERROR(VLOOKUP(I1803*1,Summary!$C$8:$C$153,1,0)),VLOOKUP(I1803,Summary!$C$8:$C$153,1,0),VLOOKUP(I1803*1,Summary!$C$8:$C$153,1,0)))),"Add account Number to Summary","")</f>
        <v/>
      </c>
      <c r="M1803" s="131" t="str">
        <f t="shared" si="28"/>
        <v/>
      </c>
      <c r="N1803" s="287">
        <f>IF(C1803="Sale",SUMIFS($D$4:D1803,$B$4:B1803,B1803,$C$4:C1803,"")+SUMIFS($D$4:D1803,$B$4:B1803,B1803,$C$4:C1803,"Purch")-SUMIFS($D$4:D1803,$B$4:B1803,B1803,$C$4:C1803,"Sale"),0)</f>
        <v>0</v>
      </c>
    </row>
    <row r="1804" spans="1:14" x14ac:dyDescent="0.2">
      <c r="A1804" s="152"/>
      <c r="B1804" s="132"/>
      <c r="C1804" s="132"/>
      <c r="D1804" s="277"/>
      <c r="E1804" s="132"/>
      <c r="F1804" s="170"/>
      <c r="G1804" s="150"/>
      <c r="H1804" s="152"/>
      <c r="I1804" s="204"/>
      <c r="J1804" s="285"/>
      <c r="K1804" s="251"/>
      <c r="L1804" s="133" t="str">
        <f>IF(AND(I1804&lt;&gt;"",ISERROR(IF(ISERROR(VLOOKUP(I1804*1,Summary!$C$8:$C$153,1,0)),VLOOKUP(I1804,Summary!$C$8:$C$153,1,0),VLOOKUP(I1804*1,Summary!$C$8:$C$153,1,0)))),"Add account Number to Summary","")</f>
        <v/>
      </c>
      <c r="M1804" s="131" t="str">
        <f t="shared" si="28"/>
        <v/>
      </c>
      <c r="N1804" s="287">
        <f>IF(C1804="Sale",SUMIFS($D$4:D1804,$B$4:B1804,B1804,$C$4:C1804,"")+SUMIFS($D$4:D1804,$B$4:B1804,B1804,$C$4:C1804,"Purch")-SUMIFS($D$4:D1804,$B$4:B1804,B1804,$C$4:C1804,"Sale"),0)</f>
        <v>0</v>
      </c>
    </row>
    <row r="1805" spans="1:14" x14ac:dyDescent="0.2">
      <c r="A1805" s="152"/>
      <c r="B1805" s="132"/>
      <c r="C1805" s="132"/>
      <c r="D1805" s="277"/>
      <c r="E1805" s="132"/>
      <c r="F1805" s="170"/>
      <c r="G1805" s="150"/>
      <c r="H1805" s="152"/>
      <c r="I1805" s="204"/>
      <c r="J1805" s="285"/>
      <c r="K1805" s="251"/>
      <c r="L1805" s="133" t="str">
        <f>IF(AND(I1805&lt;&gt;"",ISERROR(IF(ISERROR(VLOOKUP(I1805*1,Summary!$C$8:$C$153,1,0)),VLOOKUP(I1805,Summary!$C$8:$C$153,1,0),VLOOKUP(I1805*1,Summary!$C$8:$C$153,1,0)))),"Add account Number to Summary","")</f>
        <v/>
      </c>
      <c r="M1805" s="131" t="str">
        <f t="shared" si="28"/>
        <v/>
      </c>
      <c r="N1805" s="287">
        <f>IF(C1805="Sale",SUMIFS($D$4:D1805,$B$4:B1805,B1805,$C$4:C1805,"")+SUMIFS($D$4:D1805,$B$4:B1805,B1805,$C$4:C1805,"Purch")-SUMIFS($D$4:D1805,$B$4:B1805,B1805,$C$4:C1805,"Sale"),0)</f>
        <v>0</v>
      </c>
    </row>
    <row r="1806" spans="1:14" x14ac:dyDescent="0.2">
      <c r="A1806" s="152"/>
      <c r="B1806" s="132"/>
      <c r="C1806" s="132"/>
      <c r="D1806" s="277"/>
      <c r="E1806" s="132"/>
      <c r="F1806" s="170"/>
      <c r="G1806" s="150"/>
      <c r="H1806" s="152"/>
      <c r="I1806" s="204"/>
      <c r="J1806" s="285"/>
      <c r="K1806" s="251"/>
      <c r="L1806" s="133" t="str">
        <f>IF(AND(I1806&lt;&gt;"",ISERROR(IF(ISERROR(VLOOKUP(I1806*1,Summary!$C$8:$C$153,1,0)),VLOOKUP(I1806,Summary!$C$8:$C$153,1,0),VLOOKUP(I1806*1,Summary!$C$8:$C$153,1,0)))),"Add account Number to Summary","")</f>
        <v/>
      </c>
      <c r="M1806" s="131" t="str">
        <f t="shared" si="28"/>
        <v/>
      </c>
      <c r="N1806" s="287">
        <f>IF(C1806="Sale",SUMIFS($D$4:D1806,$B$4:B1806,B1806,$C$4:C1806,"")+SUMIFS($D$4:D1806,$B$4:B1806,B1806,$C$4:C1806,"Purch")-SUMIFS($D$4:D1806,$B$4:B1806,B1806,$C$4:C1806,"Sale"),0)</f>
        <v>0</v>
      </c>
    </row>
    <row r="1807" spans="1:14" x14ac:dyDescent="0.2">
      <c r="A1807" s="152"/>
      <c r="B1807" s="132"/>
      <c r="C1807" s="132"/>
      <c r="D1807" s="277"/>
      <c r="E1807" s="132"/>
      <c r="F1807" s="170"/>
      <c r="G1807" s="150"/>
      <c r="H1807" s="152"/>
      <c r="I1807" s="204"/>
      <c r="J1807" s="285"/>
      <c r="K1807" s="251"/>
      <c r="L1807" s="133" t="str">
        <f>IF(AND(I1807&lt;&gt;"",ISERROR(IF(ISERROR(VLOOKUP(I1807*1,Summary!$C$8:$C$153,1,0)),VLOOKUP(I1807,Summary!$C$8:$C$153,1,0),VLOOKUP(I1807*1,Summary!$C$8:$C$153,1,0)))),"Add account Number to Summary","")</f>
        <v/>
      </c>
      <c r="M1807" s="131" t="str">
        <f t="shared" si="28"/>
        <v/>
      </c>
      <c r="N1807" s="287">
        <f>IF(C1807="Sale",SUMIFS($D$4:D1807,$B$4:B1807,B1807,$C$4:C1807,"")+SUMIFS($D$4:D1807,$B$4:B1807,B1807,$C$4:C1807,"Purch")-SUMIFS($D$4:D1807,$B$4:B1807,B1807,$C$4:C1807,"Sale"),0)</f>
        <v>0</v>
      </c>
    </row>
    <row r="1808" spans="1:14" x14ac:dyDescent="0.2">
      <c r="A1808" s="152"/>
      <c r="B1808" s="132"/>
      <c r="C1808" s="132"/>
      <c r="D1808" s="277"/>
      <c r="E1808" s="132"/>
      <c r="F1808" s="170"/>
      <c r="G1808" s="150"/>
      <c r="H1808" s="152"/>
      <c r="I1808" s="204"/>
      <c r="J1808" s="285"/>
      <c r="K1808" s="251"/>
      <c r="L1808" s="133" t="str">
        <f>IF(AND(I1808&lt;&gt;"",ISERROR(IF(ISERROR(VLOOKUP(I1808*1,Summary!$C$8:$C$153,1,0)),VLOOKUP(I1808,Summary!$C$8:$C$153,1,0),VLOOKUP(I1808*1,Summary!$C$8:$C$153,1,0)))),"Add account Number to Summary","")</f>
        <v/>
      </c>
      <c r="M1808" s="131" t="str">
        <f t="shared" si="28"/>
        <v/>
      </c>
      <c r="N1808" s="287">
        <f>IF(C1808="Sale",SUMIFS($D$4:D1808,$B$4:B1808,B1808,$C$4:C1808,"")+SUMIFS($D$4:D1808,$B$4:B1808,B1808,$C$4:C1808,"Purch")-SUMIFS($D$4:D1808,$B$4:B1808,B1808,$C$4:C1808,"Sale"),0)</f>
        <v>0</v>
      </c>
    </row>
    <row r="1809" spans="1:14" x14ac:dyDescent="0.2">
      <c r="A1809" s="152"/>
      <c r="B1809" s="132"/>
      <c r="C1809" s="132"/>
      <c r="D1809" s="277"/>
      <c r="E1809" s="132"/>
      <c r="F1809" s="170"/>
      <c r="G1809" s="150"/>
      <c r="H1809" s="152"/>
      <c r="I1809" s="204"/>
      <c r="J1809" s="285"/>
      <c r="K1809" s="251"/>
      <c r="L1809" s="133" t="str">
        <f>IF(AND(I1809&lt;&gt;"",ISERROR(IF(ISERROR(VLOOKUP(I1809*1,Summary!$C$8:$C$153,1,0)),VLOOKUP(I1809,Summary!$C$8:$C$153,1,0),VLOOKUP(I1809*1,Summary!$C$8:$C$153,1,0)))),"Add account Number to Summary","")</f>
        <v/>
      </c>
      <c r="M1809" s="131" t="str">
        <f t="shared" si="28"/>
        <v/>
      </c>
      <c r="N1809" s="287">
        <f>IF(C1809="Sale",SUMIFS($D$4:D1809,$B$4:B1809,B1809,$C$4:C1809,"")+SUMIFS($D$4:D1809,$B$4:B1809,B1809,$C$4:C1809,"Purch")-SUMIFS($D$4:D1809,$B$4:B1809,B1809,$C$4:C1809,"Sale"),0)</f>
        <v>0</v>
      </c>
    </row>
    <row r="1810" spans="1:14" x14ac:dyDescent="0.2">
      <c r="A1810" s="152"/>
      <c r="B1810" s="132"/>
      <c r="C1810" s="132"/>
      <c r="D1810" s="277"/>
      <c r="E1810" s="132"/>
      <c r="F1810" s="170"/>
      <c r="G1810" s="150"/>
      <c r="H1810" s="152"/>
      <c r="I1810" s="204"/>
      <c r="J1810" s="285"/>
      <c r="K1810" s="251"/>
      <c r="L1810" s="133" t="str">
        <f>IF(AND(I1810&lt;&gt;"",ISERROR(IF(ISERROR(VLOOKUP(I1810*1,Summary!$C$8:$C$153,1,0)),VLOOKUP(I1810,Summary!$C$8:$C$153,1,0),VLOOKUP(I1810*1,Summary!$C$8:$C$153,1,0)))),"Add account Number to Summary","")</f>
        <v/>
      </c>
      <c r="M1810" s="131" t="str">
        <f t="shared" si="28"/>
        <v/>
      </c>
      <c r="N1810" s="287">
        <f>IF(C1810="Sale",SUMIFS($D$4:D1810,$B$4:B1810,B1810,$C$4:C1810,"")+SUMIFS($D$4:D1810,$B$4:B1810,B1810,$C$4:C1810,"Purch")-SUMIFS($D$4:D1810,$B$4:B1810,B1810,$C$4:C1810,"Sale"),0)</f>
        <v>0</v>
      </c>
    </row>
    <row r="1811" spans="1:14" x14ac:dyDescent="0.2">
      <c r="A1811" s="152"/>
      <c r="B1811" s="132"/>
      <c r="C1811" s="132"/>
      <c r="D1811" s="277"/>
      <c r="E1811" s="132"/>
      <c r="F1811" s="170"/>
      <c r="G1811" s="150"/>
      <c r="H1811" s="152"/>
      <c r="I1811" s="204"/>
      <c r="J1811" s="285"/>
      <c r="K1811" s="251"/>
      <c r="L1811" s="133" t="str">
        <f>IF(AND(I1811&lt;&gt;"",ISERROR(IF(ISERROR(VLOOKUP(I1811*1,Summary!$C$8:$C$153,1,0)),VLOOKUP(I1811,Summary!$C$8:$C$153,1,0),VLOOKUP(I1811*1,Summary!$C$8:$C$153,1,0)))),"Add account Number to Summary","")</f>
        <v/>
      </c>
      <c r="M1811" s="131" t="str">
        <f t="shared" si="28"/>
        <v/>
      </c>
      <c r="N1811" s="287">
        <f>IF(C1811="Sale",SUMIFS($D$4:D1811,$B$4:B1811,B1811,$C$4:C1811,"")+SUMIFS($D$4:D1811,$B$4:B1811,B1811,$C$4:C1811,"Purch")-SUMIFS($D$4:D1811,$B$4:B1811,B1811,$C$4:C1811,"Sale"),0)</f>
        <v>0</v>
      </c>
    </row>
    <row r="1812" spans="1:14" x14ac:dyDescent="0.2">
      <c r="A1812" s="152"/>
      <c r="B1812" s="132"/>
      <c r="C1812" s="132"/>
      <c r="D1812" s="277"/>
      <c r="E1812" s="132"/>
      <c r="F1812" s="170"/>
      <c r="G1812" s="150"/>
      <c r="H1812" s="152"/>
      <c r="I1812" s="204"/>
      <c r="J1812" s="285"/>
      <c r="K1812" s="251"/>
      <c r="L1812" s="133" t="str">
        <f>IF(AND(I1812&lt;&gt;"",ISERROR(IF(ISERROR(VLOOKUP(I1812*1,Summary!$C$8:$C$153,1,0)),VLOOKUP(I1812,Summary!$C$8:$C$153,1,0),VLOOKUP(I1812*1,Summary!$C$8:$C$153,1,0)))),"Add account Number to Summary","")</f>
        <v/>
      </c>
      <c r="M1812" s="131" t="str">
        <f t="shared" si="28"/>
        <v/>
      </c>
      <c r="N1812" s="287">
        <f>IF(C1812="Sale",SUMIFS($D$4:D1812,$B$4:B1812,B1812,$C$4:C1812,"")+SUMIFS($D$4:D1812,$B$4:B1812,B1812,$C$4:C1812,"Purch")-SUMIFS($D$4:D1812,$B$4:B1812,B1812,$C$4:C1812,"Sale"),0)</f>
        <v>0</v>
      </c>
    </row>
    <row r="1813" spans="1:14" x14ac:dyDescent="0.2">
      <c r="A1813" s="152"/>
      <c r="B1813" s="132"/>
      <c r="C1813" s="132"/>
      <c r="D1813" s="277"/>
      <c r="E1813" s="132"/>
      <c r="F1813" s="170"/>
      <c r="G1813" s="150"/>
      <c r="H1813" s="152"/>
      <c r="I1813" s="204"/>
      <c r="J1813" s="285"/>
      <c r="K1813" s="251"/>
      <c r="L1813" s="133" t="str">
        <f>IF(AND(I1813&lt;&gt;"",ISERROR(IF(ISERROR(VLOOKUP(I1813*1,Summary!$C$8:$C$153,1,0)),VLOOKUP(I1813,Summary!$C$8:$C$153,1,0),VLOOKUP(I1813*1,Summary!$C$8:$C$153,1,0)))),"Add account Number to Summary","")</f>
        <v/>
      </c>
      <c r="M1813" s="131" t="str">
        <f t="shared" si="28"/>
        <v/>
      </c>
      <c r="N1813" s="287">
        <f>IF(C1813="Sale",SUMIFS($D$4:D1813,$B$4:B1813,B1813,$C$4:C1813,"")+SUMIFS($D$4:D1813,$B$4:B1813,B1813,$C$4:C1813,"Purch")-SUMIFS($D$4:D1813,$B$4:B1813,B1813,$C$4:C1813,"Sale"),0)</f>
        <v>0</v>
      </c>
    </row>
    <row r="1814" spans="1:14" x14ac:dyDescent="0.2">
      <c r="A1814" s="152"/>
      <c r="B1814" s="132"/>
      <c r="C1814" s="132"/>
      <c r="D1814" s="277"/>
      <c r="E1814" s="132"/>
      <c r="F1814" s="170"/>
      <c r="G1814" s="150"/>
      <c r="H1814" s="152"/>
      <c r="I1814" s="204"/>
      <c r="J1814" s="285"/>
      <c r="K1814" s="251"/>
      <c r="L1814" s="133" t="str">
        <f>IF(AND(I1814&lt;&gt;"",ISERROR(IF(ISERROR(VLOOKUP(I1814*1,Summary!$C$8:$C$153,1,0)),VLOOKUP(I1814,Summary!$C$8:$C$153,1,0),VLOOKUP(I1814*1,Summary!$C$8:$C$153,1,0)))),"Add account Number to Summary","")</f>
        <v/>
      </c>
      <c r="M1814" s="131" t="str">
        <f t="shared" si="28"/>
        <v/>
      </c>
      <c r="N1814" s="287">
        <f>IF(C1814="Sale",SUMIFS($D$4:D1814,$B$4:B1814,B1814,$C$4:C1814,"")+SUMIFS($D$4:D1814,$B$4:B1814,B1814,$C$4:C1814,"Purch")-SUMIFS($D$4:D1814,$B$4:B1814,B1814,$C$4:C1814,"Sale"),0)</f>
        <v>0</v>
      </c>
    </row>
    <row r="1815" spans="1:14" x14ac:dyDescent="0.2">
      <c r="A1815" s="152"/>
      <c r="B1815" s="132"/>
      <c r="C1815" s="132"/>
      <c r="D1815" s="277"/>
      <c r="E1815" s="132"/>
      <c r="F1815" s="170"/>
      <c r="G1815" s="150"/>
      <c r="H1815" s="152"/>
      <c r="I1815" s="204"/>
      <c r="J1815" s="285"/>
      <c r="K1815" s="251"/>
      <c r="L1815" s="133" t="str">
        <f>IF(AND(I1815&lt;&gt;"",ISERROR(IF(ISERROR(VLOOKUP(I1815*1,Summary!$C$8:$C$153,1,0)),VLOOKUP(I1815,Summary!$C$8:$C$153,1,0),VLOOKUP(I1815*1,Summary!$C$8:$C$153,1,0)))),"Add account Number to Summary","")</f>
        <v/>
      </c>
      <c r="M1815" s="131" t="str">
        <f t="shared" si="28"/>
        <v/>
      </c>
      <c r="N1815" s="287">
        <f>IF(C1815="Sale",SUMIFS($D$4:D1815,$B$4:B1815,B1815,$C$4:C1815,"")+SUMIFS($D$4:D1815,$B$4:B1815,B1815,$C$4:C1815,"Purch")-SUMIFS($D$4:D1815,$B$4:B1815,B1815,$C$4:C1815,"Sale"),0)</f>
        <v>0</v>
      </c>
    </row>
    <row r="1816" spans="1:14" x14ac:dyDescent="0.2">
      <c r="A1816" s="152"/>
      <c r="B1816" s="132"/>
      <c r="C1816" s="132"/>
      <c r="D1816" s="277"/>
      <c r="E1816" s="132"/>
      <c r="F1816" s="170"/>
      <c r="G1816" s="150"/>
      <c r="H1816" s="152"/>
      <c r="I1816" s="204"/>
      <c r="J1816" s="285"/>
      <c r="K1816" s="251"/>
      <c r="L1816" s="133" t="str">
        <f>IF(AND(I1816&lt;&gt;"",ISERROR(IF(ISERROR(VLOOKUP(I1816*1,Summary!$C$8:$C$153,1,0)),VLOOKUP(I1816,Summary!$C$8:$C$153,1,0),VLOOKUP(I1816*1,Summary!$C$8:$C$153,1,0)))),"Add account Number to Summary","")</f>
        <v/>
      </c>
      <c r="M1816" s="131" t="str">
        <f t="shared" si="28"/>
        <v/>
      </c>
      <c r="N1816" s="287">
        <f>IF(C1816="Sale",SUMIFS($D$4:D1816,$B$4:B1816,B1816,$C$4:C1816,"")+SUMIFS($D$4:D1816,$B$4:B1816,B1816,$C$4:C1816,"Purch")-SUMIFS($D$4:D1816,$B$4:B1816,B1816,$C$4:C1816,"Sale"),0)</f>
        <v>0</v>
      </c>
    </row>
    <row r="1817" spans="1:14" x14ac:dyDescent="0.2">
      <c r="A1817" s="152"/>
      <c r="B1817" s="132"/>
      <c r="C1817" s="132"/>
      <c r="D1817" s="277"/>
      <c r="E1817" s="132"/>
      <c r="F1817" s="170"/>
      <c r="G1817" s="150"/>
      <c r="H1817" s="152"/>
      <c r="I1817" s="204"/>
      <c r="J1817" s="285"/>
      <c r="K1817" s="251"/>
      <c r="L1817" s="133" t="str">
        <f>IF(AND(I1817&lt;&gt;"",ISERROR(IF(ISERROR(VLOOKUP(I1817*1,Summary!$C$8:$C$153,1,0)),VLOOKUP(I1817,Summary!$C$8:$C$153,1,0),VLOOKUP(I1817*1,Summary!$C$8:$C$153,1,0)))),"Add account Number to Summary","")</f>
        <v/>
      </c>
      <c r="M1817" s="131" t="str">
        <f t="shared" si="28"/>
        <v/>
      </c>
      <c r="N1817" s="287">
        <f>IF(C1817="Sale",SUMIFS($D$4:D1817,$B$4:B1817,B1817,$C$4:C1817,"")+SUMIFS($D$4:D1817,$B$4:B1817,B1817,$C$4:C1817,"Purch")-SUMIFS($D$4:D1817,$B$4:B1817,B1817,$C$4:C1817,"Sale"),0)</f>
        <v>0</v>
      </c>
    </row>
    <row r="1818" spans="1:14" x14ac:dyDescent="0.2">
      <c r="A1818" s="152"/>
      <c r="B1818" s="132"/>
      <c r="C1818" s="132"/>
      <c r="D1818" s="277"/>
      <c r="E1818" s="132"/>
      <c r="F1818" s="170"/>
      <c r="G1818" s="150"/>
      <c r="H1818" s="152"/>
      <c r="I1818" s="204"/>
      <c r="J1818" s="285"/>
      <c r="K1818" s="251"/>
      <c r="L1818" s="133" t="str">
        <f>IF(AND(I1818&lt;&gt;"",ISERROR(IF(ISERROR(VLOOKUP(I1818*1,Summary!$C$8:$C$153,1,0)),VLOOKUP(I1818,Summary!$C$8:$C$153,1,0),VLOOKUP(I1818*1,Summary!$C$8:$C$153,1,0)))),"Add account Number to Summary","")</f>
        <v/>
      </c>
      <c r="M1818" s="131" t="str">
        <f t="shared" si="28"/>
        <v/>
      </c>
      <c r="N1818" s="287">
        <f>IF(C1818="Sale",SUMIFS($D$4:D1818,$B$4:B1818,B1818,$C$4:C1818,"")+SUMIFS($D$4:D1818,$B$4:B1818,B1818,$C$4:C1818,"Purch")-SUMIFS($D$4:D1818,$B$4:B1818,B1818,$C$4:C1818,"Sale"),0)</f>
        <v>0</v>
      </c>
    </row>
    <row r="1819" spans="1:14" x14ac:dyDescent="0.2">
      <c r="A1819" s="152"/>
      <c r="B1819" s="132"/>
      <c r="C1819" s="132"/>
      <c r="D1819" s="277"/>
      <c r="E1819" s="132"/>
      <c r="F1819" s="170"/>
      <c r="G1819" s="150"/>
      <c r="H1819" s="152"/>
      <c r="I1819" s="204"/>
      <c r="J1819" s="285"/>
      <c r="K1819" s="251"/>
      <c r="L1819" s="133" t="str">
        <f>IF(AND(I1819&lt;&gt;"",ISERROR(IF(ISERROR(VLOOKUP(I1819*1,Summary!$C$8:$C$153,1,0)),VLOOKUP(I1819,Summary!$C$8:$C$153,1,0),VLOOKUP(I1819*1,Summary!$C$8:$C$153,1,0)))),"Add account Number to Summary","")</f>
        <v/>
      </c>
      <c r="M1819" s="131" t="str">
        <f t="shared" si="28"/>
        <v/>
      </c>
      <c r="N1819" s="287">
        <f>IF(C1819="Sale",SUMIFS($D$4:D1819,$B$4:B1819,B1819,$C$4:C1819,"")+SUMIFS($D$4:D1819,$B$4:B1819,B1819,$C$4:C1819,"Purch")-SUMIFS($D$4:D1819,$B$4:B1819,B1819,$C$4:C1819,"Sale"),0)</f>
        <v>0</v>
      </c>
    </row>
    <row r="1820" spans="1:14" x14ac:dyDescent="0.2">
      <c r="A1820" s="152"/>
      <c r="B1820" s="132"/>
      <c r="C1820" s="132"/>
      <c r="D1820" s="277"/>
      <c r="E1820" s="132"/>
      <c r="F1820" s="170"/>
      <c r="G1820" s="150"/>
      <c r="H1820" s="152"/>
      <c r="I1820" s="204"/>
      <c r="J1820" s="285"/>
      <c r="K1820" s="251"/>
      <c r="L1820" s="133" t="str">
        <f>IF(AND(I1820&lt;&gt;"",ISERROR(IF(ISERROR(VLOOKUP(I1820*1,Summary!$C$8:$C$153,1,0)),VLOOKUP(I1820,Summary!$C$8:$C$153,1,0),VLOOKUP(I1820*1,Summary!$C$8:$C$153,1,0)))),"Add account Number to Summary","")</f>
        <v/>
      </c>
      <c r="M1820" s="131" t="str">
        <f t="shared" si="28"/>
        <v/>
      </c>
      <c r="N1820" s="287">
        <f>IF(C1820="Sale",SUMIFS($D$4:D1820,$B$4:B1820,B1820,$C$4:C1820,"")+SUMIFS($D$4:D1820,$B$4:B1820,B1820,$C$4:C1820,"Purch")-SUMIFS($D$4:D1820,$B$4:B1820,B1820,$C$4:C1820,"Sale"),0)</f>
        <v>0</v>
      </c>
    </row>
    <row r="1821" spans="1:14" x14ac:dyDescent="0.2">
      <c r="A1821" s="152"/>
      <c r="B1821" s="132"/>
      <c r="C1821" s="132"/>
      <c r="D1821" s="277"/>
      <c r="E1821" s="132"/>
      <c r="F1821" s="170"/>
      <c r="G1821" s="150"/>
      <c r="H1821" s="152"/>
      <c r="I1821" s="204"/>
      <c r="J1821" s="285"/>
      <c r="K1821" s="251"/>
      <c r="L1821" s="133" t="str">
        <f>IF(AND(I1821&lt;&gt;"",ISERROR(IF(ISERROR(VLOOKUP(I1821*1,Summary!$C$8:$C$153,1,0)),VLOOKUP(I1821,Summary!$C$8:$C$153,1,0),VLOOKUP(I1821*1,Summary!$C$8:$C$153,1,0)))),"Add account Number to Summary","")</f>
        <v/>
      </c>
      <c r="M1821" s="131" t="str">
        <f t="shared" si="28"/>
        <v/>
      </c>
      <c r="N1821" s="287">
        <f>IF(C1821="Sale",SUMIFS($D$4:D1821,$B$4:B1821,B1821,$C$4:C1821,"")+SUMIFS($D$4:D1821,$B$4:B1821,B1821,$C$4:C1821,"Purch")-SUMIFS($D$4:D1821,$B$4:B1821,B1821,$C$4:C1821,"Sale"),0)</f>
        <v>0</v>
      </c>
    </row>
    <row r="1822" spans="1:14" x14ac:dyDescent="0.2">
      <c r="A1822" s="152"/>
      <c r="B1822" s="132"/>
      <c r="C1822" s="132"/>
      <c r="D1822" s="277"/>
      <c r="E1822" s="132"/>
      <c r="F1822" s="170"/>
      <c r="G1822" s="150"/>
      <c r="H1822" s="152"/>
      <c r="I1822" s="204"/>
      <c r="J1822" s="285"/>
      <c r="K1822" s="251"/>
      <c r="L1822" s="133" t="str">
        <f>IF(AND(I1822&lt;&gt;"",ISERROR(IF(ISERROR(VLOOKUP(I1822*1,Summary!$C$8:$C$153,1,0)),VLOOKUP(I1822,Summary!$C$8:$C$153,1,0),VLOOKUP(I1822*1,Summary!$C$8:$C$153,1,0)))),"Add account Number to Summary","")</f>
        <v/>
      </c>
      <c r="M1822" s="131" t="str">
        <f t="shared" si="28"/>
        <v/>
      </c>
      <c r="N1822" s="287">
        <f>IF(C1822="Sale",SUMIFS($D$4:D1822,$B$4:B1822,B1822,$C$4:C1822,"")+SUMIFS($D$4:D1822,$B$4:B1822,B1822,$C$4:C1822,"Purch")-SUMIFS($D$4:D1822,$B$4:B1822,B1822,$C$4:C1822,"Sale"),0)</f>
        <v>0</v>
      </c>
    </row>
    <row r="1823" spans="1:14" x14ac:dyDescent="0.2">
      <c r="A1823" s="152"/>
      <c r="B1823" s="132"/>
      <c r="C1823" s="132"/>
      <c r="D1823" s="277"/>
      <c r="E1823" s="132"/>
      <c r="F1823" s="170"/>
      <c r="G1823" s="150"/>
      <c r="H1823" s="152"/>
      <c r="I1823" s="204"/>
      <c r="J1823" s="285"/>
      <c r="K1823" s="251"/>
      <c r="L1823" s="133" t="str">
        <f>IF(AND(I1823&lt;&gt;"",ISERROR(IF(ISERROR(VLOOKUP(I1823*1,Summary!$C$8:$C$153,1,0)),VLOOKUP(I1823,Summary!$C$8:$C$153,1,0),VLOOKUP(I1823*1,Summary!$C$8:$C$153,1,0)))),"Add account Number to Summary","")</f>
        <v/>
      </c>
      <c r="M1823" s="131" t="str">
        <f t="shared" si="28"/>
        <v/>
      </c>
      <c r="N1823" s="287">
        <f>IF(C1823="Sale",SUMIFS($D$4:D1823,$B$4:B1823,B1823,$C$4:C1823,"")+SUMIFS($D$4:D1823,$B$4:B1823,B1823,$C$4:C1823,"Purch")-SUMIFS($D$4:D1823,$B$4:B1823,B1823,$C$4:C1823,"Sale"),0)</f>
        <v>0</v>
      </c>
    </row>
    <row r="1824" spans="1:14" x14ac:dyDescent="0.2">
      <c r="A1824" s="152"/>
      <c r="B1824" s="132"/>
      <c r="C1824" s="132"/>
      <c r="D1824" s="277"/>
      <c r="E1824" s="132"/>
      <c r="F1824" s="170"/>
      <c r="G1824" s="150"/>
      <c r="H1824" s="152"/>
      <c r="I1824" s="204"/>
      <c r="J1824" s="285"/>
      <c r="K1824" s="251"/>
      <c r="L1824" s="133" t="str">
        <f>IF(AND(I1824&lt;&gt;"",ISERROR(IF(ISERROR(VLOOKUP(I1824*1,Summary!$C$8:$C$153,1,0)),VLOOKUP(I1824,Summary!$C$8:$C$153,1,0),VLOOKUP(I1824*1,Summary!$C$8:$C$153,1,0)))),"Add account Number to Summary","")</f>
        <v/>
      </c>
      <c r="M1824" s="131" t="str">
        <f t="shared" si="28"/>
        <v/>
      </c>
      <c r="N1824" s="287">
        <f>IF(C1824="Sale",SUMIFS($D$4:D1824,$B$4:B1824,B1824,$C$4:C1824,"")+SUMIFS($D$4:D1824,$B$4:B1824,B1824,$C$4:C1824,"Purch")-SUMIFS($D$4:D1824,$B$4:B1824,B1824,$C$4:C1824,"Sale"),0)</f>
        <v>0</v>
      </c>
    </row>
    <row r="1825" spans="1:14" x14ac:dyDescent="0.2">
      <c r="A1825" s="152"/>
      <c r="B1825" s="132"/>
      <c r="C1825" s="132"/>
      <c r="D1825" s="277"/>
      <c r="E1825" s="132"/>
      <c r="F1825" s="170"/>
      <c r="G1825" s="150"/>
      <c r="H1825" s="152"/>
      <c r="I1825" s="204"/>
      <c r="J1825" s="285"/>
      <c r="K1825" s="251"/>
      <c r="L1825" s="133" t="str">
        <f>IF(AND(I1825&lt;&gt;"",ISERROR(IF(ISERROR(VLOOKUP(I1825*1,Summary!$C$8:$C$153,1,0)),VLOOKUP(I1825,Summary!$C$8:$C$153,1,0),VLOOKUP(I1825*1,Summary!$C$8:$C$153,1,0)))),"Add account Number to Summary","")</f>
        <v/>
      </c>
      <c r="M1825" s="131" t="str">
        <f t="shared" si="28"/>
        <v/>
      </c>
      <c r="N1825" s="287">
        <f>IF(C1825="Sale",SUMIFS($D$4:D1825,$B$4:B1825,B1825,$C$4:C1825,"")+SUMIFS($D$4:D1825,$B$4:B1825,B1825,$C$4:C1825,"Purch")-SUMIFS($D$4:D1825,$B$4:B1825,B1825,$C$4:C1825,"Sale"),0)</f>
        <v>0</v>
      </c>
    </row>
    <row r="1826" spans="1:14" x14ac:dyDescent="0.2">
      <c r="A1826" s="152"/>
      <c r="B1826" s="132"/>
      <c r="C1826" s="132"/>
      <c r="D1826" s="277"/>
      <c r="E1826" s="132"/>
      <c r="F1826" s="170"/>
      <c r="G1826" s="150"/>
      <c r="H1826" s="152"/>
      <c r="I1826" s="204"/>
      <c r="J1826" s="285"/>
      <c r="K1826" s="251"/>
      <c r="L1826" s="133" t="str">
        <f>IF(AND(I1826&lt;&gt;"",ISERROR(IF(ISERROR(VLOOKUP(I1826*1,Summary!$C$8:$C$153,1,0)),VLOOKUP(I1826,Summary!$C$8:$C$153,1,0),VLOOKUP(I1826*1,Summary!$C$8:$C$153,1,0)))),"Add account Number to Summary","")</f>
        <v/>
      </c>
      <c r="M1826" s="131" t="str">
        <f t="shared" si="28"/>
        <v/>
      </c>
      <c r="N1826" s="287">
        <f>IF(C1826="Sale",SUMIFS($D$4:D1826,$B$4:B1826,B1826,$C$4:C1826,"")+SUMIFS($D$4:D1826,$B$4:B1826,B1826,$C$4:C1826,"Purch")-SUMIFS($D$4:D1826,$B$4:B1826,B1826,$C$4:C1826,"Sale"),0)</f>
        <v>0</v>
      </c>
    </row>
    <row r="1827" spans="1:14" x14ac:dyDescent="0.2">
      <c r="A1827" s="152"/>
      <c r="B1827" s="132"/>
      <c r="C1827" s="132"/>
      <c r="D1827" s="277"/>
      <c r="E1827" s="132"/>
      <c r="F1827" s="170"/>
      <c r="G1827" s="150"/>
      <c r="H1827" s="152"/>
      <c r="I1827" s="204"/>
      <c r="J1827" s="285"/>
      <c r="K1827" s="251"/>
      <c r="L1827" s="133" t="str">
        <f>IF(AND(I1827&lt;&gt;"",ISERROR(IF(ISERROR(VLOOKUP(I1827*1,Summary!$C$8:$C$153,1,0)),VLOOKUP(I1827,Summary!$C$8:$C$153,1,0),VLOOKUP(I1827*1,Summary!$C$8:$C$153,1,0)))),"Add account Number to Summary","")</f>
        <v/>
      </c>
      <c r="M1827" s="131" t="str">
        <f t="shared" si="28"/>
        <v/>
      </c>
      <c r="N1827" s="287">
        <f>IF(C1827="Sale",SUMIFS($D$4:D1827,$B$4:B1827,B1827,$C$4:C1827,"")+SUMIFS($D$4:D1827,$B$4:B1827,B1827,$C$4:C1827,"Purch")-SUMIFS($D$4:D1827,$B$4:B1827,B1827,$C$4:C1827,"Sale"),0)</f>
        <v>0</v>
      </c>
    </row>
    <row r="1828" spans="1:14" x14ac:dyDescent="0.2">
      <c r="A1828" s="152"/>
      <c r="B1828" s="132"/>
      <c r="C1828" s="132"/>
      <c r="D1828" s="277"/>
      <c r="E1828" s="132"/>
      <c r="F1828" s="170"/>
      <c r="G1828" s="150"/>
      <c r="H1828" s="152"/>
      <c r="I1828" s="204"/>
      <c r="J1828" s="285"/>
      <c r="K1828" s="251"/>
      <c r="L1828" s="133" t="str">
        <f>IF(AND(I1828&lt;&gt;"",ISERROR(IF(ISERROR(VLOOKUP(I1828*1,Summary!$C$8:$C$153,1,0)),VLOOKUP(I1828,Summary!$C$8:$C$153,1,0),VLOOKUP(I1828*1,Summary!$C$8:$C$153,1,0)))),"Add account Number to Summary","")</f>
        <v/>
      </c>
      <c r="M1828" s="131" t="str">
        <f t="shared" si="28"/>
        <v/>
      </c>
      <c r="N1828" s="287">
        <f>IF(C1828="Sale",SUMIFS($D$4:D1828,$B$4:B1828,B1828,$C$4:C1828,"")+SUMIFS($D$4:D1828,$B$4:B1828,B1828,$C$4:C1828,"Purch")-SUMIFS($D$4:D1828,$B$4:B1828,B1828,$C$4:C1828,"Sale"),0)</f>
        <v>0</v>
      </c>
    </row>
    <row r="1829" spans="1:14" x14ac:dyDescent="0.2">
      <c r="A1829" s="152"/>
      <c r="B1829" s="132"/>
      <c r="C1829" s="132"/>
      <c r="D1829" s="277"/>
      <c r="E1829" s="132"/>
      <c r="F1829" s="170"/>
      <c r="G1829" s="150"/>
      <c r="H1829" s="152"/>
      <c r="I1829" s="204"/>
      <c r="J1829" s="285"/>
      <c r="K1829" s="251"/>
      <c r="L1829" s="133" t="str">
        <f>IF(AND(I1829&lt;&gt;"",ISERROR(IF(ISERROR(VLOOKUP(I1829*1,Summary!$C$8:$C$153,1,0)),VLOOKUP(I1829,Summary!$C$8:$C$153,1,0),VLOOKUP(I1829*1,Summary!$C$8:$C$153,1,0)))),"Add account Number to Summary","")</f>
        <v/>
      </c>
      <c r="M1829" s="131" t="str">
        <f t="shared" si="28"/>
        <v/>
      </c>
      <c r="N1829" s="287">
        <f>IF(C1829="Sale",SUMIFS($D$4:D1829,$B$4:B1829,B1829,$C$4:C1829,"")+SUMIFS($D$4:D1829,$B$4:B1829,B1829,$C$4:C1829,"Purch")-SUMIFS($D$4:D1829,$B$4:B1829,B1829,$C$4:C1829,"Sale"),0)</f>
        <v>0</v>
      </c>
    </row>
    <row r="1830" spans="1:14" x14ac:dyDescent="0.2">
      <c r="A1830" s="152"/>
      <c r="B1830" s="132"/>
      <c r="C1830" s="132"/>
      <c r="D1830" s="277"/>
      <c r="E1830" s="132"/>
      <c r="F1830" s="170"/>
      <c r="G1830" s="150"/>
      <c r="H1830" s="152"/>
      <c r="I1830" s="204"/>
      <c r="J1830" s="285"/>
      <c r="K1830" s="251"/>
      <c r="L1830" s="133" t="str">
        <f>IF(AND(I1830&lt;&gt;"",ISERROR(IF(ISERROR(VLOOKUP(I1830*1,Summary!$C$8:$C$153,1,0)),VLOOKUP(I1830,Summary!$C$8:$C$153,1,0),VLOOKUP(I1830*1,Summary!$C$8:$C$153,1,0)))),"Add account Number to Summary","")</f>
        <v/>
      </c>
      <c r="M1830" s="131" t="str">
        <f t="shared" si="28"/>
        <v/>
      </c>
      <c r="N1830" s="287">
        <f>IF(C1830="Sale",SUMIFS($D$4:D1830,$B$4:B1830,B1830,$C$4:C1830,"")+SUMIFS($D$4:D1830,$B$4:B1830,B1830,$C$4:C1830,"Purch")-SUMIFS($D$4:D1830,$B$4:B1830,B1830,$C$4:C1830,"Sale"),0)</f>
        <v>0</v>
      </c>
    </row>
    <row r="1831" spans="1:14" x14ac:dyDescent="0.2">
      <c r="A1831" s="152"/>
      <c r="B1831" s="132"/>
      <c r="C1831" s="132"/>
      <c r="D1831" s="277"/>
      <c r="E1831" s="132"/>
      <c r="F1831" s="170"/>
      <c r="G1831" s="150"/>
      <c r="H1831" s="152"/>
      <c r="I1831" s="204"/>
      <c r="J1831" s="285"/>
      <c r="K1831" s="251"/>
      <c r="L1831" s="133" t="str">
        <f>IF(AND(I1831&lt;&gt;"",ISERROR(IF(ISERROR(VLOOKUP(I1831*1,Summary!$C$8:$C$153,1,0)),VLOOKUP(I1831,Summary!$C$8:$C$153,1,0),VLOOKUP(I1831*1,Summary!$C$8:$C$153,1,0)))),"Add account Number to Summary","")</f>
        <v/>
      </c>
      <c r="M1831" s="131" t="str">
        <f t="shared" si="28"/>
        <v/>
      </c>
      <c r="N1831" s="287">
        <f>IF(C1831="Sale",SUMIFS($D$4:D1831,$B$4:B1831,B1831,$C$4:C1831,"")+SUMIFS($D$4:D1831,$B$4:B1831,B1831,$C$4:C1831,"Purch")-SUMIFS($D$4:D1831,$B$4:B1831,B1831,$C$4:C1831,"Sale"),0)</f>
        <v>0</v>
      </c>
    </row>
    <row r="1832" spans="1:14" x14ac:dyDescent="0.2">
      <c r="A1832" s="152"/>
      <c r="B1832" s="132"/>
      <c r="C1832" s="132"/>
      <c r="D1832" s="277"/>
      <c r="E1832" s="132"/>
      <c r="F1832" s="170"/>
      <c r="G1832" s="150"/>
      <c r="H1832" s="152"/>
      <c r="I1832" s="204"/>
      <c r="J1832" s="285"/>
      <c r="K1832" s="251"/>
      <c r="L1832" s="133" t="str">
        <f>IF(AND(I1832&lt;&gt;"",ISERROR(IF(ISERROR(VLOOKUP(I1832*1,Summary!$C$8:$C$153,1,0)),VLOOKUP(I1832,Summary!$C$8:$C$153,1,0),VLOOKUP(I1832*1,Summary!$C$8:$C$153,1,0)))),"Add account Number to Summary","")</f>
        <v/>
      </c>
      <c r="M1832" s="131" t="str">
        <f t="shared" si="28"/>
        <v/>
      </c>
      <c r="N1832" s="287">
        <f>IF(C1832="Sale",SUMIFS($D$4:D1832,$B$4:B1832,B1832,$C$4:C1832,"")+SUMIFS($D$4:D1832,$B$4:B1832,B1832,$C$4:C1832,"Purch")-SUMIFS($D$4:D1832,$B$4:B1832,B1832,$C$4:C1832,"Sale"),0)</f>
        <v>0</v>
      </c>
    </row>
    <row r="1833" spans="1:14" x14ac:dyDescent="0.2">
      <c r="A1833" s="152"/>
      <c r="B1833" s="132"/>
      <c r="C1833" s="132"/>
      <c r="D1833" s="277"/>
      <c r="E1833" s="132"/>
      <c r="F1833" s="170"/>
      <c r="G1833" s="150"/>
      <c r="H1833" s="152"/>
      <c r="I1833" s="204"/>
      <c r="J1833" s="285"/>
      <c r="K1833" s="251"/>
      <c r="L1833" s="133" t="str">
        <f>IF(AND(I1833&lt;&gt;"",ISERROR(IF(ISERROR(VLOOKUP(I1833*1,Summary!$C$8:$C$153,1,0)),VLOOKUP(I1833,Summary!$C$8:$C$153,1,0),VLOOKUP(I1833*1,Summary!$C$8:$C$153,1,0)))),"Add account Number to Summary","")</f>
        <v/>
      </c>
      <c r="M1833" s="131" t="str">
        <f t="shared" si="28"/>
        <v/>
      </c>
      <c r="N1833" s="287">
        <f>IF(C1833="Sale",SUMIFS($D$4:D1833,$B$4:B1833,B1833,$C$4:C1833,"")+SUMIFS($D$4:D1833,$B$4:B1833,B1833,$C$4:C1833,"Purch")-SUMIFS($D$4:D1833,$B$4:B1833,B1833,$C$4:C1833,"Sale"),0)</f>
        <v>0</v>
      </c>
    </row>
    <row r="1834" spans="1:14" x14ac:dyDescent="0.2">
      <c r="A1834" s="152"/>
      <c r="B1834" s="132"/>
      <c r="C1834" s="132"/>
      <c r="D1834" s="277"/>
      <c r="E1834" s="132"/>
      <c r="F1834" s="170"/>
      <c r="G1834" s="150"/>
      <c r="H1834" s="152"/>
      <c r="I1834" s="204"/>
      <c r="J1834" s="285"/>
      <c r="K1834" s="251"/>
      <c r="L1834" s="133" t="str">
        <f>IF(AND(I1834&lt;&gt;"",ISERROR(IF(ISERROR(VLOOKUP(I1834*1,Summary!$C$8:$C$153,1,0)),VLOOKUP(I1834,Summary!$C$8:$C$153,1,0),VLOOKUP(I1834*1,Summary!$C$8:$C$153,1,0)))),"Add account Number to Summary","")</f>
        <v/>
      </c>
      <c r="M1834" s="131" t="str">
        <f t="shared" si="28"/>
        <v/>
      </c>
      <c r="N1834" s="287">
        <f>IF(C1834="Sale",SUMIFS($D$4:D1834,$B$4:B1834,B1834,$C$4:C1834,"")+SUMIFS($D$4:D1834,$B$4:B1834,B1834,$C$4:C1834,"Purch")-SUMIFS($D$4:D1834,$B$4:B1834,B1834,$C$4:C1834,"Sale"),0)</f>
        <v>0</v>
      </c>
    </row>
    <row r="1835" spans="1:14" x14ac:dyDescent="0.2">
      <c r="A1835" s="152"/>
      <c r="B1835" s="132"/>
      <c r="C1835" s="132"/>
      <c r="D1835" s="277"/>
      <c r="E1835" s="132"/>
      <c r="F1835" s="170"/>
      <c r="G1835" s="150"/>
      <c r="H1835" s="152"/>
      <c r="I1835" s="204"/>
      <c r="J1835" s="285"/>
      <c r="K1835" s="251"/>
      <c r="L1835" s="133" t="str">
        <f>IF(AND(I1835&lt;&gt;"",ISERROR(IF(ISERROR(VLOOKUP(I1835*1,Summary!$C$8:$C$153,1,0)),VLOOKUP(I1835,Summary!$C$8:$C$153,1,0),VLOOKUP(I1835*1,Summary!$C$8:$C$153,1,0)))),"Add account Number to Summary","")</f>
        <v/>
      </c>
      <c r="M1835" s="131" t="str">
        <f t="shared" si="28"/>
        <v/>
      </c>
      <c r="N1835" s="287">
        <f>IF(C1835="Sale",SUMIFS($D$4:D1835,$B$4:B1835,B1835,$C$4:C1835,"")+SUMIFS($D$4:D1835,$B$4:B1835,B1835,$C$4:C1835,"Purch")-SUMIFS($D$4:D1835,$B$4:B1835,B1835,$C$4:C1835,"Sale"),0)</f>
        <v>0</v>
      </c>
    </row>
    <row r="1836" spans="1:14" x14ac:dyDescent="0.2">
      <c r="A1836" s="152"/>
      <c r="B1836" s="132"/>
      <c r="C1836" s="132"/>
      <c r="D1836" s="277"/>
      <c r="E1836" s="132"/>
      <c r="F1836" s="170"/>
      <c r="G1836" s="150"/>
      <c r="H1836" s="152"/>
      <c r="I1836" s="204"/>
      <c r="J1836" s="285"/>
      <c r="K1836" s="251"/>
      <c r="L1836" s="133" t="str">
        <f>IF(AND(I1836&lt;&gt;"",ISERROR(IF(ISERROR(VLOOKUP(I1836*1,Summary!$C$8:$C$153,1,0)),VLOOKUP(I1836,Summary!$C$8:$C$153,1,0),VLOOKUP(I1836*1,Summary!$C$8:$C$153,1,0)))),"Add account Number to Summary","")</f>
        <v/>
      </c>
      <c r="M1836" s="131" t="str">
        <f t="shared" ref="M1836:M1899" si="29">IF(K1836="Yes",IF(YEAR(A1836)&lt;&gt;YEAR(date),"Check Date",""),"")</f>
        <v/>
      </c>
      <c r="N1836" s="287">
        <f>IF(C1836="Sale",SUMIFS($D$4:D1836,$B$4:B1836,B1836,$C$4:C1836,"")+SUMIFS($D$4:D1836,$B$4:B1836,B1836,$C$4:C1836,"Purch")-SUMIFS($D$4:D1836,$B$4:B1836,B1836,$C$4:C1836,"Sale"),0)</f>
        <v>0</v>
      </c>
    </row>
    <row r="1837" spans="1:14" x14ac:dyDescent="0.2">
      <c r="A1837" s="152"/>
      <c r="B1837" s="132"/>
      <c r="C1837" s="132"/>
      <c r="D1837" s="277"/>
      <c r="E1837" s="132"/>
      <c r="F1837" s="170"/>
      <c r="G1837" s="150"/>
      <c r="H1837" s="152"/>
      <c r="I1837" s="204"/>
      <c r="J1837" s="285"/>
      <c r="K1837" s="251"/>
      <c r="L1837" s="133" t="str">
        <f>IF(AND(I1837&lt;&gt;"",ISERROR(IF(ISERROR(VLOOKUP(I1837*1,Summary!$C$8:$C$153,1,0)),VLOOKUP(I1837,Summary!$C$8:$C$153,1,0),VLOOKUP(I1837*1,Summary!$C$8:$C$153,1,0)))),"Add account Number to Summary","")</f>
        <v/>
      </c>
      <c r="M1837" s="131" t="str">
        <f t="shared" si="29"/>
        <v/>
      </c>
      <c r="N1837" s="287">
        <f>IF(C1837="Sale",SUMIFS($D$4:D1837,$B$4:B1837,B1837,$C$4:C1837,"")+SUMIFS($D$4:D1837,$B$4:B1837,B1837,$C$4:C1837,"Purch")-SUMIFS($D$4:D1837,$B$4:B1837,B1837,$C$4:C1837,"Sale"),0)</f>
        <v>0</v>
      </c>
    </row>
    <row r="1838" spans="1:14" x14ac:dyDescent="0.2">
      <c r="A1838" s="152"/>
      <c r="B1838" s="132"/>
      <c r="C1838" s="132"/>
      <c r="D1838" s="277"/>
      <c r="E1838" s="132"/>
      <c r="F1838" s="170"/>
      <c r="G1838" s="150"/>
      <c r="H1838" s="152"/>
      <c r="I1838" s="204"/>
      <c r="J1838" s="285"/>
      <c r="K1838" s="251"/>
      <c r="L1838" s="133" t="str">
        <f>IF(AND(I1838&lt;&gt;"",ISERROR(IF(ISERROR(VLOOKUP(I1838*1,Summary!$C$8:$C$153,1,0)),VLOOKUP(I1838,Summary!$C$8:$C$153,1,0),VLOOKUP(I1838*1,Summary!$C$8:$C$153,1,0)))),"Add account Number to Summary","")</f>
        <v/>
      </c>
      <c r="M1838" s="131" t="str">
        <f t="shared" si="29"/>
        <v/>
      </c>
      <c r="N1838" s="287">
        <f>IF(C1838="Sale",SUMIFS($D$4:D1838,$B$4:B1838,B1838,$C$4:C1838,"")+SUMIFS($D$4:D1838,$B$4:B1838,B1838,$C$4:C1838,"Purch")-SUMIFS($D$4:D1838,$B$4:B1838,B1838,$C$4:C1838,"Sale"),0)</f>
        <v>0</v>
      </c>
    </row>
    <row r="1839" spans="1:14" x14ac:dyDescent="0.2">
      <c r="A1839" s="152"/>
      <c r="B1839" s="132"/>
      <c r="C1839" s="132"/>
      <c r="D1839" s="277"/>
      <c r="E1839" s="132"/>
      <c r="F1839" s="170"/>
      <c r="G1839" s="150"/>
      <c r="H1839" s="152"/>
      <c r="I1839" s="204"/>
      <c r="J1839" s="285"/>
      <c r="K1839" s="251"/>
      <c r="L1839" s="133" t="str">
        <f>IF(AND(I1839&lt;&gt;"",ISERROR(IF(ISERROR(VLOOKUP(I1839*1,Summary!$C$8:$C$153,1,0)),VLOOKUP(I1839,Summary!$C$8:$C$153,1,0),VLOOKUP(I1839*1,Summary!$C$8:$C$153,1,0)))),"Add account Number to Summary","")</f>
        <v/>
      </c>
      <c r="M1839" s="131" t="str">
        <f t="shared" si="29"/>
        <v/>
      </c>
      <c r="N1839" s="287">
        <f>IF(C1839="Sale",SUMIFS($D$4:D1839,$B$4:B1839,B1839,$C$4:C1839,"")+SUMIFS($D$4:D1839,$B$4:B1839,B1839,$C$4:C1839,"Purch")-SUMIFS($D$4:D1839,$B$4:B1839,B1839,$C$4:C1839,"Sale"),0)</f>
        <v>0</v>
      </c>
    </row>
    <row r="1840" spans="1:14" x14ac:dyDescent="0.2">
      <c r="A1840" s="152"/>
      <c r="B1840" s="132"/>
      <c r="C1840" s="132"/>
      <c r="D1840" s="277"/>
      <c r="E1840" s="132"/>
      <c r="F1840" s="170"/>
      <c r="G1840" s="150"/>
      <c r="H1840" s="152"/>
      <c r="I1840" s="204"/>
      <c r="J1840" s="285"/>
      <c r="K1840" s="251"/>
      <c r="L1840" s="133" t="str">
        <f>IF(AND(I1840&lt;&gt;"",ISERROR(IF(ISERROR(VLOOKUP(I1840*1,Summary!$C$8:$C$153,1,0)),VLOOKUP(I1840,Summary!$C$8:$C$153,1,0),VLOOKUP(I1840*1,Summary!$C$8:$C$153,1,0)))),"Add account Number to Summary","")</f>
        <v/>
      </c>
      <c r="M1840" s="131" t="str">
        <f t="shared" si="29"/>
        <v/>
      </c>
      <c r="N1840" s="287">
        <f>IF(C1840="Sale",SUMIFS($D$4:D1840,$B$4:B1840,B1840,$C$4:C1840,"")+SUMIFS($D$4:D1840,$B$4:B1840,B1840,$C$4:C1840,"Purch")-SUMIFS($D$4:D1840,$B$4:B1840,B1840,$C$4:C1840,"Sale"),0)</f>
        <v>0</v>
      </c>
    </row>
    <row r="1841" spans="1:14" x14ac:dyDescent="0.2">
      <c r="A1841" s="152"/>
      <c r="B1841" s="132"/>
      <c r="C1841" s="132"/>
      <c r="D1841" s="277"/>
      <c r="E1841" s="132"/>
      <c r="F1841" s="170"/>
      <c r="G1841" s="150"/>
      <c r="H1841" s="152"/>
      <c r="I1841" s="204"/>
      <c r="J1841" s="285"/>
      <c r="K1841" s="251"/>
      <c r="L1841" s="133" t="str">
        <f>IF(AND(I1841&lt;&gt;"",ISERROR(IF(ISERROR(VLOOKUP(I1841*1,Summary!$C$8:$C$153,1,0)),VLOOKUP(I1841,Summary!$C$8:$C$153,1,0),VLOOKUP(I1841*1,Summary!$C$8:$C$153,1,0)))),"Add account Number to Summary","")</f>
        <v/>
      </c>
      <c r="M1841" s="131" t="str">
        <f t="shared" si="29"/>
        <v/>
      </c>
      <c r="N1841" s="287">
        <f>IF(C1841="Sale",SUMIFS($D$4:D1841,$B$4:B1841,B1841,$C$4:C1841,"")+SUMIFS($D$4:D1841,$B$4:B1841,B1841,$C$4:C1841,"Purch")-SUMIFS($D$4:D1841,$B$4:B1841,B1841,$C$4:C1841,"Sale"),0)</f>
        <v>0</v>
      </c>
    </row>
    <row r="1842" spans="1:14" x14ac:dyDescent="0.2">
      <c r="A1842" s="152"/>
      <c r="B1842" s="132"/>
      <c r="C1842" s="132"/>
      <c r="D1842" s="277"/>
      <c r="E1842" s="132"/>
      <c r="F1842" s="170"/>
      <c r="G1842" s="150"/>
      <c r="H1842" s="152"/>
      <c r="I1842" s="204"/>
      <c r="J1842" s="285"/>
      <c r="K1842" s="251"/>
      <c r="L1842" s="133" t="str">
        <f>IF(AND(I1842&lt;&gt;"",ISERROR(IF(ISERROR(VLOOKUP(I1842*1,Summary!$C$8:$C$153,1,0)),VLOOKUP(I1842,Summary!$C$8:$C$153,1,0),VLOOKUP(I1842*1,Summary!$C$8:$C$153,1,0)))),"Add account Number to Summary","")</f>
        <v/>
      </c>
      <c r="M1842" s="131" t="str">
        <f t="shared" si="29"/>
        <v/>
      </c>
      <c r="N1842" s="287">
        <f>IF(C1842="Sale",SUMIFS($D$4:D1842,$B$4:B1842,B1842,$C$4:C1842,"")+SUMIFS($D$4:D1842,$B$4:B1842,B1842,$C$4:C1842,"Purch")-SUMIFS($D$4:D1842,$B$4:B1842,B1842,$C$4:C1842,"Sale"),0)</f>
        <v>0</v>
      </c>
    </row>
    <row r="1843" spans="1:14" x14ac:dyDescent="0.2">
      <c r="A1843" s="152"/>
      <c r="B1843" s="132"/>
      <c r="C1843" s="132"/>
      <c r="D1843" s="277"/>
      <c r="E1843" s="132"/>
      <c r="F1843" s="170"/>
      <c r="G1843" s="150"/>
      <c r="H1843" s="152"/>
      <c r="I1843" s="204"/>
      <c r="J1843" s="285"/>
      <c r="K1843" s="251"/>
      <c r="L1843" s="133" t="str">
        <f>IF(AND(I1843&lt;&gt;"",ISERROR(IF(ISERROR(VLOOKUP(I1843*1,Summary!$C$8:$C$153,1,0)),VLOOKUP(I1843,Summary!$C$8:$C$153,1,0),VLOOKUP(I1843*1,Summary!$C$8:$C$153,1,0)))),"Add account Number to Summary","")</f>
        <v/>
      </c>
      <c r="M1843" s="131" t="str">
        <f t="shared" si="29"/>
        <v/>
      </c>
      <c r="N1843" s="287">
        <f>IF(C1843="Sale",SUMIFS($D$4:D1843,$B$4:B1843,B1843,$C$4:C1843,"")+SUMIFS($D$4:D1843,$B$4:B1843,B1843,$C$4:C1843,"Purch")-SUMIFS($D$4:D1843,$B$4:B1843,B1843,$C$4:C1843,"Sale"),0)</f>
        <v>0</v>
      </c>
    </row>
    <row r="1844" spans="1:14" x14ac:dyDescent="0.2">
      <c r="A1844" s="152"/>
      <c r="B1844" s="132"/>
      <c r="C1844" s="132"/>
      <c r="D1844" s="277"/>
      <c r="E1844" s="132"/>
      <c r="F1844" s="170"/>
      <c r="G1844" s="150"/>
      <c r="H1844" s="152"/>
      <c r="I1844" s="204"/>
      <c r="J1844" s="285"/>
      <c r="K1844" s="251"/>
      <c r="L1844" s="133" t="str">
        <f>IF(AND(I1844&lt;&gt;"",ISERROR(IF(ISERROR(VLOOKUP(I1844*1,Summary!$C$8:$C$153,1,0)),VLOOKUP(I1844,Summary!$C$8:$C$153,1,0),VLOOKUP(I1844*1,Summary!$C$8:$C$153,1,0)))),"Add account Number to Summary","")</f>
        <v/>
      </c>
      <c r="M1844" s="131" t="str">
        <f t="shared" si="29"/>
        <v/>
      </c>
      <c r="N1844" s="287">
        <f>IF(C1844="Sale",SUMIFS($D$4:D1844,$B$4:B1844,B1844,$C$4:C1844,"")+SUMIFS($D$4:D1844,$B$4:B1844,B1844,$C$4:C1844,"Purch")-SUMIFS($D$4:D1844,$B$4:B1844,B1844,$C$4:C1844,"Sale"),0)</f>
        <v>0</v>
      </c>
    </row>
    <row r="1845" spans="1:14" x14ac:dyDescent="0.2">
      <c r="A1845" s="152"/>
      <c r="B1845" s="132"/>
      <c r="C1845" s="132"/>
      <c r="D1845" s="277"/>
      <c r="E1845" s="132"/>
      <c r="F1845" s="170"/>
      <c r="G1845" s="150"/>
      <c r="H1845" s="152"/>
      <c r="I1845" s="204"/>
      <c r="J1845" s="285"/>
      <c r="K1845" s="251"/>
      <c r="L1845" s="133" t="str">
        <f>IF(AND(I1845&lt;&gt;"",ISERROR(IF(ISERROR(VLOOKUP(I1845*1,Summary!$C$8:$C$153,1,0)),VLOOKUP(I1845,Summary!$C$8:$C$153,1,0),VLOOKUP(I1845*1,Summary!$C$8:$C$153,1,0)))),"Add account Number to Summary","")</f>
        <v/>
      </c>
      <c r="M1845" s="131" t="str">
        <f t="shared" si="29"/>
        <v/>
      </c>
      <c r="N1845" s="287">
        <f>IF(C1845="Sale",SUMIFS($D$4:D1845,$B$4:B1845,B1845,$C$4:C1845,"")+SUMIFS($D$4:D1845,$B$4:B1845,B1845,$C$4:C1845,"Purch")-SUMIFS($D$4:D1845,$B$4:B1845,B1845,$C$4:C1845,"Sale"),0)</f>
        <v>0</v>
      </c>
    </row>
    <row r="1846" spans="1:14" x14ac:dyDescent="0.2">
      <c r="A1846" s="152"/>
      <c r="B1846" s="132"/>
      <c r="C1846" s="132"/>
      <c r="D1846" s="277"/>
      <c r="E1846" s="132"/>
      <c r="F1846" s="170"/>
      <c r="G1846" s="150"/>
      <c r="H1846" s="152"/>
      <c r="I1846" s="204"/>
      <c r="J1846" s="285"/>
      <c r="K1846" s="251"/>
      <c r="L1846" s="133" t="str">
        <f>IF(AND(I1846&lt;&gt;"",ISERROR(IF(ISERROR(VLOOKUP(I1846*1,Summary!$C$8:$C$153,1,0)),VLOOKUP(I1846,Summary!$C$8:$C$153,1,0),VLOOKUP(I1846*1,Summary!$C$8:$C$153,1,0)))),"Add account Number to Summary","")</f>
        <v/>
      </c>
      <c r="M1846" s="131" t="str">
        <f t="shared" si="29"/>
        <v/>
      </c>
      <c r="N1846" s="287">
        <f>IF(C1846="Sale",SUMIFS($D$4:D1846,$B$4:B1846,B1846,$C$4:C1846,"")+SUMIFS($D$4:D1846,$B$4:B1846,B1846,$C$4:C1846,"Purch")-SUMIFS($D$4:D1846,$B$4:B1846,B1846,$C$4:C1846,"Sale"),0)</f>
        <v>0</v>
      </c>
    </row>
    <row r="1847" spans="1:14" x14ac:dyDescent="0.2">
      <c r="A1847" s="152"/>
      <c r="B1847" s="132"/>
      <c r="C1847" s="132"/>
      <c r="D1847" s="277"/>
      <c r="E1847" s="132"/>
      <c r="F1847" s="170"/>
      <c r="G1847" s="150"/>
      <c r="H1847" s="152"/>
      <c r="I1847" s="204"/>
      <c r="J1847" s="285"/>
      <c r="K1847" s="251"/>
      <c r="L1847" s="133" t="str">
        <f>IF(AND(I1847&lt;&gt;"",ISERROR(IF(ISERROR(VLOOKUP(I1847*1,Summary!$C$8:$C$153,1,0)),VLOOKUP(I1847,Summary!$C$8:$C$153,1,0),VLOOKUP(I1847*1,Summary!$C$8:$C$153,1,0)))),"Add account Number to Summary","")</f>
        <v/>
      </c>
      <c r="M1847" s="131" t="str">
        <f t="shared" si="29"/>
        <v/>
      </c>
      <c r="N1847" s="287">
        <f>IF(C1847="Sale",SUMIFS($D$4:D1847,$B$4:B1847,B1847,$C$4:C1847,"")+SUMIFS($D$4:D1847,$B$4:B1847,B1847,$C$4:C1847,"Purch")-SUMIFS($D$4:D1847,$B$4:B1847,B1847,$C$4:C1847,"Sale"),0)</f>
        <v>0</v>
      </c>
    </row>
    <row r="1848" spans="1:14" x14ac:dyDescent="0.2">
      <c r="A1848" s="152"/>
      <c r="B1848" s="132"/>
      <c r="C1848" s="132"/>
      <c r="D1848" s="277"/>
      <c r="E1848" s="132"/>
      <c r="F1848" s="170"/>
      <c r="G1848" s="150"/>
      <c r="H1848" s="152"/>
      <c r="I1848" s="204"/>
      <c r="J1848" s="285"/>
      <c r="K1848" s="251"/>
      <c r="L1848" s="133" t="str">
        <f>IF(AND(I1848&lt;&gt;"",ISERROR(IF(ISERROR(VLOOKUP(I1848*1,Summary!$C$8:$C$153,1,0)),VLOOKUP(I1848,Summary!$C$8:$C$153,1,0),VLOOKUP(I1848*1,Summary!$C$8:$C$153,1,0)))),"Add account Number to Summary","")</f>
        <v/>
      </c>
      <c r="M1848" s="131" t="str">
        <f t="shared" si="29"/>
        <v/>
      </c>
      <c r="N1848" s="287">
        <f>IF(C1848="Sale",SUMIFS($D$4:D1848,$B$4:B1848,B1848,$C$4:C1848,"")+SUMIFS($D$4:D1848,$B$4:B1848,B1848,$C$4:C1848,"Purch")-SUMIFS($D$4:D1848,$B$4:B1848,B1848,$C$4:C1848,"Sale"),0)</f>
        <v>0</v>
      </c>
    </row>
    <row r="1849" spans="1:14" x14ac:dyDescent="0.2">
      <c r="A1849" s="152"/>
      <c r="B1849" s="132"/>
      <c r="C1849" s="132"/>
      <c r="D1849" s="277"/>
      <c r="E1849" s="132"/>
      <c r="F1849" s="170"/>
      <c r="G1849" s="150"/>
      <c r="H1849" s="152"/>
      <c r="I1849" s="204"/>
      <c r="J1849" s="285"/>
      <c r="K1849" s="251"/>
      <c r="L1849" s="133" t="str">
        <f>IF(AND(I1849&lt;&gt;"",ISERROR(IF(ISERROR(VLOOKUP(I1849*1,Summary!$C$8:$C$153,1,0)),VLOOKUP(I1849,Summary!$C$8:$C$153,1,0),VLOOKUP(I1849*1,Summary!$C$8:$C$153,1,0)))),"Add account Number to Summary","")</f>
        <v/>
      </c>
      <c r="M1849" s="131" t="str">
        <f t="shared" si="29"/>
        <v/>
      </c>
      <c r="N1849" s="287">
        <f>IF(C1849="Sale",SUMIFS($D$4:D1849,$B$4:B1849,B1849,$C$4:C1849,"")+SUMIFS($D$4:D1849,$B$4:B1849,B1849,$C$4:C1849,"Purch")-SUMIFS($D$4:D1849,$B$4:B1849,B1849,$C$4:C1849,"Sale"),0)</f>
        <v>0</v>
      </c>
    </row>
    <row r="1850" spans="1:14" x14ac:dyDescent="0.2">
      <c r="A1850" s="152"/>
      <c r="B1850" s="132"/>
      <c r="C1850" s="132"/>
      <c r="D1850" s="277"/>
      <c r="E1850" s="132"/>
      <c r="F1850" s="170"/>
      <c r="G1850" s="150"/>
      <c r="H1850" s="152"/>
      <c r="I1850" s="204"/>
      <c r="J1850" s="285"/>
      <c r="K1850" s="251"/>
      <c r="L1850" s="133" t="str">
        <f>IF(AND(I1850&lt;&gt;"",ISERROR(IF(ISERROR(VLOOKUP(I1850*1,Summary!$C$8:$C$153,1,0)),VLOOKUP(I1850,Summary!$C$8:$C$153,1,0),VLOOKUP(I1850*1,Summary!$C$8:$C$153,1,0)))),"Add account Number to Summary","")</f>
        <v/>
      </c>
      <c r="M1850" s="131" t="str">
        <f t="shared" si="29"/>
        <v/>
      </c>
      <c r="N1850" s="287">
        <f>IF(C1850="Sale",SUMIFS($D$4:D1850,$B$4:B1850,B1850,$C$4:C1850,"")+SUMIFS($D$4:D1850,$B$4:B1850,B1850,$C$4:C1850,"Purch")-SUMIFS($D$4:D1850,$B$4:B1850,B1850,$C$4:C1850,"Sale"),0)</f>
        <v>0</v>
      </c>
    </row>
    <row r="1851" spans="1:14" x14ac:dyDescent="0.2">
      <c r="A1851" s="152"/>
      <c r="B1851" s="132"/>
      <c r="C1851" s="132"/>
      <c r="D1851" s="277"/>
      <c r="E1851" s="132"/>
      <c r="F1851" s="170"/>
      <c r="G1851" s="150"/>
      <c r="H1851" s="152"/>
      <c r="I1851" s="204"/>
      <c r="J1851" s="285"/>
      <c r="K1851" s="251"/>
      <c r="L1851" s="133" t="str">
        <f>IF(AND(I1851&lt;&gt;"",ISERROR(IF(ISERROR(VLOOKUP(I1851*1,Summary!$C$8:$C$153,1,0)),VLOOKUP(I1851,Summary!$C$8:$C$153,1,0),VLOOKUP(I1851*1,Summary!$C$8:$C$153,1,0)))),"Add account Number to Summary","")</f>
        <v/>
      </c>
      <c r="M1851" s="131" t="str">
        <f t="shared" si="29"/>
        <v/>
      </c>
      <c r="N1851" s="287">
        <f>IF(C1851="Sale",SUMIFS($D$4:D1851,$B$4:B1851,B1851,$C$4:C1851,"")+SUMIFS($D$4:D1851,$B$4:B1851,B1851,$C$4:C1851,"Purch")-SUMIFS($D$4:D1851,$B$4:B1851,B1851,$C$4:C1851,"Sale"),0)</f>
        <v>0</v>
      </c>
    </row>
    <row r="1852" spans="1:14" x14ac:dyDescent="0.2">
      <c r="A1852" s="152"/>
      <c r="B1852" s="132"/>
      <c r="C1852" s="132"/>
      <c r="D1852" s="277"/>
      <c r="E1852" s="132"/>
      <c r="F1852" s="170"/>
      <c r="G1852" s="150"/>
      <c r="H1852" s="152"/>
      <c r="I1852" s="204"/>
      <c r="J1852" s="285"/>
      <c r="K1852" s="251"/>
      <c r="L1852" s="133" t="str">
        <f>IF(AND(I1852&lt;&gt;"",ISERROR(IF(ISERROR(VLOOKUP(I1852*1,Summary!$C$8:$C$153,1,0)),VLOOKUP(I1852,Summary!$C$8:$C$153,1,0),VLOOKUP(I1852*1,Summary!$C$8:$C$153,1,0)))),"Add account Number to Summary","")</f>
        <v/>
      </c>
      <c r="M1852" s="131" t="str">
        <f t="shared" si="29"/>
        <v/>
      </c>
      <c r="N1852" s="287">
        <f>IF(C1852="Sale",SUMIFS($D$4:D1852,$B$4:B1852,B1852,$C$4:C1852,"")+SUMIFS($D$4:D1852,$B$4:B1852,B1852,$C$4:C1852,"Purch")-SUMIFS($D$4:D1852,$B$4:B1852,B1852,$C$4:C1852,"Sale"),0)</f>
        <v>0</v>
      </c>
    </row>
    <row r="1853" spans="1:14" x14ac:dyDescent="0.2">
      <c r="A1853" s="152"/>
      <c r="B1853" s="132"/>
      <c r="C1853" s="132"/>
      <c r="D1853" s="277"/>
      <c r="E1853" s="132"/>
      <c r="F1853" s="170"/>
      <c r="G1853" s="150"/>
      <c r="H1853" s="152"/>
      <c r="I1853" s="204"/>
      <c r="J1853" s="285"/>
      <c r="K1853" s="251"/>
      <c r="L1853" s="133" t="str">
        <f>IF(AND(I1853&lt;&gt;"",ISERROR(IF(ISERROR(VLOOKUP(I1853*1,Summary!$C$8:$C$153,1,0)),VLOOKUP(I1853,Summary!$C$8:$C$153,1,0),VLOOKUP(I1853*1,Summary!$C$8:$C$153,1,0)))),"Add account Number to Summary","")</f>
        <v/>
      </c>
      <c r="M1853" s="131" t="str">
        <f t="shared" si="29"/>
        <v/>
      </c>
      <c r="N1853" s="287">
        <f>IF(C1853="Sale",SUMIFS($D$4:D1853,$B$4:B1853,B1853,$C$4:C1853,"")+SUMIFS($D$4:D1853,$B$4:B1853,B1853,$C$4:C1853,"Purch")-SUMIFS($D$4:D1853,$B$4:B1853,B1853,$C$4:C1853,"Sale"),0)</f>
        <v>0</v>
      </c>
    </row>
    <row r="1854" spans="1:14" x14ac:dyDescent="0.2">
      <c r="A1854" s="152"/>
      <c r="B1854" s="132"/>
      <c r="C1854" s="132"/>
      <c r="D1854" s="277"/>
      <c r="E1854" s="132"/>
      <c r="F1854" s="170"/>
      <c r="G1854" s="150"/>
      <c r="H1854" s="152"/>
      <c r="I1854" s="204"/>
      <c r="J1854" s="285"/>
      <c r="K1854" s="251"/>
      <c r="L1854" s="133" t="str">
        <f>IF(AND(I1854&lt;&gt;"",ISERROR(IF(ISERROR(VLOOKUP(I1854*1,Summary!$C$8:$C$153,1,0)),VLOOKUP(I1854,Summary!$C$8:$C$153,1,0),VLOOKUP(I1854*1,Summary!$C$8:$C$153,1,0)))),"Add account Number to Summary","")</f>
        <v/>
      </c>
      <c r="M1854" s="131" t="str">
        <f t="shared" si="29"/>
        <v/>
      </c>
      <c r="N1854" s="287">
        <f>IF(C1854="Sale",SUMIFS($D$4:D1854,$B$4:B1854,B1854,$C$4:C1854,"")+SUMIFS($D$4:D1854,$B$4:B1854,B1854,$C$4:C1854,"Purch")-SUMIFS($D$4:D1854,$B$4:B1854,B1854,$C$4:C1854,"Sale"),0)</f>
        <v>0</v>
      </c>
    </row>
    <row r="1855" spans="1:14" x14ac:dyDescent="0.2">
      <c r="A1855" s="152"/>
      <c r="B1855" s="132"/>
      <c r="C1855" s="132"/>
      <c r="D1855" s="277"/>
      <c r="E1855" s="132"/>
      <c r="F1855" s="170"/>
      <c r="G1855" s="150"/>
      <c r="H1855" s="152"/>
      <c r="I1855" s="204"/>
      <c r="J1855" s="285"/>
      <c r="K1855" s="251"/>
      <c r="L1855" s="133" t="str">
        <f>IF(AND(I1855&lt;&gt;"",ISERROR(IF(ISERROR(VLOOKUP(I1855*1,Summary!$C$8:$C$153,1,0)),VLOOKUP(I1855,Summary!$C$8:$C$153,1,0),VLOOKUP(I1855*1,Summary!$C$8:$C$153,1,0)))),"Add account Number to Summary","")</f>
        <v/>
      </c>
      <c r="M1855" s="131" t="str">
        <f t="shared" si="29"/>
        <v/>
      </c>
      <c r="N1855" s="287">
        <f>IF(C1855="Sale",SUMIFS($D$4:D1855,$B$4:B1855,B1855,$C$4:C1855,"")+SUMIFS($D$4:D1855,$B$4:B1855,B1855,$C$4:C1855,"Purch")-SUMIFS($D$4:D1855,$B$4:B1855,B1855,$C$4:C1855,"Sale"),0)</f>
        <v>0</v>
      </c>
    </row>
    <row r="1856" spans="1:14" x14ac:dyDescent="0.2">
      <c r="A1856" s="152"/>
      <c r="B1856" s="132"/>
      <c r="C1856" s="132"/>
      <c r="D1856" s="277"/>
      <c r="E1856" s="132"/>
      <c r="F1856" s="170"/>
      <c r="G1856" s="150"/>
      <c r="H1856" s="152"/>
      <c r="I1856" s="204"/>
      <c r="J1856" s="285"/>
      <c r="K1856" s="251"/>
      <c r="L1856" s="133" t="str">
        <f>IF(AND(I1856&lt;&gt;"",ISERROR(IF(ISERROR(VLOOKUP(I1856*1,Summary!$C$8:$C$153,1,0)),VLOOKUP(I1856,Summary!$C$8:$C$153,1,0),VLOOKUP(I1856*1,Summary!$C$8:$C$153,1,0)))),"Add account Number to Summary","")</f>
        <v/>
      </c>
      <c r="M1856" s="131" t="str">
        <f t="shared" si="29"/>
        <v/>
      </c>
      <c r="N1856" s="287">
        <f>IF(C1856="Sale",SUMIFS($D$4:D1856,$B$4:B1856,B1856,$C$4:C1856,"")+SUMIFS($D$4:D1856,$B$4:B1856,B1856,$C$4:C1856,"Purch")-SUMIFS($D$4:D1856,$B$4:B1856,B1856,$C$4:C1856,"Sale"),0)</f>
        <v>0</v>
      </c>
    </row>
    <row r="1857" spans="1:14" x14ac:dyDescent="0.2">
      <c r="A1857" s="152"/>
      <c r="B1857" s="132"/>
      <c r="C1857" s="132"/>
      <c r="D1857" s="277"/>
      <c r="E1857" s="132"/>
      <c r="F1857" s="170"/>
      <c r="G1857" s="150"/>
      <c r="H1857" s="152"/>
      <c r="I1857" s="204"/>
      <c r="J1857" s="285"/>
      <c r="K1857" s="251"/>
      <c r="L1857" s="133" t="str">
        <f>IF(AND(I1857&lt;&gt;"",ISERROR(IF(ISERROR(VLOOKUP(I1857*1,Summary!$C$8:$C$153,1,0)),VLOOKUP(I1857,Summary!$C$8:$C$153,1,0),VLOOKUP(I1857*1,Summary!$C$8:$C$153,1,0)))),"Add account Number to Summary","")</f>
        <v/>
      </c>
      <c r="M1857" s="131" t="str">
        <f t="shared" si="29"/>
        <v/>
      </c>
      <c r="N1857" s="287">
        <f>IF(C1857="Sale",SUMIFS($D$4:D1857,$B$4:B1857,B1857,$C$4:C1857,"")+SUMIFS($D$4:D1857,$B$4:B1857,B1857,$C$4:C1857,"Purch")-SUMIFS($D$4:D1857,$B$4:B1857,B1857,$C$4:C1857,"Sale"),0)</f>
        <v>0</v>
      </c>
    </row>
    <row r="1858" spans="1:14" x14ac:dyDescent="0.2">
      <c r="A1858" s="152"/>
      <c r="B1858" s="132"/>
      <c r="C1858" s="132"/>
      <c r="D1858" s="277"/>
      <c r="E1858" s="132"/>
      <c r="F1858" s="170"/>
      <c r="G1858" s="150"/>
      <c r="H1858" s="152"/>
      <c r="I1858" s="204"/>
      <c r="J1858" s="285"/>
      <c r="K1858" s="251"/>
      <c r="L1858" s="133" t="str">
        <f>IF(AND(I1858&lt;&gt;"",ISERROR(IF(ISERROR(VLOOKUP(I1858*1,Summary!$C$8:$C$153,1,0)),VLOOKUP(I1858,Summary!$C$8:$C$153,1,0),VLOOKUP(I1858*1,Summary!$C$8:$C$153,1,0)))),"Add account Number to Summary","")</f>
        <v/>
      </c>
      <c r="M1858" s="131" t="str">
        <f t="shared" si="29"/>
        <v/>
      </c>
      <c r="N1858" s="287">
        <f>IF(C1858="Sale",SUMIFS($D$4:D1858,$B$4:B1858,B1858,$C$4:C1858,"")+SUMIFS($D$4:D1858,$B$4:B1858,B1858,$C$4:C1858,"Purch")-SUMIFS($D$4:D1858,$B$4:B1858,B1858,$C$4:C1858,"Sale"),0)</f>
        <v>0</v>
      </c>
    </row>
    <row r="1859" spans="1:14" x14ac:dyDescent="0.2">
      <c r="A1859" s="152"/>
      <c r="B1859" s="132"/>
      <c r="C1859" s="132"/>
      <c r="D1859" s="277"/>
      <c r="E1859" s="132"/>
      <c r="F1859" s="170"/>
      <c r="G1859" s="150"/>
      <c r="H1859" s="152"/>
      <c r="I1859" s="204"/>
      <c r="J1859" s="285"/>
      <c r="K1859" s="251"/>
      <c r="L1859" s="133" t="str">
        <f>IF(AND(I1859&lt;&gt;"",ISERROR(IF(ISERROR(VLOOKUP(I1859*1,Summary!$C$8:$C$153,1,0)),VLOOKUP(I1859,Summary!$C$8:$C$153,1,0),VLOOKUP(I1859*1,Summary!$C$8:$C$153,1,0)))),"Add account Number to Summary","")</f>
        <v/>
      </c>
      <c r="M1859" s="131" t="str">
        <f t="shared" si="29"/>
        <v/>
      </c>
      <c r="N1859" s="287">
        <f>IF(C1859="Sale",SUMIFS($D$4:D1859,$B$4:B1859,B1859,$C$4:C1859,"")+SUMIFS($D$4:D1859,$B$4:B1859,B1859,$C$4:C1859,"Purch")-SUMIFS($D$4:D1859,$B$4:B1859,B1859,$C$4:C1859,"Sale"),0)</f>
        <v>0</v>
      </c>
    </row>
    <row r="1860" spans="1:14" x14ac:dyDescent="0.2">
      <c r="A1860" s="152"/>
      <c r="B1860" s="132"/>
      <c r="C1860" s="132"/>
      <c r="D1860" s="277"/>
      <c r="E1860" s="132"/>
      <c r="F1860" s="170"/>
      <c r="G1860" s="150"/>
      <c r="H1860" s="152"/>
      <c r="I1860" s="204"/>
      <c r="J1860" s="285"/>
      <c r="K1860" s="251"/>
      <c r="L1860" s="133" t="str">
        <f>IF(AND(I1860&lt;&gt;"",ISERROR(IF(ISERROR(VLOOKUP(I1860*1,Summary!$C$8:$C$153,1,0)),VLOOKUP(I1860,Summary!$C$8:$C$153,1,0),VLOOKUP(I1860*1,Summary!$C$8:$C$153,1,0)))),"Add account Number to Summary","")</f>
        <v/>
      </c>
      <c r="M1860" s="131" t="str">
        <f t="shared" si="29"/>
        <v/>
      </c>
      <c r="N1860" s="287">
        <f>IF(C1860="Sale",SUMIFS($D$4:D1860,$B$4:B1860,B1860,$C$4:C1860,"")+SUMIFS($D$4:D1860,$B$4:B1860,B1860,$C$4:C1860,"Purch")-SUMIFS($D$4:D1860,$B$4:B1860,B1860,$C$4:C1860,"Sale"),0)</f>
        <v>0</v>
      </c>
    </row>
    <row r="1861" spans="1:14" x14ac:dyDescent="0.2">
      <c r="A1861" s="152"/>
      <c r="B1861" s="132"/>
      <c r="C1861" s="132"/>
      <c r="D1861" s="277"/>
      <c r="E1861" s="132"/>
      <c r="F1861" s="170"/>
      <c r="G1861" s="150"/>
      <c r="H1861" s="152"/>
      <c r="I1861" s="204"/>
      <c r="J1861" s="285"/>
      <c r="K1861" s="251"/>
      <c r="L1861" s="133" t="str">
        <f>IF(AND(I1861&lt;&gt;"",ISERROR(IF(ISERROR(VLOOKUP(I1861*1,Summary!$C$8:$C$153,1,0)),VLOOKUP(I1861,Summary!$C$8:$C$153,1,0),VLOOKUP(I1861*1,Summary!$C$8:$C$153,1,0)))),"Add account Number to Summary","")</f>
        <v/>
      </c>
      <c r="M1861" s="131" t="str">
        <f t="shared" si="29"/>
        <v/>
      </c>
      <c r="N1861" s="287">
        <f>IF(C1861="Sale",SUMIFS($D$4:D1861,$B$4:B1861,B1861,$C$4:C1861,"")+SUMIFS($D$4:D1861,$B$4:B1861,B1861,$C$4:C1861,"Purch")-SUMIFS($D$4:D1861,$B$4:B1861,B1861,$C$4:C1861,"Sale"),0)</f>
        <v>0</v>
      </c>
    </row>
    <row r="1862" spans="1:14" x14ac:dyDescent="0.2">
      <c r="A1862" s="152"/>
      <c r="B1862" s="132"/>
      <c r="C1862" s="132"/>
      <c r="D1862" s="277"/>
      <c r="E1862" s="132"/>
      <c r="F1862" s="170"/>
      <c r="G1862" s="150"/>
      <c r="H1862" s="152"/>
      <c r="I1862" s="204"/>
      <c r="J1862" s="285"/>
      <c r="K1862" s="251"/>
      <c r="L1862" s="133" t="str">
        <f>IF(AND(I1862&lt;&gt;"",ISERROR(IF(ISERROR(VLOOKUP(I1862*1,Summary!$C$8:$C$153,1,0)),VLOOKUP(I1862,Summary!$C$8:$C$153,1,0),VLOOKUP(I1862*1,Summary!$C$8:$C$153,1,0)))),"Add account Number to Summary","")</f>
        <v/>
      </c>
      <c r="M1862" s="131" t="str">
        <f t="shared" si="29"/>
        <v/>
      </c>
      <c r="N1862" s="287">
        <f>IF(C1862="Sale",SUMIFS($D$4:D1862,$B$4:B1862,B1862,$C$4:C1862,"")+SUMIFS($D$4:D1862,$B$4:B1862,B1862,$C$4:C1862,"Purch")-SUMIFS($D$4:D1862,$B$4:B1862,B1862,$C$4:C1862,"Sale"),0)</f>
        <v>0</v>
      </c>
    </row>
    <row r="1863" spans="1:14" x14ac:dyDescent="0.2">
      <c r="A1863" s="152"/>
      <c r="B1863" s="132"/>
      <c r="C1863" s="132"/>
      <c r="D1863" s="277"/>
      <c r="E1863" s="132"/>
      <c r="F1863" s="170"/>
      <c r="G1863" s="150"/>
      <c r="H1863" s="152"/>
      <c r="I1863" s="204"/>
      <c r="J1863" s="285"/>
      <c r="K1863" s="251"/>
      <c r="L1863" s="133" t="str">
        <f>IF(AND(I1863&lt;&gt;"",ISERROR(IF(ISERROR(VLOOKUP(I1863*1,Summary!$C$8:$C$153,1,0)),VLOOKUP(I1863,Summary!$C$8:$C$153,1,0),VLOOKUP(I1863*1,Summary!$C$8:$C$153,1,0)))),"Add account Number to Summary","")</f>
        <v/>
      </c>
      <c r="M1863" s="131" t="str">
        <f t="shared" si="29"/>
        <v/>
      </c>
      <c r="N1863" s="287">
        <f>IF(C1863="Sale",SUMIFS($D$4:D1863,$B$4:B1863,B1863,$C$4:C1863,"")+SUMIFS($D$4:D1863,$B$4:B1863,B1863,$C$4:C1863,"Purch")-SUMIFS($D$4:D1863,$B$4:B1863,B1863,$C$4:C1863,"Sale"),0)</f>
        <v>0</v>
      </c>
    </row>
    <row r="1864" spans="1:14" x14ac:dyDescent="0.2">
      <c r="A1864" s="152"/>
      <c r="B1864" s="132"/>
      <c r="C1864" s="132"/>
      <c r="D1864" s="277"/>
      <c r="E1864" s="132"/>
      <c r="F1864" s="170"/>
      <c r="G1864" s="150"/>
      <c r="H1864" s="152"/>
      <c r="I1864" s="204"/>
      <c r="J1864" s="285"/>
      <c r="K1864" s="251"/>
      <c r="L1864" s="133" t="str">
        <f>IF(AND(I1864&lt;&gt;"",ISERROR(IF(ISERROR(VLOOKUP(I1864*1,Summary!$C$8:$C$153,1,0)),VLOOKUP(I1864,Summary!$C$8:$C$153,1,0),VLOOKUP(I1864*1,Summary!$C$8:$C$153,1,0)))),"Add account Number to Summary","")</f>
        <v/>
      </c>
      <c r="M1864" s="131" t="str">
        <f t="shared" si="29"/>
        <v/>
      </c>
      <c r="N1864" s="287">
        <f>IF(C1864="Sale",SUMIFS($D$4:D1864,$B$4:B1864,B1864,$C$4:C1864,"")+SUMIFS($D$4:D1864,$B$4:B1864,B1864,$C$4:C1864,"Purch")-SUMIFS($D$4:D1864,$B$4:B1864,B1864,$C$4:C1864,"Sale"),0)</f>
        <v>0</v>
      </c>
    </row>
    <row r="1865" spans="1:14" x14ac:dyDescent="0.2">
      <c r="A1865" s="152"/>
      <c r="B1865" s="132"/>
      <c r="C1865" s="132"/>
      <c r="D1865" s="277"/>
      <c r="E1865" s="132"/>
      <c r="F1865" s="170"/>
      <c r="G1865" s="150"/>
      <c r="H1865" s="152"/>
      <c r="I1865" s="204"/>
      <c r="J1865" s="285"/>
      <c r="K1865" s="251"/>
      <c r="L1865" s="133" t="str">
        <f>IF(AND(I1865&lt;&gt;"",ISERROR(IF(ISERROR(VLOOKUP(I1865*1,Summary!$C$8:$C$153,1,0)),VLOOKUP(I1865,Summary!$C$8:$C$153,1,0),VLOOKUP(I1865*1,Summary!$C$8:$C$153,1,0)))),"Add account Number to Summary","")</f>
        <v/>
      </c>
      <c r="M1865" s="131" t="str">
        <f t="shared" si="29"/>
        <v/>
      </c>
      <c r="N1865" s="287">
        <f>IF(C1865="Sale",SUMIFS($D$4:D1865,$B$4:B1865,B1865,$C$4:C1865,"")+SUMIFS($D$4:D1865,$B$4:B1865,B1865,$C$4:C1865,"Purch")-SUMIFS($D$4:D1865,$B$4:B1865,B1865,$C$4:C1865,"Sale"),0)</f>
        <v>0</v>
      </c>
    </row>
    <row r="1866" spans="1:14" x14ac:dyDescent="0.2">
      <c r="A1866" s="152"/>
      <c r="B1866" s="132"/>
      <c r="C1866" s="132"/>
      <c r="D1866" s="277"/>
      <c r="E1866" s="132"/>
      <c r="F1866" s="170"/>
      <c r="G1866" s="150"/>
      <c r="H1866" s="152"/>
      <c r="I1866" s="204"/>
      <c r="J1866" s="285"/>
      <c r="K1866" s="251"/>
      <c r="L1866" s="133" t="str">
        <f>IF(AND(I1866&lt;&gt;"",ISERROR(IF(ISERROR(VLOOKUP(I1866*1,Summary!$C$8:$C$153,1,0)),VLOOKUP(I1866,Summary!$C$8:$C$153,1,0),VLOOKUP(I1866*1,Summary!$C$8:$C$153,1,0)))),"Add account Number to Summary","")</f>
        <v/>
      </c>
      <c r="M1866" s="131" t="str">
        <f t="shared" si="29"/>
        <v/>
      </c>
      <c r="N1866" s="287">
        <f>IF(C1866="Sale",SUMIFS($D$4:D1866,$B$4:B1866,B1866,$C$4:C1866,"")+SUMIFS($D$4:D1866,$B$4:B1866,B1866,$C$4:C1866,"Purch")-SUMIFS($D$4:D1866,$B$4:B1866,B1866,$C$4:C1866,"Sale"),0)</f>
        <v>0</v>
      </c>
    </row>
    <row r="1867" spans="1:14" x14ac:dyDescent="0.2">
      <c r="A1867" s="152"/>
      <c r="B1867" s="132"/>
      <c r="C1867" s="132"/>
      <c r="D1867" s="277"/>
      <c r="E1867" s="132"/>
      <c r="F1867" s="170"/>
      <c r="G1867" s="150"/>
      <c r="H1867" s="152"/>
      <c r="I1867" s="204"/>
      <c r="J1867" s="285"/>
      <c r="K1867" s="251"/>
      <c r="L1867" s="133" t="str">
        <f>IF(AND(I1867&lt;&gt;"",ISERROR(IF(ISERROR(VLOOKUP(I1867*1,Summary!$C$8:$C$153,1,0)),VLOOKUP(I1867,Summary!$C$8:$C$153,1,0),VLOOKUP(I1867*1,Summary!$C$8:$C$153,1,0)))),"Add account Number to Summary","")</f>
        <v/>
      </c>
      <c r="M1867" s="131" t="str">
        <f t="shared" si="29"/>
        <v/>
      </c>
      <c r="N1867" s="287">
        <f>IF(C1867="Sale",SUMIFS($D$4:D1867,$B$4:B1867,B1867,$C$4:C1867,"")+SUMIFS($D$4:D1867,$B$4:B1867,B1867,$C$4:C1867,"Purch")-SUMIFS($D$4:D1867,$B$4:B1867,B1867,$C$4:C1867,"Sale"),0)</f>
        <v>0</v>
      </c>
    </row>
    <row r="1868" spans="1:14" x14ac:dyDescent="0.2">
      <c r="A1868" s="152"/>
      <c r="B1868" s="132"/>
      <c r="C1868" s="132"/>
      <c r="D1868" s="277"/>
      <c r="E1868" s="132"/>
      <c r="F1868" s="170"/>
      <c r="G1868" s="150"/>
      <c r="H1868" s="152"/>
      <c r="I1868" s="204"/>
      <c r="J1868" s="285"/>
      <c r="K1868" s="251"/>
      <c r="L1868" s="133" t="str">
        <f>IF(AND(I1868&lt;&gt;"",ISERROR(IF(ISERROR(VLOOKUP(I1868*1,Summary!$C$8:$C$153,1,0)),VLOOKUP(I1868,Summary!$C$8:$C$153,1,0),VLOOKUP(I1868*1,Summary!$C$8:$C$153,1,0)))),"Add account Number to Summary","")</f>
        <v/>
      </c>
      <c r="M1868" s="131" t="str">
        <f t="shared" si="29"/>
        <v/>
      </c>
      <c r="N1868" s="287">
        <f>IF(C1868="Sale",SUMIFS($D$4:D1868,$B$4:B1868,B1868,$C$4:C1868,"")+SUMIFS($D$4:D1868,$B$4:B1868,B1868,$C$4:C1868,"Purch")-SUMIFS($D$4:D1868,$B$4:B1868,B1868,$C$4:C1868,"Sale"),0)</f>
        <v>0</v>
      </c>
    </row>
    <row r="1869" spans="1:14" x14ac:dyDescent="0.2">
      <c r="A1869" s="152"/>
      <c r="B1869" s="132"/>
      <c r="C1869" s="132"/>
      <c r="D1869" s="277"/>
      <c r="E1869" s="132"/>
      <c r="F1869" s="170"/>
      <c r="G1869" s="150"/>
      <c r="H1869" s="152"/>
      <c r="I1869" s="204"/>
      <c r="J1869" s="285"/>
      <c r="K1869" s="251"/>
      <c r="L1869" s="133" t="str">
        <f>IF(AND(I1869&lt;&gt;"",ISERROR(IF(ISERROR(VLOOKUP(I1869*1,Summary!$C$8:$C$153,1,0)),VLOOKUP(I1869,Summary!$C$8:$C$153,1,0),VLOOKUP(I1869*1,Summary!$C$8:$C$153,1,0)))),"Add account Number to Summary","")</f>
        <v/>
      </c>
      <c r="M1869" s="131" t="str">
        <f t="shared" si="29"/>
        <v/>
      </c>
      <c r="N1869" s="287">
        <f>IF(C1869="Sale",SUMIFS($D$4:D1869,$B$4:B1869,B1869,$C$4:C1869,"")+SUMIFS($D$4:D1869,$B$4:B1869,B1869,$C$4:C1869,"Purch")-SUMIFS($D$4:D1869,$B$4:B1869,B1869,$C$4:C1869,"Sale"),0)</f>
        <v>0</v>
      </c>
    </row>
    <row r="1870" spans="1:14" x14ac:dyDescent="0.2">
      <c r="A1870" s="152"/>
      <c r="B1870" s="132"/>
      <c r="C1870" s="132"/>
      <c r="D1870" s="277"/>
      <c r="E1870" s="132"/>
      <c r="F1870" s="170"/>
      <c r="G1870" s="150"/>
      <c r="H1870" s="152"/>
      <c r="I1870" s="204"/>
      <c r="J1870" s="285"/>
      <c r="K1870" s="251"/>
      <c r="L1870" s="133" t="str">
        <f>IF(AND(I1870&lt;&gt;"",ISERROR(IF(ISERROR(VLOOKUP(I1870*1,Summary!$C$8:$C$153,1,0)),VLOOKUP(I1870,Summary!$C$8:$C$153,1,0),VLOOKUP(I1870*1,Summary!$C$8:$C$153,1,0)))),"Add account Number to Summary","")</f>
        <v/>
      </c>
      <c r="M1870" s="131" t="str">
        <f t="shared" si="29"/>
        <v/>
      </c>
      <c r="N1870" s="287">
        <f>IF(C1870="Sale",SUMIFS($D$4:D1870,$B$4:B1870,B1870,$C$4:C1870,"")+SUMIFS($D$4:D1870,$B$4:B1870,B1870,$C$4:C1870,"Purch")-SUMIFS($D$4:D1870,$B$4:B1870,B1870,$C$4:C1870,"Sale"),0)</f>
        <v>0</v>
      </c>
    </row>
    <row r="1871" spans="1:14" x14ac:dyDescent="0.2">
      <c r="A1871" s="152"/>
      <c r="B1871" s="132"/>
      <c r="C1871" s="132"/>
      <c r="D1871" s="277"/>
      <c r="E1871" s="132"/>
      <c r="F1871" s="170"/>
      <c r="G1871" s="150"/>
      <c r="H1871" s="152"/>
      <c r="I1871" s="204"/>
      <c r="J1871" s="285"/>
      <c r="K1871" s="251"/>
      <c r="L1871" s="133" t="str">
        <f>IF(AND(I1871&lt;&gt;"",ISERROR(IF(ISERROR(VLOOKUP(I1871*1,Summary!$C$8:$C$153,1,0)),VLOOKUP(I1871,Summary!$C$8:$C$153,1,0),VLOOKUP(I1871*1,Summary!$C$8:$C$153,1,0)))),"Add account Number to Summary","")</f>
        <v/>
      </c>
      <c r="M1871" s="131" t="str">
        <f t="shared" si="29"/>
        <v/>
      </c>
      <c r="N1871" s="287">
        <f>IF(C1871="Sale",SUMIFS($D$4:D1871,$B$4:B1871,B1871,$C$4:C1871,"")+SUMIFS($D$4:D1871,$B$4:B1871,B1871,$C$4:C1871,"Purch")-SUMIFS($D$4:D1871,$B$4:B1871,B1871,$C$4:C1871,"Sale"),0)</f>
        <v>0</v>
      </c>
    </row>
    <row r="1872" spans="1:14" x14ac:dyDescent="0.2">
      <c r="A1872" s="152"/>
      <c r="B1872" s="132"/>
      <c r="C1872" s="132"/>
      <c r="D1872" s="277"/>
      <c r="E1872" s="132"/>
      <c r="F1872" s="170"/>
      <c r="G1872" s="150"/>
      <c r="H1872" s="152"/>
      <c r="I1872" s="204"/>
      <c r="J1872" s="285"/>
      <c r="K1872" s="251"/>
      <c r="L1872" s="133" t="str">
        <f>IF(AND(I1872&lt;&gt;"",ISERROR(IF(ISERROR(VLOOKUP(I1872*1,Summary!$C$8:$C$153,1,0)),VLOOKUP(I1872,Summary!$C$8:$C$153,1,0),VLOOKUP(I1872*1,Summary!$C$8:$C$153,1,0)))),"Add account Number to Summary","")</f>
        <v/>
      </c>
      <c r="M1872" s="131" t="str">
        <f t="shared" si="29"/>
        <v/>
      </c>
      <c r="N1872" s="287">
        <f>IF(C1872="Sale",SUMIFS($D$4:D1872,$B$4:B1872,B1872,$C$4:C1872,"")+SUMIFS($D$4:D1872,$B$4:B1872,B1872,$C$4:C1872,"Purch")-SUMIFS($D$4:D1872,$B$4:B1872,B1872,$C$4:C1872,"Sale"),0)</f>
        <v>0</v>
      </c>
    </row>
    <row r="1873" spans="1:14" x14ac:dyDescent="0.2">
      <c r="A1873" s="152"/>
      <c r="B1873" s="132"/>
      <c r="C1873" s="132"/>
      <c r="D1873" s="277"/>
      <c r="E1873" s="132"/>
      <c r="F1873" s="170"/>
      <c r="G1873" s="150"/>
      <c r="H1873" s="152"/>
      <c r="I1873" s="204"/>
      <c r="J1873" s="285"/>
      <c r="K1873" s="251"/>
      <c r="L1873" s="133" t="str">
        <f>IF(AND(I1873&lt;&gt;"",ISERROR(IF(ISERROR(VLOOKUP(I1873*1,Summary!$C$8:$C$153,1,0)),VLOOKUP(I1873,Summary!$C$8:$C$153,1,0),VLOOKUP(I1873*1,Summary!$C$8:$C$153,1,0)))),"Add account Number to Summary","")</f>
        <v/>
      </c>
      <c r="M1873" s="131" t="str">
        <f t="shared" si="29"/>
        <v/>
      </c>
      <c r="N1873" s="287">
        <f>IF(C1873="Sale",SUMIFS($D$4:D1873,$B$4:B1873,B1873,$C$4:C1873,"")+SUMIFS($D$4:D1873,$B$4:B1873,B1873,$C$4:C1873,"Purch")-SUMIFS($D$4:D1873,$B$4:B1873,B1873,$C$4:C1873,"Sale"),0)</f>
        <v>0</v>
      </c>
    </row>
    <row r="1874" spans="1:14" x14ac:dyDescent="0.2">
      <c r="A1874" s="152"/>
      <c r="B1874" s="132"/>
      <c r="C1874" s="132"/>
      <c r="D1874" s="277"/>
      <c r="E1874" s="132"/>
      <c r="F1874" s="170"/>
      <c r="G1874" s="150"/>
      <c r="H1874" s="152"/>
      <c r="I1874" s="204"/>
      <c r="J1874" s="285"/>
      <c r="K1874" s="251"/>
      <c r="L1874" s="133" t="str">
        <f>IF(AND(I1874&lt;&gt;"",ISERROR(IF(ISERROR(VLOOKUP(I1874*1,Summary!$C$8:$C$153,1,0)),VLOOKUP(I1874,Summary!$C$8:$C$153,1,0),VLOOKUP(I1874*1,Summary!$C$8:$C$153,1,0)))),"Add account Number to Summary","")</f>
        <v/>
      </c>
      <c r="M1874" s="131" t="str">
        <f t="shared" si="29"/>
        <v/>
      </c>
      <c r="N1874" s="287">
        <f>IF(C1874="Sale",SUMIFS($D$4:D1874,$B$4:B1874,B1874,$C$4:C1874,"")+SUMIFS($D$4:D1874,$B$4:B1874,B1874,$C$4:C1874,"Purch")-SUMIFS($D$4:D1874,$B$4:B1874,B1874,$C$4:C1874,"Sale"),0)</f>
        <v>0</v>
      </c>
    </row>
    <row r="1875" spans="1:14" x14ac:dyDescent="0.2">
      <c r="A1875" s="152"/>
      <c r="B1875" s="132"/>
      <c r="C1875" s="132"/>
      <c r="D1875" s="277"/>
      <c r="E1875" s="132"/>
      <c r="F1875" s="170"/>
      <c r="G1875" s="150"/>
      <c r="H1875" s="152"/>
      <c r="I1875" s="204"/>
      <c r="J1875" s="285"/>
      <c r="K1875" s="251"/>
      <c r="L1875" s="133" t="str">
        <f>IF(AND(I1875&lt;&gt;"",ISERROR(IF(ISERROR(VLOOKUP(I1875*1,Summary!$C$8:$C$153,1,0)),VLOOKUP(I1875,Summary!$C$8:$C$153,1,0),VLOOKUP(I1875*1,Summary!$C$8:$C$153,1,0)))),"Add account Number to Summary","")</f>
        <v/>
      </c>
      <c r="M1875" s="131" t="str">
        <f t="shared" si="29"/>
        <v/>
      </c>
      <c r="N1875" s="287">
        <f>IF(C1875="Sale",SUMIFS($D$4:D1875,$B$4:B1875,B1875,$C$4:C1875,"")+SUMIFS($D$4:D1875,$B$4:B1875,B1875,$C$4:C1875,"Purch")-SUMIFS($D$4:D1875,$B$4:B1875,B1875,$C$4:C1875,"Sale"),0)</f>
        <v>0</v>
      </c>
    </row>
    <row r="1876" spans="1:14" x14ac:dyDescent="0.2">
      <c r="A1876" s="152"/>
      <c r="B1876" s="132"/>
      <c r="C1876" s="132"/>
      <c r="D1876" s="277"/>
      <c r="E1876" s="132"/>
      <c r="F1876" s="170"/>
      <c r="G1876" s="150"/>
      <c r="H1876" s="152"/>
      <c r="I1876" s="204"/>
      <c r="J1876" s="285"/>
      <c r="K1876" s="251"/>
      <c r="L1876" s="133" t="str">
        <f>IF(AND(I1876&lt;&gt;"",ISERROR(IF(ISERROR(VLOOKUP(I1876*1,Summary!$C$8:$C$153,1,0)),VLOOKUP(I1876,Summary!$C$8:$C$153,1,0),VLOOKUP(I1876*1,Summary!$C$8:$C$153,1,0)))),"Add account Number to Summary","")</f>
        <v/>
      </c>
      <c r="M1876" s="131" t="str">
        <f t="shared" si="29"/>
        <v/>
      </c>
      <c r="N1876" s="287">
        <f>IF(C1876="Sale",SUMIFS($D$4:D1876,$B$4:B1876,B1876,$C$4:C1876,"")+SUMIFS($D$4:D1876,$B$4:B1876,B1876,$C$4:C1876,"Purch")-SUMIFS($D$4:D1876,$B$4:B1876,B1876,$C$4:C1876,"Sale"),0)</f>
        <v>0</v>
      </c>
    </row>
    <row r="1877" spans="1:14" x14ac:dyDescent="0.2">
      <c r="A1877" s="152"/>
      <c r="B1877" s="132"/>
      <c r="C1877" s="132"/>
      <c r="D1877" s="277"/>
      <c r="E1877" s="132"/>
      <c r="F1877" s="170"/>
      <c r="G1877" s="150"/>
      <c r="H1877" s="152"/>
      <c r="I1877" s="204"/>
      <c r="J1877" s="285"/>
      <c r="K1877" s="251"/>
      <c r="L1877" s="133" t="str">
        <f>IF(AND(I1877&lt;&gt;"",ISERROR(IF(ISERROR(VLOOKUP(I1877*1,Summary!$C$8:$C$153,1,0)),VLOOKUP(I1877,Summary!$C$8:$C$153,1,0),VLOOKUP(I1877*1,Summary!$C$8:$C$153,1,0)))),"Add account Number to Summary","")</f>
        <v/>
      </c>
      <c r="M1877" s="131" t="str">
        <f t="shared" si="29"/>
        <v/>
      </c>
      <c r="N1877" s="287">
        <f>IF(C1877="Sale",SUMIFS($D$4:D1877,$B$4:B1877,B1877,$C$4:C1877,"")+SUMIFS($D$4:D1877,$B$4:B1877,B1877,$C$4:C1877,"Purch")-SUMIFS($D$4:D1877,$B$4:B1877,B1877,$C$4:C1877,"Sale"),0)</f>
        <v>0</v>
      </c>
    </row>
    <row r="1878" spans="1:14" x14ac:dyDescent="0.2">
      <c r="A1878" s="152"/>
      <c r="B1878" s="132"/>
      <c r="C1878" s="132"/>
      <c r="D1878" s="277"/>
      <c r="E1878" s="132"/>
      <c r="F1878" s="170"/>
      <c r="G1878" s="150"/>
      <c r="H1878" s="152"/>
      <c r="I1878" s="204"/>
      <c r="J1878" s="285"/>
      <c r="K1878" s="251"/>
      <c r="L1878" s="133" t="str">
        <f>IF(AND(I1878&lt;&gt;"",ISERROR(IF(ISERROR(VLOOKUP(I1878*1,Summary!$C$8:$C$153,1,0)),VLOOKUP(I1878,Summary!$C$8:$C$153,1,0),VLOOKUP(I1878*1,Summary!$C$8:$C$153,1,0)))),"Add account Number to Summary","")</f>
        <v/>
      </c>
      <c r="M1878" s="131" t="str">
        <f t="shared" si="29"/>
        <v/>
      </c>
      <c r="N1878" s="287">
        <f>IF(C1878="Sale",SUMIFS($D$4:D1878,$B$4:B1878,B1878,$C$4:C1878,"")+SUMIFS($D$4:D1878,$B$4:B1878,B1878,$C$4:C1878,"Purch")-SUMIFS($D$4:D1878,$B$4:B1878,B1878,$C$4:C1878,"Sale"),0)</f>
        <v>0</v>
      </c>
    </row>
    <row r="1879" spans="1:14" x14ac:dyDescent="0.2">
      <c r="A1879" s="152"/>
      <c r="B1879" s="132"/>
      <c r="C1879" s="132"/>
      <c r="D1879" s="277"/>
      <c r="E1879" s="132"/>
      <c r="F1879" s="170"/>
      <c r="G1879" s="150"/>
      <c r="H1879" s="152"/>
      <c r="I1879" s="204"/>
      <c r="J1879" s="285"/>
      <c r="K1879" s="251"/>
      <c r="L1879" s="133" t="str">
        <f>IF(AND(I1879&lt;&gt;"",ISERROR(IF(ISERROR(VLOOKUP(I1879*1,Summary!$C$8:$C$153,1,0)),VLOOKUP(I1879,Summary!$C$8:$C$153,1,0),VLOOKUP(I1879*1,Summary!$C$8:$C$153,1,0)))),"Add account Number to Summary","")</f>
        <v/>
      </c>
      <c r="M1879" s="131" t="str">
        <f t="shared" si="29"/>
        <v/>
      </c>
      <c r="N1879" s="287">
        <f>IF(C1879="Sale",SUMIFS($D$4:D1879,$B$4:B1879,B1879,$C$4:C1879,"")+SUMIFS($D$4:D1879,$B$4:B1879,B1879,$C$4:C1879,"Purch")-SUMIFS($D$4:D1879,$B$4:B1879,B1879,$C$4:C1879,"Sale"),0)</f>
        <v>0</v>
      </c>
    </row>
    <row r="1880" spans="1:14" x14ac:dyDescent="0.2">
      <c r="A1880" s="152"/>
      <c r="B1880" s="132"/>
      <c r="C1880" s="132"/>
      <c r="D1880" s="277"/>
      <c r="E1880" s="132"/>
      <c r="F1880" s="170"/>
      <c r="G1880" s="150"/>
      <c r="H1880" s="152"/>
      <c r="I1880" s="204"/>
      <c r="J1880" s="285"/>
      <c r="K1880" s="251"/>
      <c r="L1880" s="133" t="str">
        <f>IF(AND(I1880&lt;&gt;"",ISERROR(IF(ISERROR(VLOOKUP(I1880*1,Summary!$C$8:$C$153,1,0)),VLOOKUP(I1880,Summary!$C$8:$C$153,1,0),VLOOKUP(I1880*1,Summary!$C$8:$C$153,1,0)))),"Add account Number to Summary","")</f>
        <v/>
      </c>
      <c r="M1880" s="131" t="str">
        <f t="shared" si="29"/>
        <v/>
      </c>
      <c r="N1880" s="287">
        <f>IF(C1880="Sale",SUMIFS($D$4:D1880,$B$4:B1880,B1880,$C$4:C1880,"")+SUMIFS($D$4:D1880,$B$4:B1880,B1880,$C$4:C1880,"Purch")-SUMIFS($D$4:D1880,$B$4:B1880,B1880,$C$4:C1880,"Sale"),0)</f>
        <v>0</v>
      </c>
    </row>
    <row r="1881" spans="1:14" x14ac:dyDescent="0.2">
      <c r="A1881" s="152"/>
      <c r="B1881" s="132"/>
      <c r="C1881" s="132"/>
      <c r="D1881" s="277"/>
      <c r="E1881" s="132"/>
      <c r="F1881" s="170"/>
      <c r="G1881" s="150"/>
      <c r="H1881" s="152"/>
      <c r="I1881" s="204"/>
      <c r="J1881" s="285"/>
      <c r="K1881" s="251"/>
      <c r="L1881" s="133" t="str">
        <f>IF(AND(I1881&lt;&gt;"",ISERROR(IF(ISERROR(VLOOKUP(I1881*1,Summary!$C$8:$C$153,1,0)),VLOOKUP(I1881,Summary!$C$8:$C$153,1,0),VLOOKUP(I1881*1,Summary!$C$8:$C$153,1,0)))),"Add account Number to Summary","")</f>
        <v/>
      </c>
      <c r="M1881" s="131" t="str">
        <f t="shared" si="29"/>
        <v/>
      </c>
      <c r="N1881" s="287">
        <f>IF(C1881="Sale",SUMIFS($D$4:D1881,$B$4:B1881,B1881,$C$4:C1881,"")+SUMIFS($D$4:D1881,$B$4:B1881,B1881,$C$4:C1881,"Purch")-SUMIFS($D$4:D1881,$B$4:B1881,B1881,$C$4:C1881,"Sale"),0)</f>
        <v>0</v>
      </c>
    </row>
    <row r="1882" spans="1:14" x14ac:dyDescent="0.2">
      <c r="A1882" s="152"/>
      <c r="B1882" s="132"/>
      <c r="C1882" s="132"/>
      <c r="D1882" s="277"/>
      <c r="E1882" s="132"/>
      <c r="F1882" s="170"/>
      <c r="G1882" s="150"/>
      <c r="H1882" s="152"/>
      <c r="I1882" s="204"/>
      <c r="J1882" s="285"/>
      <c r="K1882" s="251"/>
      <c r="L1882" s="133" t="str">
        <f>IF(AND(I1882&lt;&gt;"",ISERROR(IF(ISERROR(VLOOKUP(I1882*1,Summary!$C$8:$C$153,1,0)),VLOOKUP(I1882,Summary!$C$8:$C$153,1,0),VLOOKUP(I1882*1,Summary!$C$8:$C$153,1,0)))),"Add account Number to Summary","")</f>
        <v/>
      </c>
      <c r="M1882" s="131" t="str">
        <f t="shared" si="29"/>
        <v/>
      </c>
      <c r="N1882" s="287">
        <f>IF(C1882="Sale",SUMIFS($D$4:D1882,$B$4:B1882,B1882,$C$4:C1882,"")+SUMIFS($D$4:D1882,$B$4:B1882,B1882,$C$4:C1882,"Purch")-SUMIFS($D$4:D1882,$B$4:B1882,B1882,$C$4:C1882,"Sale"),0)</f>
        <v>0</v>
      </c>
    </row>
    <row r="1883" spans="1:14" x14ac:dyDescent="0.2">
      <c r="A1883" s="152"/>
      <c r="B1883" s="132"/>
      <c r="C1883" s="132"/>
      <c r="D1883" s="277"/>
      <c r="E1883" s="132"/>
      <c r="F1883" s="170"/>
      <c r="G1883" s="150"/>
      <c r="H1883" s="152"/>
      <c r="I1883" s="204"/>
      <c r="J1883" s="285"/>
      <c r="K1883" s="251"/>
      <c r="L1883" s="133" t="str">
        <f>IF(AND(I1883&lt;&gt;"",ISERROR(IF(ISERROR(VLOOKUP(I1883*1,Summary!$C$8:$C$153,1,0)),VLOOKUP(I1883,Summary!$C$8:$C$153,1,0),VLOOKUP(I1883*1,Summary!$C$8:$C$153,1,0)))),"Add account Number to Summary","")</f>
        <v/>
      </c>
      <c r="M1883" s="131" t="str">
        <f t="shared" si="29"/>
        <v/>
      </c>
      <c r="N1883" s="287">
        <f>IF(C1883="Sale",SUMIFS($D$4:D1883,$B$4:B1883,B1883,$C$4:C1883,"")+SUMIFS($D$4:D1883,$B$4:B1883,B1883,$C$4:C1883,"Purch")-SUMIFS($D$4:D1883,$B$4:B1883,B1883,$C$4:C1883,"Sale"),0)</f>
        <v>0</v>
      </c>
    </row>
    <row r="1884" spans="1:14" x14ac:dyDescent="0.2">
      <c r="A1884" s="152"/>
      <c r="B1884" s="132"/>
      <c r="C1884" s="132"/>
      <c r="D1884" s="277"/>
      <c r="E1884" s="132"/>
      <c r="F1884" s="170"/>
      <c r="G1884" s="150"/>
      <c r="H1884" s="152"/>
      <c r="I1884" s="204"/>
      <c r="J1884" s="285"/>
      <c r="K1884" s="251"/>
      <c r="L1884" s="133" t="str">
        <f>IF(AND(I1884&lt;&gt;"",ISERROR(IF(ISERROR(VLOOKUP(I1884*1,Summary!$C$8:$C$153,1,0)),VLOOKUP(I1884,Summary!$C$8:$C$153,1,0),VLOOKUP(I1884*1,Summary!$C$8:$C$153,1,0)))),"Add account Number to Summary","")</f>
        <v/>
      </c>
      <c r="M1884" s="131" t="str">
        <f t="shared" si="29"/>
        <v/>
      </c>
      <c r="N1884" s="287">
        <f>IF(C1884="Sale",SUMIFS($D$4:D1884,$B$4:B1884,B1884,$C$4:C1884,"")+SUMIFS($D$4:D1884,$B$4:B1884,B1884,$C$4:C1884,"Purch")-SUMIFS($D$4:D1884,$B$4:B1884,B1884,$C$4:C1884,"Sale"),0)</f>
        <v>0</v>
      </c>
    </row>
    <row r="1885" spans="1:14" x14ac:dyDescent="0.2">
      <c r="A1885" s="152"/>
      <c r="B1885" s="132"/>
      <c r="C1885" s="132"/>
      <c r="D1885" s="277"/>
      <c r="E1885" s="132"/>
      <c r="F1885" s="170"/>
      <c r="G1885" s="150"/>
      <c r="H1885" s="152"/>
      <c r="I1885" s="204"/>
      <c r="J1885" s="285"/>
      <c r="K1885" s="251"/>
      <c r="L1885" s="133" t="str">
        <f>IF(AND(I1885&lt;&gt;"",ISERROR(IF(ISERROR(VLOOKUP(I1885*1,Summary!$C$8:$C$153,1,0)),VLOOKUP(I1885,Summary!$C$8:$C$153,1,0),VLOOKUP(I1885*1,Summary!$C$8:$C$153,1,0)))),"Add account Number to Summary","")</f>
        <v/>
      </c>
      <c r="M1885" s="131" t="str">
        <f t="shared" si="29"/>
        <v/>
      </c>
      <c r="N1885" s="287">
        <f>IF(C1885="Sale",SUMIFS($D$4:D1885,$B$4:B1885,B1885,$C$4:C1885,"")+SUMIFS($D$4:D1885,$B$4:B1885,B1885,$C$4:C1885,"Purch")-SUMIFS($D$4:D1885,$B$4:B1885,B1885,$C$4:C1885,"Sale"),0)</f>
        <v>0</v>
      </c>
    </row>
    <row r="1886" spans="1:14" x14ac:dyDescent="0.2">
      <c r="A1886" s="152"/>
      <c r="B1886" s="132"/>
      <c r="C1886" s="132"/>
      <c r="D1886" s="277"/>
      <c r="E1886" s="132"/>
      <c r="F1886" s="170"/>
      <c r="G1886" s="150"/>
      <c r="H1886" s="152"/>
      <c r="I1886" s="204"/>
      <c r="J1886" s="285"/>
      <c r="K1886" s="251"/>
      <c r="L1886" s="133" t="str">
        <f>IF(AND(I1886&lt;&gt;"",ISERROR(IF(ISERROR(VLOOKUP(I1886*1,Summary!$C$8:$C$153,1,0)),VLOOKUP(I1886,Summary!$C$8:$C$153,1,0),VLOOKUP(I1886*1,Summary!$C$8:$C$153,1,0)))),"Add account Number to Summary","")</f>
        <v/>
      </c>
      <c r="M1886" s="131" t="str">
        <f t="shared" si="29"/>
        <v/>
      </c>
      <c r="N1886" s="287">
        <f>IF(C1886="Sale",SUMIFS($D$4:D1886,$B$4:B1886,B1886,$C$4:C1886,"")+SUMIFS($D$4:D1886,$B$4:B1886,B1886,$C$4:C1886,"Purch")-SUMIFS($D$4:D1886,$B$4:B1886,B1886,$C$4:C1886,"Sale"),0)</f>
        <v>0</v>
      </c>
    </row>
    <row r="1887" spans="1:14" x14ac:dyDescent="0.2">
      <c r="A1887" s="152"/>
      <c r="B1887" s="132"/>
      <c r="C1887" s="132"/>
      <c r="D1887" s="277"/>
      <c r="E1887" s="132"/>
      <c r="F1887" s="170"/>
      <c r="G1887" s="150"/>
      <c r="H1887" s="152"/>
      <c r="I1887" s="204"/>
      <c r="J1887" s="285"/>
      <c r="K1887" s="251"/>
      <c r="L1887" s="133" t="str">
        <f>IF(AND(I1887&lt;&gt;"",ISERROR(IF(ISERROR(VLOOKUP(I1887*1,Summary!$C$8:$C$153,1,0)),VLOOKUP(I1887,Summary!$C$8:$C$153,1,0),VLOOKUP(I1887*1,Summary!$C$8:$C$153,1,0)))),"Add account Number to Summary","")</f>
        <v/>
      </c>
      <c r="M1887" s="131" t="str">
        <f t="shared" si="29"/>
        <v/>
      </c>
      <c r="N1887" s="287">
        <f>IF(C1887="Sale",SUMIFS($D$4:D1887,$B$4:B1887,B1887,$C$4:C1887,"")+SUMIFS($D$4:D1887,$B$4:B1887,B1887,$C$4:C1887,"Purch")-SUMIFS($D$4:D1887,$B$4:B1887,B1887,$C$4:C1887,"Sale"),0)</f>
        <v>0</v>
      </c>
    </row>
    <row r="1888" spans="1:14" x14ac:dyDescent="0.2">
      <c r="A1888" s="152"/>
      <c r="B1888" s="132"/>
      <c r="C1888" s="132"/>
      <c r="D1888" s="277"/>
      <c r="E1888" s="132"/>
      <c r="F1888" s="170"/>
      <c r="G1888" s="150"/>
      <c r="H1888" s="152"/>
      <c r="I1888" s="204"/>
      <c r="J1888" s="285"/>
      <c r="K1888" s="251"/>
      <c r="L1888" s="133" t="str">
        <f>IF(AND(I1888&lt;&gt;"",ISERROR(IF(ISERROR(VLOOKUP(I1888*1,Summary!$C$8:$C$153,1,0)),VLOOKUP(I1888,Summary!$C$8:$C$153,1,0),VLOOKUP(I1888*1,Summary!$C$8:$C$153,1,0)))),"Add account Number to Summary","")</f>
        <v/>
      </c>
      <c r="M1888" s="131" t="str">
        <f t="shared" si="29"/>
        <v/>
      </c>
      <c r="N1888" s="287">
        <f>IF(C1888="Sale",SUMIFS($D$4:D1888,$B$4:B1888,B1888,$C$4:C1888,"")+SUMIFS($D$4:D1888,$B$4:B1888,B1888,$C$4:C1888,"Purch")-SUMIFS($D$4:D1888,$B$4:B1888,B1888,$C$4:C1888,"Sale"),0)</f>
        <v>0</v>
      </c>
    </row>
    <row r="1889" spans="1:14" x14ac:dyDescent="0.2">
      <c r="A1889" s="152"/>
      <c r="B1889" s="132"/>
      <c r="C1889" s="132"/>
      <c r="D1889" s="277"/>
      <c r="E1889" s="132"/>
      <c r="F1889" s="170"/>
      <c r="G1889" s="150"/>
      <c r="H1889" s="152"/>
      <c r="I1889" s="204"/>
      <c r="J1889" s="285"/>
      <c r="K1889" s="251"/>
      <c r="L1889" s="133" t="str">
        <f>IF(AND(I1889&lt;&gt;"",ISERROR(IF(ISERROR(VLOOKUP(I1889*1,Summary!$C$8:$C$153,1,0)),VLOOKUP(I1889,Summary!$C$8:$C$153,1,0),VLOOKUP(I1889*1,Summary!$C$8:$C$153,1,0)))),"Add account Number to Summary","")</f>
        <v/>
      </c>
      <c r="M1889" s="131" t="str">
        <f t="shared" si="29"/>
        <v/>
      </c>
      <c r="N1889" s="287">
        <f>IF(C1889="Sale",SUMIFS($D$4:D1889,$B$4:B1889,B1889,$C$4:C1889,"")+SUMIFS($D$4:D1889,$B$4:B1889,B1889,$C$4:C1889,"Purch")-SUMIFS($D$4:D1889,$B$4:B1889,B1889,$C$4:C1889,"Sale"),0)</f>
        <v>0</v>
      </c>
    </row>
    <row r="1890" spans="1:14" x14ac:dyDescent="0.2">
      <c r="A1890" s="152"/>
      <c r="B1890" s="132"/>
      <c r="C1890" s="132"/>
      <c r="D1890" s="277"/>
      <c r="E1890" s="132"/>
      <c r="F1890" s="170"/>
      <c r="G1890" s="150"/>
      <c r="H1890" s="152"/>
      <c r="I1890" s="204"/>
      <c r="J1890" s="285"/>
      <c r="K1890" s="251"/>
      <c r="L1890" s="133" t="str">
        <f>IF(AND(I1890&lt;&gt;"",ISERROR(IF(ISERROR(VLOOKUP(I1890*1,Summary!$C$8:$C$153,1,0)),VLOOKUP(I1890,Summary!$C$8:$C$153,1,0),VLOOKUP(I1890*1,Summary!$C$8:$C$153,1,0)))),"Add account Number to Summary","")</f>
        <v/>
      </c>
      <c r="M1890" s="131" t="str">
        <f t="shared" si="29"/>
        <v/>
      </c>
      <c r="N1890" s="287">
        <f>IF(C1890="Sale",SUMIFS($D$4:D1890,$B$4:B1890,B1890,$C$4:C1890,"")+SUMIFS($D$4:D1890,$B$4:B1890,B1890,$C$4:C1890,"Purch")-SUMIFS($D$4:D1890,$B$4:B1890,B1890,$C$4:C1890,"Sale"),0)</f>
        <v>0</v>
      </c>
    </row>
    <row r="1891" spans="1:14" x14ac:dyDescent="0.2">
      <c r="A1891" s="152"/>
      <c r="B1891" s="132"/>
      <c r="C1891" s="132"/>
      <c r="D1891" s="277"/>
      <c r="E1891" s="132"/>
      <c r="F1891" s="170"/>
      <c r="G1891" s="150"/>
      <c r="H1891" s="152"/>
      <c r="I1891" s="204"/>
      <c r="J1891" s="285"/>
      <c r="K1891" s="251"/>
      <c r="L1891" s="133" t="str">
        <f>IF(AND(I1891&lt;&gt;"",ISERROR(IF(ISERROR(VLOOKUP(I1891*1,Summary!$C$8:$C$153,1,0)),VLOOKUP(I1891,Summary!$C$8:$C$153,1,0),VLOOKUP(I1891*1,Summary!$C$8:$C$153,1,0)))),"Add account Number to Summary","")</f>
        <v/>
      </c>
      <c r="M1891" s="131" t="str">
        <f t="shared" si="29"/>
        <v/>
      </c>
      <c r="N1891" s="287">
        <f>IF(C1891="Sale",SUMIFS($D$4:D1891,$B$4:B1891,B1891,$C$4:C1891,"")+SUMIFS($D$4:D1891,$B$4:B1891,B1891,$C$4:C1891,"Purch")-SUMIFS($D$4:D1891,$B$4:B1891,B1891,$C$4:C1891,"Sale"),0)</f>
        <v>0</v>
      </c>
    </row>
    <row r="1892" spans="1:14" x14ac:dyDescent="0.2">
      <c r="A1892" s="152"/>
      <c r="B1892" s="132"/>
      <c r="C1892" s="132"/>
      <c r="D1892" s="277"/>
      <c r="E1892" s="132"/>
      <c r="F1892" s="170"/>
      <c r="G1892" s="150"/>
      <c r="H1892" s="152"/>
      <c r="I1892" s="204"/>
      <c r="J1892" s="285"/>
      <c r="K1892" s="251"/>
      <c r="L1892" s="133" t="str">
        <f>IF(AND(I1892&lt;&gt;"",ISERROR(IF(ISERROR(VLOOKUP(I1892*1,Summary!$C$8:$C$153,1,0)),VLOOKUP(I1892,Summary!$C$8:$C$153,1,0),VLOOKUP(I1892*1,Summary!$C$8:$C$153,1,0)))),"Add account Number to Summary","")</f>
        <v/>
      </c>
      <c r="M1892" s="131" t="str">
        <f t="shared" si="29"/>
        <v/>
      </c>
      <c r="N1892" s="287">
        <f>IF(C1892="Sale",SUMIFS($D$4:D1892,$B$4:B1892,B1892,$C$4:C1892,"")+SUMIFS($D$4:D1892,$B$4:B1892,B1892,$C$4:C1892,"Purch")-SUMIFS($D$4:D1892,$B$4:B1892,B1892,$C$4:C1892,"Sale"),0)</f>
        <v>0</v>
      </c>
    </row>
    <row r="1893" spans="1:14" x14ac:dyDescent="0.2">
      <c r="A1893" s="152"/>
      <c r="B1893" s="132"/>
      <c r="C1893" s="132"/>
      <c r="D1893" s="277"/>
      <c r="E1893" s="132"/>
      <c r="F1893" s="170"/>
      <c r="G1893" s="150"/>
      <c r="H1893" s="152"/>
      <c r="I1893" s="204"/>
      <c r="J1893" s="285"/>
      <c r="K1893" s="251"/>
      <c r="L1893" s="133" t="str">
        <f>IF(AND(I1893&lt;&gt;"",ISERROR(IF(ISERROR(VLOOKUP(I1893*1,Summary!$C$8:$C$153,1,0)),VLOOKUP(I1893,Summary!$C$8:$C$153,1,0),VLOOKUP(I1893*1,Summary!$C$8:$C$153,1,0)))),"Add account Number to Summary","")</f>
        <v/>
      </c>
      <c r="M1893" s="131" t="str">
        <f t="shared" si="29"/>
        <v/>
      </c>
      <c r="N1893" s="287">
        <f>IF(C1893="Sale",SUMIFS($D$4:D1893,$B$4:B1893,B1893,$C$4:C1893,"")+SUMIFS($D$4:D1893,$B$4:B1893,B1893,$C$4:C1893,"Purch")-SUMIFS($D$4:D1893,$B$4:B1893,B1893,$C$4:C1893,"Sale"),0)</f>
        <v>0</v>
      </c>
    </row>
    <row r="1894" spans="1:14" x14ac:dyDescent="0.2">
      <c r="A1894" s="152"/>
      <c r="B1894" s="132"/>
      <c r="C1894" s="132"/>
      <c r="D1894" s="277"/>
      <c r="E1894" s="132"/>
      <c r="F1894" s="170"/>
      <c r="G1894" s="150"/>
      <c r="H1894" s="152"/>
      <c r="I1894" s="204"/>
      <c r="J1894" s="285"/>
      <c r="K1894" s="251"/>
      <c r="L1894" s="133" t="str">
        <f>IF(AND(I1894&lt;&gt;"",ISERROR(IF(ISERROR(VLOOKUP(I1894*1,Summary!$C$8:$C$153,1,0)),VLOOKUP(I1894,Summary!$C$8:$C$153,1,0),VLOOKUP(I1894*1,Summary!$C$8:$C$153,1,0)))),"Add account Number to Summary","")</f>
        <v/>
      </c>
      <c r="M1894" s="131" t="str">
        <f t="shared" si="29"/>
        <v/>
      </c>
      <c r="N1894" s="287">
        <f>IF(C1894="Sale",SUMIFS($D$4:D1894,$B$4:B1894,B1894,$C$4:C1894,"")+SUMIFS($D$4:D1894,$B$4:B1894,B1894,$C$4:C1894,"Purch")-SUMIFS($D$4:D1894,$B$4:B1894,B1894,$C$4:C1894,"Sale"),0)</f>
        <v>0</v>
      </c>
    </row>
    <row r="1895" spans="1:14" x14ac:dyDescent="0.2">
      <c r="A1895" s="152"/>
      <c r="B1895" s="132"/>
      <c r="C1895" s="132"/>
      <c r="D1895" s="277"/>
      <c r="E1895" s="132"/>
      <c r="F1895" s="170"/>
      <c r="G1895" s="150"/>
      <c r="H1895" s="152"/>
      <c r="I1895" s="204"/>
      <c r="J1895" s="285"/>
      <c r="K1895" s="251"/>
      <c r="L1895" s="133" t="str">
        <f>IF(AND(I1895&lt;&gt;"",ISERROR(IF(ISERROR(VLOOKUP(I1895*1,Summary!$C$8:$C$153,1,0)),VLOOKUP(I1895,Summary!$C$8:$C$153,1,0),VLOOKUP(I1895*1,Summary!$C$8:$C$153,1,0)))),"Add account Number to Summary","")</f>
        <v/>
      </c>
      <c r="M1895" s="131" t="str">
        <f t="shared" si="29"/>
        <v/>
      </c>
      <c r="N1895" s="287">
        <f>IF(C1895="Sale",SUMIFS($D$4:D1895,$B$4:B1895,B1895,$C$4:C1895,"")+SUMIFS($D$4:D1895,$B$4:B1895,B1895,$C$4:C1895,"Purch")-SUMIFS($D$4:D1895,$B$4:B1895,B1895,$C$4:C1895,"Sale"),0)</f>
        <v>0</v>
      </c>
    </row>
    <row r="1896" spans="1:14" x14ac:dyDescent="0.2">
      <c r="A1896" s="152"/>
      <c r="B1896" s="132"/>
      <c r="C1896" s="132"/>
      <c r="D1896" s="277"/>
      <c r="E1896" s="132"/>
      <c r="F1896" s="170"/>
      <c r="G1896" s="150"/>
      <c r="H1896" s="152"/>
      <c r="I1896" s="204"/>
      <c r="J1896" s="285"/>
      <c r="K1896" s="251"/>
      <c r="L1896" s="133" t="str">
        <f>IF(AND(I1896&lt;&gt;"",ISERROR(IF(ISERROR(VLOOKUP(I1896*1,Summary!$C$8:$C$153,1,0)),VLOOKUP(I1896,Summary!$C$8:$C$153,1,0),VLOOKUP(I1896*1,Summary!$C$8:$C$153,1,0)))),"Add account Number to Summary","")</f>
        <v/>
      </c>
      <c r="M1896" s="131" t="str">
        <f t="shared" si="29"/>
        <v/>
      </c>
      <c r="N1896" s="287">
        <f>IF(C1896="Sale",SUMIFS($D$4:D1896,$B$4:B1896,B1896,$C$4:C1896,"")+SUMIFS($D$4:D1896,$B$4:B1896,B1896,$C$4:C1896,"Purch")-SUMIFS($D$4:D1896,$B$4:B1896,B1896,$C$4:C1896,"Sale"),0)</f>
        <v>0</v>
      </c>
    </row>
    <row r="1897" spans="1:14" x14ac:dyDescent="0.2">
      <c r="A1897" s="152"/>
      <c r="B1897" s="132"/>
      <c r="C1897" s="132"/>
      <c r="D1897" s="277"/>
      <c r="E1897" s="132"/>
      <c r="F1897" s="170"/>
      <c r="G1897" s="150"/>
      <c r="H1897" s="152"/>
      <c r="I1897" s="204"/>
      <c r="J1897" s="285"/>
      <c r="K1897" s="251"/>
      <c r="L1897" s="133" t="str">
        <f>IF(AND(I1897&lt;&gt;"",ISERROR(IF(ISERROR(VLOOKUP(I1897*1,Summary!$C$8:$C$153,1,0)),VLOOKUP(I1897,Summary!$C$8:$C$153,1,0),VLOOKUP(I1897*1,Summary!$C$8:$C$153,1,0)))),"Add account Number to Summary","")</f>
        <v/>
      </c>
      <c r="M1897" s="131" t="str">
        <f t="shared" si="29"/>
        <v/>
      </c>
      <c r="N1897" s="287">
        <f>IF(C1897="Sale",SUMIFS($D$4:D1897,$B$4:B1897,B1897,$C$4:C1897,"")+SUMIFS($D$4:D1897,$B$4:B1897,B1897,$C$4:C1897,"Purch")-SUMIFS($D$4:D1897,$B$4:B1897,B1897,$C$4:C1897,"Sale"),0)</f>
        <v>0</v>
      </c>
    </row>
    <row r="1898" spans="1:14" x14ac:dyDescent="0.2">
      <c r="A1898" s="152"/>
      <c r="B1898" s="132"/>
      <c r="C1898" s="132"/>
      <c r="D1898" s="277"/>
      <c r="E1898" s="132"/>
      <c r="F1898" s="170"/>
      <c r="G1898" s="150"/>
      <c r="H1898" s="152"/>
      <c r="I1898" s="204"/>
      <c r="J1898" s="285"/>
      <c r="K1898" s="251"/>
      <c r="L1898" s="133" t="str">
        <f>IF(AND(I1898&lt;&gt;"",ISERROR(IF(ISERROR(VLOOKUP(I1898*1,Summary!$C$8:$C$153,1,0)),VLOOKUP(I1898,Summary!$C$8:$C$153,1,0),VLOOKUP(I1898*1,Summary!$C$8:$C$153,1,0)))),"Add account Number to Summary","")</f>
        <v/>
      </c>
      <c r="M1898" s="131" t="str">
        <f t="shared" si="29"/>
        <v/>
      </c>
      <c r="N1898" s="287">
        <f>IF(C1898="Sale",SUMIFS($D$4:D1898,$B$4:B1898,B1898,$C$4:C1898,"")+SUMIFS($D$4:D1898,$B$4:B1898,B1898,$C$4:C1898,"Purch")-SUMIFS($D$4:D1898,$B$4:B1898,B1898,$C$4:C1898,"Sale"),0)</f>
        <v>0</v>
      </c>
    </row>
    <row r="1899" spans="1:14" x14ac:dyDescent="0.2">
      <c r="A1899" s="152"/>
      <c r="B1899" s="132"/>
      <c r="C1899" s="132"/>
      <c r="D1899" s="277"/>
      <c r="E1899" s="132"/>
      <c r="F1899" s="170"/>
      <c r="G1899" s="150"/>
      <c r="H1899" s="152"/>
      <c r="I1899" s="204"/>
      <c r="J1899" s="285"/>
      <c r="K1899" s="251"/>
      <c r="L1899" s="133" t="str">
        <f>IF(AND(I1899&lt;&gt;"",ISERROR(IF(ISERROR(VLOOKUP(I1899*1,Summary!$C$8:$C$153,1,0)),VLOOKUP(I1899,Summary!$C$8:$C$153,1,0),VLOOKUP(I1899*1,Summary!$C$8:$C$153,1,0)))),"Add account Number to Summary","")</f>
        <v/>
      </c>
      <c r="M1899" s="131" t="str">
        <f t="shared" si="29"/>
        <v/>
      </c>
      <c r="N1899" s="287">
        <f>IF(C1899="Sale",SUMIFS($D$4:D1899,$B$4:B1899,B1899,$C$4:C1899,"")+SUMIFS($D$4:D1899,$B$4:B1899,B1899,$C$4:C1899,"Purch")-SUMIFS($D$4:D1899,$B$4:B1899,B1899,$C$4:C1899,"Sale"),0)</f>
        <v>0</v>
      </c>
    </row>
    <row r="1900" spans="1:14" x14ac:dyDescent="0.2">
      <c r="A1900" s="152"/>
      <c r="B1900" s="132"/>
      <c r="C1900" s="132"/>
      <c r="D1900" s="277"/>
      <c r="E1900" s="132"/>
      <c r="F1900" s="170"/>
      <c r="G1900" s="150"/>
      <c r="H1900" s="152"/>
      <c r="I1900" s="204"/>
      <c r="J1900" s="285"/>
      <c r="K1900" s="251"/>
      <c r="L1900" s="133" t="str">
        <f>IF(AND(I1900&lt;&gt;"",ISERROR(IF(ISERROR(VLOOKUP(I1900*1,Summary!$C$8:$C$153,1,0)),VLOOKUP(I1900,Summary!$C$8:$C$153,1,0),VLOOKUP(I1900*1,Summary!$C$8:$C$153,1,0)))),"Add account Number to Summary","")</f>
        <v/>
      </c>
      <c r="M1900" s="131" t="str">
        <f t="shared" ref="M1900:M1963" si="30">IF(K1900="Yes",IF(YEAR(A1900)&lt;&gt;YEAR(date),"Check Date",""),"")</f>
        <v/>
      </c>
      <c r="N1900" s="287">
        <f>IF(C1900="Sale",SUMIFS($D$4:D1900,$B$4:B1900,B1900,$C$4:C1900,"")+SUMIFS($D$4:D1900,$B$4:B1900,B1900,$C$4:C1900,"Purch")-SUMIFS($D$4:D1900,$B$4:B1900,B1900,$C$4:C1900,"Sale"),0)</f>
        <v>0</v>
      </c>
    </row>
    <row r="1901" spans="1:14" x14ac:dyDescent="0.2">
      <c r="A1901" s="152"/>
      <c r="B1901" s="132"/>
      <c r="C1901" s="132"/>
      <c r="D1901" s="277"/>
      <c r="E1901" s="132"/>
      <c r="F1901" s="170"/>
      <c r="G1901" s="150"/>
      <c r="H1901" s="152"/>
      <c r="I1901" s="204"/>
      <c r="J1901" s="285"/>
      <c r="K1901" s="251"/>
      <c r="L1901" s="133" t="str">
        <f>IF(AND(I1901&lt;&gt;"",ISERROR(IF(ISERROR(VLOOKUP(I1901*1,Summary!$C$8:$C$153,1,0)),VLOOKUP(I1901,Summary!$C$8:$C$153,1,0),VLOOKUP(I1901*1,Summary!$C$8:$C$153,1,0)))),"Add account Number to Summary","")</f>
        <v/>
      </c>
      <c r="M1901" s="131" t="str">
        <f t="shared" si="30"/>
        <v/>
      </c>
      <c r="N1901" s="287">
        <f>IF(C1901="Sale",SUMIFS($D$4:D1901,$B$4:B1901,B1901,$C$4:C1901,"")+SUMIFS($D$4:D1901,$B$4:B1901,B1901,$C$4:C1901,"Purch")-SUMIFS($D$4:D1901,$B$4:B1901,B1901,$C$4:C1901,"Sale"),0)</f>
        <v>0</v>
      </c>
    </row>
    <row r="1902" spans="1:14" x14ac:dyDescent="0.2">
      <c r="A1902" s="152"/>
      <c r="B1902" s="132"/>
      <c r="C1902" s="132"/>
      <c r="D1902" s="277"/>
      <c r="E1902" s="132"/>
      <c r="F1902" s="170"/>
      <c r="G1902" s="150"/>
      <c r="H1902" s="152"/>
      <c r="I1902" s="204"/>
      <c r="J1902" s="285"/>
      <c r="K1902" s="251"/>
      <c r="L1902" s="133" t="str">
        <f>IF(AND(I1902&lt;&gt;"",ISERROR(IF(ISERROR(VLOOKUP(I1902*1,Summary!$C$8:$C$153,1,0)),VLOOKUP(I1902,Summary!$C$8:$C$153,1,0),VLOOKUP(I1902*1,Summary!$C$8:$C$153,1,0)))),"Add account Number to Summary","")</f>
        <v/>
      </c>
      <c r="M1902" s="131" t="str">
        <f t="shared" si="30"/>
        <v/>
      </c>
      <c r="N1902" s="287">
        <f>IF(C1902="Sale",SUMIFS($D$4:D1902,$B$4:B1902,B1902,$C$4:C1902,"")+SUMIFS($D$4:D1902,$B$4:B1902,B1902,$C$4:C1902,"Purch")-SUMIFS($D$4:D1902,$B$4:B1902,B1902,$C$4:C1902,"Sale"),0)</f>
        <v>0</v>
      </c>
    </row>
    <row r="1903" spans="1:14" x14ac:dyDescent="0.2">
      <c r="A1903" s="152"/>
      <c r="B1903" s="132"/>
      <c r="C1903" s="132"/>
      <c r="D1903" s="277"/>
      <c r="E1903" s="132"/>
      <c r="F1903" s="170"/>
      <c r="G1903" s="150"/>
      <c r="H1903" s="152"/>
      <c r="I1903" s="204"/>
      <c r="J1903" s="285"/>
      <c r="K1903" s="251"/>
      <c r="L1903" s="133" t="str">
        <f>IF(AND(I1903&lt;&gt;"",ISERROR(IF(ISERROR(VLOOKUP(I1903*1,Summary!$C$8:$C$153,1,0)),VLOOKUP(I1903,Summary!$C$8:$C$153,1,0),VLOOKUP(I1903*1,Summary!$C$8:$C$153,1,0)))),"Add account Number to Summary","")</f>
        <v/>
      </c>
      <c r="M1903" s="131" t="str">
        <f t="shared" si="30"/>
        <v/>
      </c>
      <c r="N1903" s="287">
        <f>IF(C1903="Sale",SUMIFS($D$4:D1903,$B$4:B1903,B1903,$C$4:C1903,"")+SUMIFS($D$4:D1903,$B$4:B1903,B1903,$C$4:C1903,"Purch")-SUMIFS($D$4:D1903,$B$4:B1903,B1903,$C$4:C1903,"Sale"),0)</f>
        <v>0</v>
      </c>
    </row>
    <row r="1904" spans="1:14" x14ac:dyDescent="0.2">
      <c r="A1904" s="152"/>
      <c r="B1904" s="132"/>
      <c r="C1904" s="132"/>
      <c r="D1904" s="277"/>
      <c r="E1904" s="132"/>
      <c r="F1904" s="170"/>
      <c r="G1904" s="150"/>
      <c r="H1904" s="152"/>
      <c r="I1904" s="204"/>
      <c r="J1904" s="285"/>
      <c r="K1904" s="251"/>
      <c r="L1904" s="133" t="str">
        <f>IF(AND(I1904&lt;&gt;"",ISERROR(IF(ISERROR(VLOOKUP(I1904*1,Summary!$C$8:$C$153,1,0)),VLOOKUP(I1904,Summary!$C$8:$C$153,1,0),VLOOKUP(I1904*1,Summary!$C$8:$C$153,1,0)))),"Add account Number to Summary","")</f>
        <v/>
      </c>
      <c r="M1904" s="131" t="str">
        <f t="shared" si="30"/>
        <v/>
      </c>
      <c r="N1904" s="287">
        <f>IF(C1904="Sale",SUMIFS($D$4:D1904,$B$4:B1904,B1904,$C$4:C1904,"")+SUMIFS($D$4:D1904,$B$4:B1904,B1904,$C$4:C1904,"Purch")-SUMIFS($D$4:D1904,$B$4:B1904,B1904,$C$4:C1904,"Sale"),0)</f>
        <v>0</v>
      </c>
    </row>
    <row r="1905" spans="1:14" x14ac:dyDescent="0.2">
      <c r="A1905" s="152"/>
      <c r="B1905" s="132"/>
      <c r="C1905" s="132"/>
      <c r="D1905" s="277"/>
      <c r="E1905" s="132"/>
      <c r="F1905" s="170"/>
      <c r="G1905" s="150"/>
      <c r="H1905" s="152"/>
      <c r="I1905" s="204"/>
      <c r="J1905" s="285"/>
      <c r="K1905" s="251"/>
      <c r="L1905" s="133" t="str">
        <f>IF(AND(I1905&lt;&gt;"",ISERROR(IF(ISERROR(VLOOKUP(I1905*1,Summary!$C$8:$C$153,1,0)),VLOOKUP(I1905,Summary!$C$8:$C$153,1,0),VLOOKUP(I1905*1,Summary!$C$8:$C$153,1,0)))),"Add account Number to Summary","")</f>
        <v/>
      </c>
      <c r="M1905" s="131" t="str">
        <f t="shared" si="30"/>
        <v/>
      </c>
      <c r="N1905" s="287">
        <f>IF(C1905="Sale",SUMIFS($D$4:D1905,$B$4:B1905,B1905,$C$4:C1905,"")+SUMIFS($D$4:D1905,$B$4:B1905,B1905,$C$4:C1905,"Purch")-SUMIFS($D$4:D1905,$B$4:B1905,B1905,$C$4:C1905,"Sale"),0)</f>
        <v>0</v>
      </c>
    </row>
    <row r="1906" spans="1:14" x14ac:dyDescent="0.2">
      <c r="A1906" s="152"/>
      <c r="B1906" s="132"/>
      <c r="C1906" s="132"/>
      <c r="D1906" s="277"/>
      <c r="E1906" s="132"/>
      <c r="F1906" s="170"/>
      <c r="G1906" s="150"/>
      <c r="H1906" s="152"/>
      <c r="I1906" s="204"/>
      <c r="J1906" s="285"/>
      <c r="K1906" s="251"/>
      <c r="L1906" s="133" t="str">
        <f>IF(AND(I1906&lt;&gt;"",ISERROR(IF(ISERROR(VLOOKUP(I1906*1,Summary!$C$8:$C$153,1,0)),VLOOKUP(I1906,Summary!$C$8:$C$153,1,0),VLOOKUP(I1906*1,Summary!$C$8:$C$153,1,0)))),"Add account Number to Summary","")</f>
        <v/>
      </c>
      <c r="M1906" s="131" t="str">
        <f t="shared" si="30"/>
        <v/>
      </c>
      <c r="N1906" s="287">
        <f>IF(C1906="Sale",SUMIFS($D$4:D1906,$B$4:B1906,B1906,$C$4:C1906,"")+SUMIFS($D$4:D1906,$B$4:B1906,B1906,$C$4:C1906,"Purch")-SUMIFS($D$4:D1906,$B$4:B1906,B1906,$C$4:C1906,"Sale"),0)</f>
        <v>0</v>
      </c>
    </row>
    <row r="1907" spans="1:14" x14ac:dyDescent="0.2">
      <c r="A1907" s="152"/>
      <c r="B1907" s="132"/>
      <c r="C1907" s="132"/>
      <c r="D1907" s="277"/>
      <c r="E1907" s="132"/>
      <c r="F1907" s="170"/>
      <c r="G1907" s="150"/>
      <c r="H1907" s="152"/>
      <c r="I1907" s="204"/>
      <c r="J1907" s="285"/>
      <c r="K1907" s="251"/>
      <c r="L1907" s="133" t="str">
        <f>IF(AND(I1907&lt;&gt;"",ISERROR(IF(ISERROR(VLOOKUP(I1907*1,Summary!$C$8:$C$153,1,0)),VLOOKUP(I1907,Summary!$C$8:$C$153,1,0),VLOOKUP(I1907*1,Summary!$C$8:$C$153,1,0)))),"Add account Number to Summary","")</f>
        <v/>
      </c>
      <c r="M1907" s="131" t="str">
        <f t="shared" si="30"/>
        <v/>
      </c>
      <c r="N1907" s="287">
        <f>IF(C1907="Sale",SUMIFS($D$4:D1907,$B$4:B1907,B1907,$C$4:C1907,"")+SUMIFS($D$4:D1907,$B$4:B1907,B1907,$C$4:C1907,"Purch")-SUMIFS($D$4:D1907,$B$4:B1907,B1907,$C$4:C1907,"Sale"),0)</f>
        <v>0</v>
      </c>
    </row>
    <row r="1908" spans="1:14" x14ac:dyDescent="0.2">
      <c r="A1908" s="152"/>
      <c r="B1908" s="132"/>
      <c r="C1908" s="132"/>
      <c r="D1908" s="277"/>
      <c r="E1908" s="132"/>
      <c r="F1908" s="170"/>
      <c r="G1908" s="150"/>
      <c r="H1908" s="152"/>
      <c r="I1908" s="204"/>
      <c r="J1908" s="285"/>
      <c r="K1908" s="251"/>
      <c r="L1908" s="133" t="str">
        <f>IF(AND(I1908&lt;&gt;"",ISERROR(IF(ISERROR(VLOOKUP(I1908*1,Summary!$C$8:$C$153,1,0)),VLOOKUP(I1908,Summary!$C$8:$C$153,1,0),VLOOKUP(I1908*1,Summary!$C$8:$C$153,1,0)))),"Add account Number to Summary","")</f>
        <v/>
      </c>
      <c r="M1908" s="131" t="str">
        <f t="shared" si="30"/>
        <v/>
      </c>
      <c r="N1908" s="287">
        <f>IF(C1908="Sale",SUMIFS($D$4:D1908,$B$4:B1908,B1908,$C$4:C1908,"")+SUMIFS($D$4:D1908,$B$4:B1908,B1908,$C$4:C1908,"Purch")-SUMIFS($D$4:D1908,$B$4:B1908,B1908,$C$4:C1908,"Sale"),0)</f>
        <v>0</v>
      </c>
    </row>
    <row r="1909" spans="1:14" x14ac:dyDescent="0.2">
      <c r="A1909" s="152"/>
      <c r="B1909" s="132"/>
      <c r="C1909" s="132"/>
      <c r="D1909" s="277"/>
      <c r="E1909" s="132"/>
      <c r="F1909" s="170"/>
      <c r="G1909" s="150"/>
      <c r="H1909" s="152"/>
      <c r="I1909" s="204"/>
      <c r="J1909" s="285"/>
      <c r="K1909" s="251"/>
      <c r="L1909" s="133" t="str">
        <f>IF(AND(I1909&lt;&gt;"",ISERROR(IF(ISERROR(VLOOKUP(I1909*1,Summary!$C$8:$C$153,1,0)),VLOOKUP(I1909,Summary!$C$8:$C$153,1,0),VLOOKUP(I1909*1,Summary!$C$8:$C$153,1,0)))),"Add account Number to Summary","")</f>
        <v/>
      </c>
      <c r="M1909" s="131" t="str">
        <f t="shared" si="30"/>
        <v/>
      </c>
      <c r="N1909" s="287">
        <f>IF(C1909="Sale",SUMIFS($D$4:D1909,$B$4:B1909,B1909,$C$4:C1909,"")+SUMIFS($D$4:D1909,$B$4:B1909,B1909,$C$4:C1909,"Purch")-SUMIFS($D$4:D1909,$B$4:B1909,B1909,$C$4:C1909,"Sale"),0)</f>
        <v>0</v>
      </c>
    </row>
    <row r="1910" spans="1:14" x14ac:dyDescent="0.2">
      <c r="A1910" s="152"/>
      <c r="B1910" s="132"/>
      <c r="C1910" s="132"/>
      <c r="D1910" s="277"/>
      <c r="E1910" s="132"/>
      <c r="F1910" s="170"/>
      <c r="G1910" s="150"/>
      <c r="H1910" s="152"/>
      <c r="I1910" s="204"/>
      <c r="J1910" s="285"/>
      <c r="K1910" s="251"/>
      <c r="L1910" s="133" t="str">
        <f>IF(AND(I1910&lt;&gt;"",ISERROR(IF(ISERROR(VLOOKUP(I1910*1,Summary!$C$8:$C$153,1,0)),VLOOKUP(I1910,Summary!$C$8:$C$153,1,0),VLOOKUP(I1910*1,Summary!$C$8:$C$153,1,0)))),"Add account Number to Summary","")</f>
        <v/>
      </c>
      <c r="M1910" s="131" t="str">
        <f t="shared" si="30"/>
        <v/>
      </c>
      <c r="N1910" s="287">
        <f>IF(C1910="Sale",SUMIFS($D$4:D1910,$B$4:B1910,B1910,$C$4:C1910,"")+SUMIFS($D$4:D1910,$B$4:B1910,B1910,$C$4:C1910,"Purch")-SUMIFS($D$4:D1910,$B$4:B1910,B1910,$C$4:C1910,"Sale"),0)</f>
        <v>0</v>
      </c>
    </row>
    <row r="1911" spans="1:14" x14ac:dyDescent="0.2">
      <c r="A1911" s="152"/>
      <c r="B1911" s="132"/>
      <c r="C1911" s="132"/>
      <c r="D1911" s="277"/>
      <c r="E1911" s="132"/>
      <c r="F1911" s="170"/>
      <c r="G1911" s="150"/>
      <c r="H1911" s="152"/>
      <c r="I1911" s="204"/>
      <c r="J1911" s="285"/>
      <c r="K1911" s="251"/>
      <c r="L1911" s="133" t="str">
        <f>IF(AND(I1911&lt;&gt;"",ISERROR(IF(ISERROR(VLOOKUP(I1911*1,Summary!$C$8:$C$153,1,0)),VLOOKUP(I1911,Summary!$C$8:$C$153,1,0),VLOOKUP(I1911*1,Summary!$C$8:$C$153,1,0)))),"Add account Number to Summary","")</f>
        <v/>
      </c>
      <c r="M1911" s="131" t="str">
        <f t="shared" si="30"/>
        <v/>
      </c>
      <c r="N1911" s="287">
        <f>IF(C1911="Sale",SUMIFS($D$4:D1911,$B$4:B1911,B1911,$C$4:C1911,"")+SUMIFS($D$4:D1911,$B$4:B1911,B1911,$C$4:C1911,"Purch")-SUMIFS($D$4:D1911,$B$4:B1911,B1911,$C$4:C1911,"Sale"),0)</f>
        <v>0</v>
      </c>
    </row>
    <row r="1912" spans="1:14" x14ac:dyDescent="0.2">
      <c r="A1912" s="152"/>
      <c r="B1912" s="132"/>
      <c r="C1912" s="132"/>
      <c r="D1912" s="277"/>
      <c r="E1912" s="132"/>
      <c r="F1912" s="170"/>
      <c r="G1912" s="150"/>
      <c r="H1912" s="152"/>
      <c r="I1912" s="204"/>
      <c r="J1912" s="285"/>
      <c r="K1912" s="251"/>
      <c r="L1912" s="133" t="str">
        <f>IF(AND(I1912&lt;&gt;"",ISERROR(IF(ISERROR(VLOOKUP(I1912*1,Summary!$C$8:$C$153,1,0)),VLOOKUP(I1912,Summary!$C$8:$C$153,1,0),VLOOKUP(I1912*1,Summary!$C$8:$C$153,1,0)))),"Add account Number to Summary","")</f>
        <v/>
      </c>
      <c r="M1912" s="131" t="str">
        <f t="shared" si="30"/>
        <v/>
      </c>
      <c r="N1912" s="287">
        <f>IF(C1912="Sale",SUMIFS($D$4:D1912,$B$4:B1912,B1912,$C$4:C1912,"")+SUMIFS($D$4:D1912,$B$4:B1912,B1912,$C$4:C1912,"Purch")-SUMIFS($D$4:D1912,$B$4:B1912,B1912,$C$4:C1912,"Sale"),0)</f>
        <v>0</v>
      </c>
    </row>
    <row r="1913" spans="1:14" x14ac:dyDescent="0.2">
      <c r="A1913" s="152"/>
      <c r="B1913" s="132"/>
      <c r="C1913" s="132"/>
      <c r="D1913" s="277"/>
      <c r="E1913" s="132"/>
      <c r="F1913" s="170"/>
      <c r="G1913" s="150"/>
      <c r="H1913" s="152"/>
      <c r="I1913" s="204"/>
      <c r="J1913" s="285"/>
      <c r="K1913" s="251"/>
      <c r="L1913" s="133" t="str">
        <f>IF(AND(I1913&lt;&gt;"",ISERROR(IF(ISERROR(VLOOKUP(I1913*1,Summary!$C$8:$C$153,1,0)),VLOOKUP(I1913,Summary!$C$8:$C$153,1,0),VLOOKUP(I1913*1,Summary!$C$8:$C$153,1,0)))),"Add account Number to Summary","")</f>
        <v/>
      </c>
      <c r="M1913" s="131" t="str">
        <f t="shared" si="30"/>
        <v/>
      </c>
      <c r="N1913" s="287">
        <f>IF(C1913="Sale",SUMIFS($D$4:D1913,$B$4:B1913,B1913,$C$4:C1913,"")+SUMIFS($D$4:D1913,$B$4:B1913,B1913,$C$4:C1913,"Purch")-SUMIFS($D$4:D1913,$B$4:B1913,B1913,$C$4:C1913,"Sale"),0)</f>
        <v>0</v>
      </c>
    </row>
    <row r="1914" spans="1:14" x14ac:dyDescent="0.2">
      <c r="A1914" s="152"/>
      <c r="B1914" s="132"/>
      <c r="C1914" s="132"/>
      <c r="D1914" s="277"/>
      <c r="E1914" s="132"/>
      <c r="F1914" s="170"/>
      <c r="G1914" s="150"/>
      <c r="H1914" s="152"/>
      <c r="I1914" s="204"/>
      <c r="J1914" s="285"/>
      <c r="K1914" s="251"/>
      <c r="L1914" s="133" t="str">
        <f>IF(AND(I1914&lt;&gt;"",ISERROR(IF(ISERROR(VLOOKUP(I1914*1,Summary!$C$8:$C$153,1,0)),VLOOKUP(I1914,Summary!$C$8:$C$153,1,0),VLOOKUP(I1914*1,Summary!$C$8:$C$153,1,0)))),"Add account Number to Summary","")</f>
        <v/>
      </c>
      <c r="M1914" s="131" t="str">
        <f t="shared" si="30"/>
        <v/>
      </c>
      <c r="N1914" s="287">
        <f>IF(C1914="Sale",SUMIFS($D$4:D1914,$B$4:B1914,B1914,$C$4:C1914,"")+SUMIFS($D$4:D1914,$B$4:B1914,B1914,$C$4:C1914,"Purch")-SUMIFS($D$4:D1914,$B$4:B1914,B1914,$C$4:C1914,"Sale"),0)</f>
        <v>0</v>
      </c>
    </row>
    <row r="1915" spans="1:14" x14ac:dyDescent="0.2">
      <c r="A1915" s="152"/>
      <c r="B1915" s="132"/>
      <c r="C1915" s="132"/>
      <c r="D1915" s="277"/>
      <c r="E1915" s="132"/>
      <c r="F1915" s="170"/>
      <c r="G1915" s="150"/>
      <c r="H1915" s="152"/>
      <c r="I1915" s="204"/>
      <c r="J1915" s="285"/>
      <c r="K1915" s="251"/>
      <c r="L1915" s="133" t="str">
        <f>IF(AND(I1915&lt;&gt;"",ISERROR(IF(ISERROR(VLOOKUP(I1915*1,Summary!$C$8:$C$153,1,0)),VLOOKUP(I1915,Summary!$C$8:$C$153,1,0),VLOOKUP(I1915*1,Summary!$C$8:$C$153,1,0)))),"Add account Number to Summary","")</f>
        <v/>
      </c>
      <c r="M1915" s="131" t="str">
        <f t="shared" si="30"/>
        <v/>
      </c>
      <c r="N1915" s="287">
        <f>IF(C1915="Sale",SUMIFS($D$4:D1915,$B$4:B1915,B1915,$C$4:C1915,"")+SUMIFS($D$4:D1915,$B$4:B1915,B1915,$C$4:C1915,"Purch")-SUMIFS($D$4:D1915,$B$4:B1915,B1915,$C$4:C1915,"Sale"),0)</f>
        <v>0</v>
      </c>
    </row>
    <row r="1916" spans="1:14" x14ac:dyDescent="0.2">
      <c r="A1916" s="152"/>
      <c r="B1916" s="132"/>
      <c r="C1916" s="132"/>
      <c r="D1916" s="277"/>
      <c r="E1916" s="132"/>
      <c r="F1916" s="170"/>
      <c r="G1916" s="150"/>
      <c r="H1916" s="152"/>
      <c r="I1916" s="204"/>
      <c r="J1916" s="285"/>
      <c r="K1916" s="251"/>
      <c r="L1916" s="133" t="str">
        <f>IF(AND(I1916&lt;&gt;"",ISERROR(IF(ISERROR(VLOOKUP(I1916*1,Summary!$C$8:$C$153,1,0)),VLOOKUP(I1916,Summary!$C$8:$C$153,1,0),VLOOKUP(I1916*1,Summary!$C$8:$C$153,1,0)))),"Add account Number to Summary","")</f>
        <v/>
      </c>
      <c r="M1916" s="131" t="str">
        <f t="shared" si="30"/>
        <v/>
      </c>
      <c r="N1916" s="287">
        <f>IF(C1916="Sale",SUMIFS($D$4:D1916,$B$4:B1916,B1916,$C$4:C1916,"")+SUMIFS($D$4:D1916,$B$4:B1916,B1916,$C$4:C1916,"Purch")-SUMIFS($D$4:D1916,$B$4:B1916,B1916,$C$4:C1916,"Sale"),0)</f>
        <v>0</v>
      </c>
    </row>
    <row r="1917" spans="1:14" x14ac:dyDescent="0.2">
      <c r="A1917" s="152"/>
      <c r="B1917" s="132"/>
      <c r="C1917" s="132"/>
      <c r="D1917" s="277"/>
      <c r="E1917" s="132"/>
      <c r="F1917" s="170"/>
      <c r="G1917" s="150"/>
      <c r="H1917" s="152"/>
      <c r="I1917" s="204"/>
      <c r="J1917" s="285"/>
      <c r="K1917" s="251"/>
      <c r="L1917" s="133" t="str">
        <f>IF(AND(I1917&lt;&gt;"",ISERROR(IF(ISERROR(VLOOKUP(I1917*1,Summary!$C$8:$C$153,1,0)),VLOOKUP(I1917,Summary!$C$8:$C$153,1,0),VLOOKUP(I1917*1,Summary!$C$8:$C$153,1,0)))),"Add account Number to Summary","")</f>
        <v/>
      </c>
      <c r="M1917" s="131" t="str">
        <f t="shared" si="30"/>
        <v/>
      </c>
      <c r="N1917" s="287">
        <f>IF(C1917="Sale",SUMIFS($D$4:D1917,$B$4:B1917,B1917,$C$4:C1917,"")+SUMIFS($D$4:D1917,$B$4:B1917,B1917,$C$4:C1917,"Purch")-SUMIFS($D$4:D1917,$B$4:B1917,B1917,$C$4:C1917,"Sale"),0)</f>
        <v>0</v>
      </c>
    </row>
    <row r="1918" spans="1:14" x14ac:dyDescent="0.2">
      <c r="A1918" s="152"/>
      <c r="B1918" s="132"/>
      <c r="C1918" s="132"/>
      <c r="D1918" s="277"/>
      <c r="E1918" s="132"/>
      <c r="F1918" s="170"/>
      <c r="G1918" s="150"/>
      <c r="H1918" s="152"/>
      <c r="I1918" s="204"/>
      <c r="J1918" s="285"/>
      <c r="K1918" s="251"/>
      <c r="L1918" s="133" t="str">
        <f>IF(AND(I1918&lt;&gt;"",ISERROR(IF(ISERROR(VLOOKUP(I1918*1,Summary!$C$8:$C$153,1,0)),VLOOKUP(I1918,Summary!$C$8:$C$153,1,0),VLOOKUP(I1918*1,Summary!$C$8:$C$153,1,0)))),"Add account Number to Summary","")</f>
        <v/>
      </c>
      <c r="M1918" s="131" t="str">
        <f t="shared" si="30"/>
        <v/>
      </c>
      <c r="N1918" s="287">
        <f>IF(C1918="Sale",SUMIFS($D$4:D1918,$B$4:B1918,B1918,$C$4:C1918,"")+SUMIFS($D$4:D1918,$B$4:B1918,B1918,$C$4:C1918,"Purch")-SUMIFS($D$4:D1918,$B$4:B1918,B1918,$C$4:C1918,"Sale"),0)</f>
        <v>0</v>
      </c>
    </row>
    <row r="1919" spans="1:14" x14ac:dyDescent="0.2">
      <c r="A1919" s="152"/>
      <c r="B1919" s="132"/>
      <c r="C1919" s="132"/>
      <c r="D1919" s="277"/>
      <c r="E1919" s="132"/>
      <c r="F1919" s="170"/>
      <c r="G1919" s="150"/>
      <c r="H1919" s="152"/>
      <c r="I1919" s="204"/>
      <c r="J1919" s="285"/>
      <c r="K1919" s="251"/>
      <c r="L1919" s="133" t="str">
        <f>IF(AND(I1919&lt;&gt;"",ISERROR(IF(ISERROR(VLOOKUP(I1919*1,Summary!$C$8:$C$153,1,0)),VLOOKUP(I1919,Summary!$C$8:$C$153,1,0),VLOOKUP(I1919*1,Summary!$C$8:$C$153,1,0)))),"Add account Number to Summary","")</f>
        <v/>
      </c>
      <c r="M1919" s="131" t="str">
        <f t="shared" si="30"/>
        <v/>
      </c>
      <c r="N1919" s="287">
        <f>IF(C1919="Sale",SUMIFS($D$4:D1919,$B$4:B1919,B1919,$C$4:C1919,"")+SUMIFS($D$4:D1919,$B$4:B1919,B1919,$C$4:C1919,"Purch")-SUMIFS($D$4:D1919,$B$4:B1919,B1919,$C$4:C1919,"Sale"),0)</f>
        <v>0</v>
      </c>
    </row>
    <row r="1920" spans="1:14" x14ac:dyDescent="0.2">
      <c r="A1920" s="152"/>
      <c r="B1920" s="132"/>
      <c r="C1920" s="132"/>
      <c r="D1920" s="277"/>
      <c r="E1920" s="132"/>
      <c r="F1920" s="170"/>
      <c r="G1920" s="150"/>
      <c r="H1920" s="152"/>
      <c r="I1920" s="204"/>
      <c r="J1920" s="285"/>
      <c r="K1920" s="251"/>
      <c r="L1920" s="133" t="str">
        <f>IF(AND(I1920&lt;&gt;"",ISERROR(IF(ISERROR(VLOOKUP(I1920*1,Summary!$C$8:$C$153,1,0)),VLOOKUP(I1920,Summary!$C$8:$C$153,1,0),VLOOKUP(I1920*1,Summary!$C$8:$C$153,1,0)))),"Add account Number to Summary","")</f>
        <v/>
      </c>
      <c r="M1920" s="131" t="str">
        <f t="shared" si="30"/>
        <v/>
      </c>
      <c r="N1920" s="287">
        <f>IF(C1920="Sale",SUMIFS($D$4:D1920,$B$4:B1920,B1920,$C$4:C1920,"")+SUMIFS($D$4:D1920,$B$4:B1920,B1920,$C$4:C1920,"Purch")-SUMIFS($D$4:D1920,$B$4:B1920,B1920,$C$4:C1920,"Sale"),0)</f>
        <v>0</v>
      </c>
    </row>
    <row r="1921" spans="1:14" x14ac:dyDescent="0.2">
      <c r="A1921" s="152"/>
      <c r="B1921" s="132"/>
      <c r="C1921" s="132"/>
      <c r="D1921" s="277"/>
      <c r="E1921" s="132"/>
      <c r="F1921" s="170"/>
      <c r="G1921" s="150"/>
      <c r="H1921" s="152"/>
      <c r="I1921" s="204"/>
      <c r="J1921" s="285"/>
      <c r="K1921" s="251"/>
      <c r="L1921" s="133" t="str">
        <f>IF(AND(I1921&lt;&gt;"",ISERROR(IF(ISERROR(VLOOKUP(I1921*1,Summary!$C$8:$C$153,1,0)),VLOOKUP(I1921,Summary!$C$8:$C$153,1,0),VLOOKUP(I1921*1,Summary!$C$8:$C$153,1,0)))),"Add account Number to Summary","")</f>
        <v/>
      </c>
      <c r="M1921" s="131" t="str">
        <f t="shared" si="30"/>
        <v/>
      </c>
      <c r="N1921" s="287">
        <f>IF(C1921="Sale",SUMIFS($D$4:D1921,$B$4:B1921,B1921,$C$4:C1921,"")+SUMIFS($D$4:D1921,$B$4:B1921,B1921,$C$4:C1921,"Purch")-SUMIFS($D$4:D1921,$B$4:B1921,B1921,$C$4:C1921,"Sale"),0)</f>
        <v>0</v>
      </c>
    </row>
    <row r="1922" spans="1:14" x14ac:dyDescent="0.2">
      <c r="A1922" s="152"/>
      <c r="B1922" s="132"/>
      <c r="C1922" s="132"/>
      <c r="D1922" s="277"/>
      <c r="E1922" s="132"/>
      <c r="F1922" s="170"/>
      <c r="G1922" s="150"/>
      <c r="H1922" s="152"/>
      <c r="I1922" s="204"/>
      <c r="J1922" s="285"/>
      <c r="K1922" s="251"/>
      <c r="L1922" s="133" t="str">
        <f>IF(AND(I1922&lt;&gt;"",ISERROR(IF(ISERROR(VLOOKUP(I1922*1,Summary!$C$8:$C$153,1,0)),VLOOKUP(I1922,Summary!$C$8:$C$153,1,0),VLOOKUP(I1922*1,Summary!$C$8:$C$153,1,0)))),"Add account Number to Summary","")</f>
        <v/>
      </c>
      <c r="M1922" s="131" t="str">
        <f t="shared" si="30"/>
        <v/>
      </c>
      <c r="N1922" s="287">
        <f>IF(C1922="Sale",SUMIFS($D$4:D1922,$B$4:B1922,B1922,$C$4:C1922,"")+SUMIFS($D$4:D1922,$B$4:B1922,B1922,$C$4:C1922,"Purch")-SUMIFS($D$4:D1922,$B$4:B1922,B1922,$C$4:C1922,"Sale"),0)</f>
        <v>0</v>
      </c>
    </row>
    <row r="1923" spans="1:14" x14ac:dyDescent="0.2">
      <c r="A1923" s="152"/>
      <c r="B1923" s="132"/>
      <c r="C1923" s="132"/>
      <c r="D1923" s="277"/>
      <c r="E1923" s="132"/>
      <c r="F1923" s="170"/>
      <c r="G1923" s="150"/>
      <c r="H1923" s="152"/>
      <c r="I1923" s="204"/>
      <c r="J1923" s="285"/>
      <c r="K1923" s="251"/>
      <c r="L1923" s="133" t="str">
        <f>IF(AND(I1923&lt;&gt;"",ISERROR(IF(ISERROR(VLOOKUP(I1923*1,Summary!$C$8:$C$153,1,0)),VLOOKUP(I1923,Summary!$C$8:$C$153,1,0),VLOOKUP(I1923*1,Summary!$C$8:$C$153,1,0)))),"Add account Number to Summary","")</f>
        <v/>
      </c>
      <c r="M1923" s="131" t="str">
        <f t="shared" si="30"/>
        <v/>
      </c>
      <c r="N1923" s="287">
        <f>IF(C1923="Sale",SUMIFS($D$4:D1923,$B$4:B1923,B1923,$C$4:C1923,"")+SUMIFS($D$4:D1923,$B$4:B1923,B1923,$C$4:C1923,"Purch")-SUMIFS($D$4:D1923,$B$4:B1923,B1923,$C$4:C1923,"Sale"),0)</f>
        <v>0</v>
      </c>
    </row>
    <row r="1924" spans="1:14" x14ac:dyDescent="0.2">
      <c r="A1924" s="152"/>
      <c r="B1924" s="132"/>
      <c r="C1924" s="132"/>
      <c r="D1924" s="277"/>
      <c r="E1924" s="132"/>
      <c r="F1924" s="170"/>
      <c r="G1924" s="150"/>
      <c r="H1924" s="152"/>
      <c r="I1924" s="204"/>
      <c r="J1924" s="285"/>
      <c r="K1924" s="251"/>
      <c r="L1924" s="133" t="str">
        <f>IF(AND(I1924&lt;&gt;"",ISERROR(IF(ISERROR(VLOOKUP(I1924*1,Summary!$C$8:$C$153,1,0)),VLOOKUP(I1924,Summary!$C$8:$C$153,1,0),VLOOKUP(I1924*1,Summary!$C$8:$C$153,1,0)))),"Add account Number to Summary","")</f>
        <v/>
      </c>
      <c r="M1924" s="131" t="str">
        <f t="shared" si="30"/>
        <v/>
      </c>
      <c r="N1924" s="287">
        <f>IF(C1924="Sale",SUMIFS($D$4:D1924,$B$4:B1924,B1924,$C$4:C1924,"")+SUMIFS($D$4:D1924,$B$4:B1924,B1924,$C$4:C1924,"Purch")-SUMIFS($D$4:D1924,$B$4:B1924,B1924,$C$4:C1924,"Sale"),0)</f>
        <v>0</v>
      </c>
    </row>
    <row r="1925" spans="1:14" x14ac:dyDescent="0.2">
      <c r="A1925" s="152"/>
      <c r="B1925" s="132"/>
      <c r="C1925" s="132"/>
      <c r="D1925" s="277"/>
      <c r="E1925" s="132"/>
      <c r="F1925" s="170"/>
      <c r="G1925" s="150"/>
      <c r="H1925" s="152"/>
      <c r="I1925" s="204"/>
      <c r="J1925" s="285"/>
      <c r="K1925" s="251"/>
      <c r="L1925" s="133" t="str">
        <f>IF(AND(I1925&lt;&gt;"",ISERROR(IF(ISERROR(VLOOKUP(I1925*1,Summary!$C$8:$C$153,1,0)),VLOOKUP(I1925,Summary!$C$8:$C$153,1,0),VLOOKUP(I1925*1,Summary!$C$8:$C$153,1,0)))),"Add account Number to Summary","")</f>
        <v/>
      </c>
      <c r="M1925" s="131" t="str">
        <f t="shared" si="30"/>
        <v/>
      </c>
      <c r="N1925" s="287">
        <f>IF(C1925="Sale",SUMIFS($D$4:D1925,$B$4:B1925,B1925,$C$4:C1925,"")+SUMIFS($D$4:D1925,$B$4:B1925,B1925,$C$4:C1925,"Purch")-SUMIFS($D$4:D1925,$B$4:B1925,B1925,$C$4:C1925,"Sale"),0)</f>
        <v>0</v>
      </c>
    </row>
    <row r="1926" spans="1:14" x14ac:dyDescent="0.2">
      <c r="A1926" s="152"/>
      <c r="B1926" s="132"/>
      <c r="C1926" s="132"/>
      <c r="D1926" s="277"/>
      <c r="E1926" s="132"/>
      <c r="F1926" s="170"/>
      <c r="G1926" s="150"/>
      <c r="H1926" s="152"/>
      <c r="I1926" s="204"/>
      <c r="J1926" s="285"/>
      <c r="K1926" s="251"/>
      <c r="L1926" s="133" t="str">
        <f>IF(AND(I1926&lt;&gt;"",ISERROR(IF(ISERROR(VLOOKUP(I1926*1,Summary!$C$8:$C$153,1,0)),VLOOKUP(I1926,Summary!$C$8:$C$153,1,0),VLOOKUP(I1926*1,Summary!$C$8:$C$153,1,0)))),"Add account Number to Summary","")</f>
        <v/>
      </c>
      <c r="M1926" s="131" t="str">
        <f t="shared" si="30"/>
        <v/>
      </c>
      <c r="N1926" s="287">
        <f>IF(C1926="Sale",SUMIFS($D$4:D1926,$B$4:B1926,B1926,$C$4:C1926,"")+SUMIFS($D$4:D1926,$B$4:B1926,B1926,$C$4:C1926,"Purch")-SUMIFS($D$4:D1926,$B$4:B1926,B1926,$C$4:C1926,"Sale"),0)</f>
        <v>0</v>
      </c>
    </row>
    <row r="1927" spans="1:14" x14ac:dyDescent="0.2">
      <c r="A1927" s="152"/>
      <c r="B1927" s="132"/>
      <c r="C1927" s="132"/>
      <c r="D1927" s="277"/>
      <c r="E1927" s="132"/>
      <c r="F1927" s="170"/>
      <c r="G1927" s="150"/>
      <c r="H1927" s="152"/>
      <c r="I1927" s="204"/>
      <c r="J1927" s="285"/>
      <c r="K1927" s="251"/>
      <c r="L1927" s="133" t="str">
        <f>IF(AND(I1927&lt;&gt;"",ISERROR(IF(ISERROR(VLOOKUP(I1927*1,Summary!$C$8:$C$153,1,0)),VLOOKUP(I1927,Summary!$C$8:$C$153,1,0),VLOOKUP(I1927*1,Summary!$C$8:$C$153,1,0)))),"Add account Number to Summary","")</f>
        <v/>
      </c>
      <c r="M1927" s="131" t="str">
        <f t="shared" si="30"/>
        <v/>
      </c>
      <c r="N1927" s="287">
        <f>IF(C1927="Sale",SUMIFS($D$4:D1927,$B$4:B1927,B1927,$C$4:C1927,"")+SUMIFS($D$4:D1927,$B$4:B1927,B1927,$C$4:C1927,"Purch")-SUMIFS($D$4:D1927,$B$4:B1927,B1927,$C$4:C1927,"Sale"),0)</f>
        <v>0</v>
      </c>
    </row>
    <row r="1928" spans="1:14" x14ac:dyDescent="0.2">
      <c r="A1928" s="152"/>
      <c r="B1928" s="132"/>
      <c r="C1928" s="132"/>
      <c r="D1928" s="277"/>
      <c r="E1928" s="132"/>
      <c r="F1928" s="170"/>
      <c r="G1928" s="150"/>
      <c r="H1928" s="152"/>
      <c r="I1928" s="204"/>
      <c r="J1928" s="285"/>
      <c r="K1928" s="251"/>
      <c r="L1928" s="133" t="str">
        <f>IF(AND(I1928&lt;&gt;"",ISERROR(IF(ISERROR(VLOOKUP(I1928*1,Summary!$C$8:$C$153,1,0)),VLOOKUP(I1928,Summary!$C$8:$C$153,1,0),VLOOKUP(I1928*1,Summary!$C$8:$C$153,1,0)))),"Add account Number to Summary","")</f>
        <v/>
      </c>
      <c r="M1928" s="131" t="str">
        <f t="shared" si="30"/>
        <v/>
      </c>
      <c r="N1928" s="287">
        <f>IF(C1928="Sale",SUMIFS($D$4:D1928,$B$4:B1928,B1928,$C$4:C1928,"")+SUMIFS($D$4:D1928,$B$4:B1928,B1928,$C$4:C1928,"Purch")-SUMIFS($D$4:D1928,$B$4:B1928,B1928,$C$4:C1928,"Sale"),0)</f>
        <v>0</v>
      </c>
    </row>
    <row r="1929" spans="1:14" x14ac:dyDescent="0.2">
      <c r="A1929" s="152"/>
      <c r="B1929" s="132"/>
      <c r="C1929" s="132"/>
      <c r="D1929" s="277"/>
      <c r="E1929" s="132"/>
      <c r="F1929" s="170"/>
      <c r="G1929" s="150"/>
      <c r="H1929" s="152"/>
      <c r="I1929" s="204"/>
      <c r="J1929" s="285"/>
      <c r="K1929" s="251"/>
      <c r="L1929" s="133" t="str">
        <f>IF(AND(I1929&lt;&gt;"",ISERROR(IF(ISERROR(VLOOKUP(I1929*1,Summary!$C$8:$C$153,1,0)),VLOOKUP(I1929,Summary!$C$8:$C$153,1,0),VLOOKUP(I1929*1,Summary!$C$8:$C$153,1,0)))),"Add account Number to Summary","")</f>
        <v/>
      </c>
      <c r="M1929" s="131" t="str">
        <f t="shared" si="30"/>
        <v/>
      </c>
      <c r="N1929" s="287">
        <f>IF(C1929="Sale",SUMIFS($D$4:D1929,$B$4:B1929,B1929,$C$4:C1929,"")+SUMIFS($D$4:D1929,$B$4:B1929,B1929,$C$4:C1929,"Purch")-SUMIFS($D$4:D1929,$B$4:B1929,B1929,$C$4:C1929,"Sale"),0)</f>
        <v>0</v>
      </c>
    </row>
    <row r="1930" spans="1:14" x14ac:dyDescent="0.2">
      <c r="A1930" s="152"/>
      <c r="B1930" s="132"/>
      <c r="C1930" s="132"/>
      <c r="D1930" s="277"/>
      <c r="E1930" s="132"/>
      <c r="F1930" s="170"/>
      <c r="G1930" s="150"/>
      <c r="H1930" s="152"/>
      <c r="I1930" s="204"/>
      <c r="J1930" s="285"/>
      <c r="K1930" s="251"/>
      <c r="L1930" s="133" t="str">
        <f>IF(AND(I1930&lt;&gt;"",ISERROR(IF(ISERROR(VLOOKUP(I1930*1,Summary!$C$8:$C$153,1,0)),VLOOKUP(I1930,Summary!$C$8:$C$153,1,0),VLOOKUP(I1930*1,Summary!$C$8:$C$153,1,0)))),"Add account Number to Summary","")</f>
        <v/>
      </c>
      <c r="M1930" s="131" t="str">
        <f t="shared" si="30"/>
        <v/>
      </c>
      <c r="N1930" s="287">
        <f>IF(C1930="Sale",SUMIFS($D$4:D1930,$B$4:B1930,B1930,$C$4:C1930,"")+SUMIFS($D$4:D1930,$B$4:B1930,B1930,$C$4:C1930,"Purch")-SUMIFS($D$4:D1930,$B$4:B1930,B1930,$C$4:C1930,"Sale"),0)</f>
        <v>0</v>
      </c>
    </row>
    <row r="1931" spans="1:14" x14ac:dyDescent="0.2">
      <c r="A1931" s="152"/>
      <c r="B1931" s="132"/>
      <c r="C1931" s="132"/>
      <c r="D1931" s="277"/>
      <c r="E1931" s="132"/>
      <c r="F1931" s="170"/>
      <c r="G1931" s="150"/>
      <c r="H1931" s="152"/>
      <c r="I1931" s="204"/>
      <c r="J1931" s="285"/>
      <c r="K1931" s="251"/>
      <c r="L1931" s="133" t="str">
        <f>IF(AND(I1931&lt;&gt;"",ISERROR(IF(ISERROR(VLOOKUP(I1931*1,Summary!$C$8:$C$153,1,0)),VLOOKUP(I1931,Summary!$C$8:$C$153,1,0),VLOOKUP(I1931*1,Summary!$C$8:$C$153,1,0)))),"Add account Number to Summary","")</f>
        <v/>
      </c>
      <c r="M1931" s="131" t="str">
        <f t="shared" si="30"/>
        <v/>
      </c>
      <c r="N1931" s="287">
        <f>IF(C1931="Sale",SUMIFS($D$4:D1931,$B$4:B1931,B1931,$C$4:C1931,"")+SUMIFS($D$4:D1931,$B$4:B1931,B1931,$C$4:C1931,"Purch")-SUMIFS($D$4:D1931,$B$4:B1931,B1931,$C$4:C1931,"Sale"),0)</f>
        <v>0</v>
      </c>
    </row>
    <row r="1932" spans="1:14" x14ac:dyDescent="0.2">
      <c r="A1932" s="152"/>
      <c r="B1932" s="132"/>
      <c r="C1932" s="132"/>
      <c r="D1932" s="277"/>
      <c r="E1932" s="132"/>
      <c r="F1932" s="170"/>
      <c r="G1932" s="150"/>
      <c r="H1932" s="152"/>
      <c r="I1932" s="204"/>
      <c r="J1932" s="285"/>
      <c r="K1932" s="251"/>
      <c r="L1932" s="133" t="str">
        <f>IF(AND(I1932&lt;&gt;"",ISERROR(IF(ISERROR(VLOOKUP(I1932*1,Summary!$C$8:$C$153,1,0)),VLOOKUP(I1932,Summary!$C$8:$C$153,1,0),VLOOKUP(I1932*1,Summary!$C$8:$C$153,1,0)))),"Add account Number to Summary","")</f>
        <v/>
      </c>
      <c r="M1932" s="131" t="str">
        <f t="shared" si="30"/>
        <v/>
      </c>
      <c r="N1932" s="287">
        <f>IF(C1932="Sale",SUMIFS($D$4:D1932,$B$4:B1932,B1932,$C$4:C1932,"")+SUMIFS($D$4:D1932,$B$4:B1932,B1932,$C$4:C1932,"Purch")-SUMIFS($D$4:D1932,$B$4:B1932,B1932,$C$4:C1932,"Sale"),0)</f>
        <v>0</v>
      </c>
    </row>
    <row r="1933" spans="1:14" x14ac:dyDescent="0.2">
      <c r="A1933" s="152"/>
      <c r="B1933" s="132"/>
      <c r="C1933" s="132"/>
      <c r="D1933" s="277"/>
      <c r="E1933" s="132"/>
      <c r="F1933" s="170"/>
      <c r="G1933" s="150"/>
      <c r="H1933" s="152"/>
      <c r="I1933" s="204"/>
      <c r="J1933" s="285"/>
      <c r="K1933" s="251"/>
      <c r="L1933" s="133" t="str">
        <f>IF(AND(I1933&lt;&gt;"",ISERROR(IF(ISERROR(VLOOKUP(I1933*1,Summary!$C$8:$C$153,1,0)),VLOOKUP(I1933,Summary!$C$8:$C$153,1,0),VLOOKUP(I1933*1,Summary!$C$8:$C$153,1,0)))),"Add account Number to Summary","")</f>
        <v/>
      </c>
      <c r="M1933" s="131" t="str">
        <f t="shared" si="30"/>
        <v/>
      </c>
      <c r="N1933" s="287">
        <f>IF(C1933="Sale",SUMIFS($D$4:D1933,$B$4:B1933,B1933,$C$4:C1933,"")+SUMIFS($D$4:D1933,$B$4:B1933,B1933,$C$4:C1933,"Purch")-SUMIFS($D$4:D1933,$B$4:B1933,B1933,$C$4:C1933,"Sale"),0)</f>
        <v>0</v>
      </c>
    </row>
    <row r="1934" spans="1:14" x14ac:dyDescent="0.2">
      <c r="A1934" s="152"/>
      <c r="B1934" s="132"/>
      <c r="C1934" s="132"/>
      <c r="D1934" s="277"/>
      <c r="E1934" s="132"/>
      <c r="F1934" s="170"/>
      <c r="G1934" s="150"/>
      <c r="H1934" s="152"/>
      <c r="I1934" s="204"/>
      <c r="J1934" s="285"/>
      <c r="K1934" s="251"/>
      <c r="L1934" s="133" t="str">
        <f>IF(AND(I1934&lt;&gt;"",ISERROR(IF(ISERROR(VLOOKUP(I1934*1,Summary!$C$8:$C$153,1,0)),VLOOKUP(I1934,Summary!$C$8:$C$153,1,0),VLOOKUP(I1934*1,Summary!$C$8:$C$153,1,0)))),"Add account Number to Summary","")</f>
        <v/>
      </c>
      <c r="M1934" s="131" t="str">
        <f t="shared" si="30"/>
        <v/>
      </c>
      <c r="N1934" s="287">
        <f>IF(C1934="Sale",SUMIFS($D$4:D1934,$B$4:B1934,B1934,$C$4:C1934,"")+SUMIFS($D$4:D1934,$B$4:B1934,B1934,$C$4:C1934,"Purch")-SUMIFS($D$4:D1934,$B$4:B1934,B1934,$C$4:C1934,"Sale"),0)</f>
        <v>0</v>
      </c>
    </row>
    <row r="1935" spans="1:14" x14ac:dyDescent="0.2">
      <c r="A1935" s="152"/>
      <c r="B1935" s="132"/>
      <c r="C1935" s="132"/>
      <c r="D1935" s="277"/>
      <c r="E1935" s="132"/>
      <c r="F1935" s="170"/>
      <c r="G1935" s="150"/>
      <c r="H1935" s="152"/>
      <c r="I1935" s="204"/>
      <c r="J1935" s="285"/>
      <c r="K1935" s="251"/>
      <c r="L1935" s="133" t="str">
        <f>IF(AND(I1935&lt;&gt;"",ISERROR(IF(ISERROR(VLOOKUP(I1935*1,Summary!$C$8:$C$153,1,0)),VLOOKUP(I1935,Summary!$C$8:$C$153,1,0),VLOOKUP(I1935*1,Summary!$C$8:$C$153,1,0)))),"Add account Number to Summary","")</f>
        <v/>
      </c>
      <c r="M1935" s="131" t="str">
        <f t="shared" si="30"/>
        <v/>
      </c>
      <c r="N1935" s="287">
        <f>IF(C1935="Sale",SUMIFS($D$4:D1935,$B$4:B1935,B1935,$C$4:C1935,"")+SUMIFS($D$4:D1935,$B$4:B1935,B1935,$C$4:C1935,"Purch")-SUMIFS($D$4:D1935,$B$4:B1935,B1935,$C$4:C1935,"Sale"),0)</f>
        <v>0</v>
      </c>
    </row>
    <row r="1936" spans="1:14" x14ac:dyDescent="0.2">
      <c r="A1936" s="152"/>
      <c r="B1936" s="132"/>
      <c r="C1936" s="132"/>
      <c r="D1936" s="277"/>
      <c r="E1936" s="132"/>
      <c r="F1936" s="170"/>
      <c r="G1936" s="150"/>
      <c r="H1936" s="152"/>
      <c r="I1936" s="204"/>
      <c r="J1936" s="285"/>
      <c r="K1936" s="251"/>
      <c r="L1936" s="133" t="str">
        <f>IF(AND(I1936&lt;&gt;"",ISERROR(IF(ISERROR(VLOOKUP(I1936*1,Summary!$C$8:$C$153,1,0)),VLOOKUP(I1936,Summary!$C$8:$C$153,1,0),VLOOKUP(I1936*1,Summary!$C$8:$C$153,1,0)))),"Add account Number to Summary","")</f>
        <v/>
      </c>
      <c r="M1936" s="131" t="str">
        <f t="shared" si="30"/>
        <v/>
      </c>
      <c r="N1936" s="287">
        <f>IF(C1936="Sale",SUMIFS($D$4:D1936,$B$4:B1936,B1936,$C$4:C1936,"")+SUMIFS($D$4:D1936,$B$4:B1936,B1936,$C$4:C1936,"Purch")-SUMIFS($D$4:D1936,$B$4:B1936,B1936,$C$4:C1936,"Sale"),0)</f>
        <v>0</v>
      </c>
    </row>
    <row r="1937" spans="1:14" x14ac:dyDescent="0.2">
      <c r="A1937" s="152"/>
      <c r="B1937" s="132"/>
      <c r="C1937" s="132"/>
      <c r="D1937" s="277"/>
      <c r="E1937" s="132"/>
      <c r="F1937" s="170"/>
      <c r="G1937" s="150"/>
      <c r="H1937" s="152"/>
      <c r="I1937" s="204"/>
      <c r="J1937" s="285"/>
      <c r="K1937" s="251"/>
      <c r="L1937" s="133" t="str">
        <f>IF(AND(I1937&lt;&gt;"",ISERROR(IF(ISERROR(VLOOKUP(I1937*1,Summary!$C$8:$C$153,1,0)),VLOOKUP(I1937,Summary!$C$8:$C$153,1,0),VLOOKUP(I1937*1,Summary!$C$8:$C$153,1,0)))),"Add account Number to Summary","")</f>
        <v/>
      </c>
      <c r="M1937" s="131" t="str">
        <f t="shared" si="30"/>
        <v/>
      </c>
      <c r="N1937" s="287">
        <f>IF(C1937="Sale",SUMIFS($D$4:D1937,$B$4:B1937,B1937,$C$4:C1937,"")+SUMIFS($D$4:D1937,$B$4:B1937,B1937,$C$4:C1937,"Purch")-SUMIFS($D$4:D1937,$B$4:B1937,B1937,$C$4:C1937,"Sale"),0)</f>
        <v>0</v>
      </c>
    </row>
    <row r="1938" spans="1:14" x14ac:dyDescent="0.2">
      <c r="A1938" s="152"/>
      <c r="B1938" s="132"/>
      <c r="C1938" s="132"/>
      <c r="D1938" s="277"/>
      <c r="E1938" s="132"/>
      <c r="F1938" s="170"/>
      <c r="G1938" s="150"/>
      <c r="H1938" s="152"/>
      <c r="I1938" s="204"/>
      <c r="J1938" s="285"/>
      <c r="K1938" s="251"/>
      <c r="L1938" s="133" t="str">
        <f>IF(AND(I1938&lt;&gt;"",ISERROR(IF(ISERROR(VLOOKUP(I1938*1,Summary!$C$8:$C$153,1,0)),VLOOKUP(I1938,Summary!$C$8:$C$153,1,0),VLOOKUP(I1938*1,Summary!$C$8:$C$153,1,0)))),"Add account Number to Summary","")</f>
        <v/>
      </c>
      <c r="M1938" s="131" t="str">
        <f t="shared" si="30"/>
        <v/>
      </c>
      <c r="N1938" s="287">
        <f>IF(C1938="Sale",SUMIFS($D$4:D1938,$B$4:B1938,B1938,$C$4:C1938,"")+SUMIFS($D$4:D1938,$B$4:B1938,B1938,$C$4:C1938,"Purch")-SUMIFS($D$4:D1938,$B$4:B1938,B1938,$C$4:C1938,"Sale"),0)</f>
        <v>0</v>
      </c>
    </row>
    <row r="1939" spans="1:14" x14ac:dyDescent="0.2">
      <c r="A1939" s="152"/>
      <c r="B1939" s="132"/>
      <c r="C1939" s="132"/>
      <c r="D1939" s="277"/>
      <c r="E1939" s="132"/>
      <c r="F1939" s="170"/>
      <c r="G1939" s="150"/>
      <c r="H1939" s="152"/>
      <c r="I1939" s="204"/>
      <c r="J1939" s="285"/>
      <c r="K1939" s="251"/>
      <c r="L1939" s="133" t="str">
        <f>IF(AND(I1939&lt;&gt;"",ISERROR(IF(ISERROR(VLOOKUP(I1939*1,Summary!$C$8:$C$153,1,0)),VLOOKUP(I1939,Summary!$C$8:$C$153,1,0),VLOOKUP(I1939*1,Summary!$C$8:$C$153,1,0)))),"Add account Number to Summary","")</f>
        <v/>
      </c>
      <c r="M1939" s="131" t="str">
        <f t="shared" si="30"/>
        <v/>
      </c>
      <c r="N1939" s="287">
        <f>IF(C1939="Sale",SUMIFS($D$4:D1939,$B$4:B1939,B1939,$C$4:C1939,"")+SUMIFS($D$4:D1939,$B$4:B1939,B1939,$C$4:C1939,"Purch")-SUMIFS($D$4:D1939,$B$4:B1939,B1939,$C$4:C1939,"Sale"),0)</f>
        <v>0</v>
      </c>
    </row>
    <row r="1940" spans="1:14" x14ac:dyDescent="0.2">
      <c r="A1940" s="152"/>
      <c r="B1940" s="132"/>
      <c r="C1940" s="132"/>
      <c r="D1940" s="277"/>
      <c r="E1940" s="132"/>
      <c r="F1940" s="170"/>
      <c r="G1940" s="150"/>
      <c r="H1940" s="152"/>
      <c r="I1940" s="204"/>
      <c r="J1940" s="285"/>
      <c r="K1940" s="251"/>
      <c r="L1940" s="133" t="str">
        <f>IF(AND(I1940&lt;&gt;"",ISERROR(IF(ISERROR(VLOOKUP(I1940*1,Summary!$C$8:$C$153,1,0)),VLOOKUP(I1940,Summary!$C$8:$C$153,1,0),VLOOKUP(I1940*1,Summary!$C$8:$C$153,1,0)))),"Add account Number to Summary","")</f>
        <v/>
      </c>
      <c r="M1940" s="131" t="str">
        <f t="shared" si="30"/>
        <v/>
      </c>
      <c r="N1940" s="287">
        <f>IF(C1940="Sale",SUMIFS($D$4:D1940,$B$4:B1940,B1940,$C$4:C1940,"")+SUMIFS($D$4:D1940,$B$4:B1940,B1940,$C$4:C1940,"Purch")-SUMIFS($D$4:D1940,$B$4:B1940,B1940,$C$4:C1940,"Sale"),0)</f>
        <v>0</v>
      </c>
    </row>
    <row r="1941" spans="1:14" x14ac:dyDescent="0.2">
      <c r="A1941" s="152"/>
      <c r="B1941" s="132"/>
      <c r="C1941" s="132"/>
      <c r="D1941" s="277"/>
      <c r="E1941" s="132"/>
      <c r="F1941" s="170"/>
      <c r="G1941" s="150"/>
      <c r="H1941" s="152"/>
      <c r="I1941" s="204"/>
      <c r="J1941" s="285"/>
      <c r="K1941" s="251"/>
      <c r="L1941" s="133" t="str">
        <f>IF(AND(I1941&lt;&gt;"",ISERROR(IF(ISERROR(VLOOKUP(I1941*1,Summary!$C$8:$C$153,1,0)),VLOOKUP(I1941,Summary!$C$8:$C$153,1,0),VLOOKUP(I1941*1,Summary!$C$8:$C$153,1,0)))),"Add account Number to Summary","")</f>
        <v/>
      </c>
      <c r="M1941" s="131" t="str">
        <f t="shared" si="30"/>
        <v/>
      </c>
      <c r="N1941" s="287">
        <f>IF(C1941="Sale",SUMIFS($D$4:D1941,$B$4:B1941,B1941,$C$4:C1941,"")+SUMIFS($D$4:D1941,$B$4:B1941,B1941,$C$4:C1941,"Purch")-SUMIFS($D$4:D1941,$B$4:B1941,B1941,$C$4:C1941,"Sale"),0)</f>
        <v>0</v>
      </c>
    </row>
    <row r="1942" spans="1:14" x14ac:dyDescent="0.2">
      <c r="A1942" s="152"/>
      <c r="B1942" s="132"/>
      <c r="C1942" s="132"/>
      <c r="D1942" s="277"/>
      <c r="E1942" s="132"/>
      <c r="F1942" s="170"/>
      <c r="G1942" s="150"/>
      <c r="H1942" s="152"/>
      <c r="I1942" s="204"/>
      <c r="J1942" s="285"/>
      <c r="K1942" s="251"/>
      <c r="L1942" s="133" t="str">
        <f>IF(AND(I1942&lt;&gt;"",ISERROR(IF(ISERROR(VLOOKUP(I1942*1,Summary!$C$8:$C$153,1,0)),VLOOKUP(I1942,Summary!$C$8:$C$153,1,0),VLOOKUP(I1942*1,Summary!$C$8:$C$153,1,0)))),"Add account Number to Summary","")</f>
        <v/>
      </c>
      <c r="M1942" s="131" t="str">
        <f t="shared" si="30"/>
        <v/>
      </c>
      <c r="N1942" s="287">
        <f>IF(C1942="Sale",SUMIFS($D$4:D1942,$B$4:B1942,B1942,$C$4:C1942,"")+SUMIFS($D$4:D1942,$B$4:B1942,B1942,$C$4:C1942,"Purch")-SUMIFS($D$4:D1942,$B$4:B1942,B1942,$C$4:C1942,"Sale"),0)</f>
        <v>0</v>
      </c>
    </row>
    <row r="1943" spans="1:14" x14ac:dyDescent="0.2">
      <c r="A1943" s="152"/>
      <c r="B1943" s="132"/>
      <c r="C1943" s="132"/>
      <c r="D1943" s="277"/>
      <c r="E1943" s="132"/>
      <c r="F1943" s="170"/>
      <c r="G1943" s="150"/>
      <c r="H1943" s="152"/>
      <c r="I1943" s="204"/>
      <c r="J1943" s="285"/>
      <c r="K1943" s="251"/>
      <c r="L1943" s="133" t="str">
        <f>IF(AND(I1943&lt;&gt;"",ISERROR(IF(ISERROR(VLOOKUP(I1943*1,Summary!$C$8:$C$153,1,0)),VLOOKUP(I1943,Summary!$C$8:$C$153,1,0),VLOOKUP(I1943*1,Summary!$C$8:$C$153,1,0)))),"Add account Number to Summary","")</f>
        <v/>
      </c>
      <c r="M1943" s="131" t="str">
        <f t="shared" si="30"/>
        <v/>
      </c>
      <c r="N1943" s="287">
        <f>IF(C1943="Sale",SUMIFS($D$4:D1943,$B$4:B1943,B1943,$C$4:C1943,"")+SUMIFS($D$4:D1943,$B$4:B1943,B1943,$C$4:C1943,"Purch")-SUMIFS($D$4:D1943,$B$4:B1943,B1943,$C$4:C1943,"Sale"),0)</f>
        <v>0</v>
      </c>
    </row>
    <row r="1944" spans="1:14" x14ac:dyDescent="0.2">
      <c r="A1944" s="152"/>
      <c r="B1944" s="132"/>
      <c r="C1944" s="132"/>
      <c r="D1944" s="277"/>
      <c r="E1944" s="132"/>
      <c r="F1944" s="170"/>
      <c r="G1944" s="150"/>
      <c r="H1944" s="152"/>
      <c r="I1944" s="204"/>
      <c r="J1944" s="285"/>
      <c r="K1944" s="251"/>
      <c r="L1944" s="133" t="str">
        <f>IF(AND(I1944&lt;&gt;"",ISERROR(IF(ISERROR(VLOOKUP(I1944*1,Summary!$C$8:$C$153,1,0)),VLOOKUP(I1944,Summary!$C$8:$C$153,1,0),VLOOKUP(I1944*1,Summary!$C$8:$C$153,1,0)))),"Add account Number to Summary","")</f>
        <v/>
      </c>
      <c r="M1944" s="131" t="str">
        <f t="shared" si="30"/>
        <v/>
      </c>
      <c r="N1944" s="287">
        <f>IF(C1944="Sale",SUMIFS($D$4:D1944,$B$4:B1944,B1944,$C$4:C1944,"")+SUMIFS($D$4:D1944,$B$4:B1944,B1944,$C$4:C1944,"Purch")-SUMIFS($D$4:D1944,$B$4:B1944,B1944,$C$4:C1944,"Sale"),0)</f>
        <v>0</v>
      </c>
    </row>
    <row r="1945" spans="1:14" x14ac:dyDescent="0.2">
      <c r="A1945" s="152"/>
      <c r="B1945" s="132"/>
      <c r="C1945" s="132"/>
      <c r="D1945" s="277"/>
      <c r="E1945" s="132"/>
      <c r="F1945" s="170"/>
      <c r="G1945" s="150"/>
      <c r="H1945" s="152"/>
      <c r="I1945" s="204"/>
      <c r="J1945" s="285"/>
      <c r="K1945" s="251"/>
      <c r="L1945" s="133" t="str">
        <f>IF(AND(I1945&lt;&gt;"",ISERROR(IF(ISERROR(VLOOKUP(I1945*1,Summary!$C$8:$C$153,1,0)),VLOOKUP(I1945,Summary!$C$8:$C$153,1,0),VLOOKUP(I1945*1,Summary!$C$8:$C$153,1,0)))),"Add account Number to Summary","")</f>
        <v/>
      </c>
      <c r="M1945" s="131" t="str">
        <f t="shared" si="30"/>
        <v/>
      </c>
      <c r="N1945" s="287">
        <f>IF(C1945="Sale",SUMIFS($D$4:D1945,$B$4:B1945,B1945,$C$4:C1945,"")+SUMIFS($D$4:D1945,$B$4:B1945,B1945,$C$4:C1945,"Purch")-SUMIFS($D$4:D1945,$B$4:B1945,B1945,$C$4:C1945,"Sale"),0)</f>
        <v>0</v>
      </c>
    </row>
    <row r="1946" spans="1:14" x14ac:dyDescent="0.2">
      <c r="A1946" s="152"/>
      <c r="B1946" s="132"/>
      <c r="C1946" s="132"/>
      <c r="D1946" s="277"/>
      <c r="E1946" s="132"/>
      <c r="F1946" s="170"/>
      <c r="G1946" s="150"/>
      <c r="H1946" s="152"/>
      <c r="I1946" s="204"/>
      <c r="J1946" s="285"/>
      <c r="K1946" s="251"/>
      <c r="L1946" s="133" t="str">
        <f>IF(AND(I1946&lt;&gt;"",ISERROR(IF(ISERROR(VLOOKUP(I1946*1,Summary!$C$8:$C$153,1,0)),VLOOKUP(I1946,Summary!$C$8:$C$153,1,0),VLOOKUP(I1946*1,Summary!$C$8:$C$153,1,0)))),"Add account Number to Summary","")</f>
        <v/>
      </c>
      <c r="M1946" s="131" t="str">
        <f t="shared" si="30"/>
        <v/>
      </c>
      <c r="N1946" s="287">
        <f>IF(C1946="Sale",SUMIFS($D$4:D1946,$B$4:B1946,B1946,$C$4:C1946,"")+SUMIFS($D$4:D1946,$B$4:B1946,B1946,$C$4:C1946,"Purch")-SUMIFS($D$4:D1946,$B$4:B1946,B1946,$C$4:C1946,"Sale"),0)</f>
        <v>0</v>
      </c>
    </row>
    <row r="1947" spans="1:14" x14ac:dyDescent="0.2">
      <c r="A1947" s="152"/>
      <c r="B1947" s="132"/>
      <c r="C1947" s="132"/>
      <c r="D1947" s="277"/>
      <c r="E1947" s="132"/>
      <c r="F1947" s="170"/>
      <c r="G1947" s="150"/>
      <c r="H1947" s="152"/>
      <c r="I1947" s="204"/>
      <c r="J1947" s="285"/>
      <c r="K1947" s="251"/>
      <c r="L1947" s="133" t="str">
        <f>IF(AND(I1947&lt;&gt;"",ISERROR(IF(ISERROR(VLOOKUP(I1947*1,Summary!$C$8:$C$153,1,0)),VLOOKUP(I1947,Summary!$C$8:$C$153,1,0),VLOOKUP(I1947*1,Summary!$C$8:$C$153,1,0)))),"Add account Number to Summary","")</f>
        <v/>
      </c>
      <c r="M1947" s="131" t="str">
        <f t="shared" si="30"/>
        <v/>
      </c>
      <c r="N1947" s="287">
        <f>IF(C1947="Sale",SUMIFS($D$4:D1947,$B$4:B1947,B1947,$C$4:C1947,"")+SUMIFS($D$4:D1947,$B$4:B1947,B1947,$C$4:C1947,"Purch")-SUMIFS($D$4:D1947,$B$4:B1947,B1947,$C$4:C1947,"Sale"),0)</f>
        <v>0</v>
      </c>
    </row>
    <row r="1948" spans="1:14" x14ac:dyDescent="0.2">
      <c r="A1948" s="152"/>
      <c r="B1948" s="132"/>
      <c r="C1948" s="132"/>
      <c r="D1948" s="277"/>
      <c r="E1948" s="132"/>
      <c r="F1948" s="170"/>
      <c r="G1948" s="150"/>
      <c r="H1948" s="152"/>
      <c r="I1948" s="204"/>
      <c r="J1948" s="285"/>
      <c r="K1948" s="251"/>
      <c r="L1948" s="133" t="str">
        <f>IF(AND(I1948&lt;&gt;"",ISERROR(IF(ISERROR(VLOOKUP(I1948*1,Summary!$C$8:$C$153,1,0)),VLOOKUP(I1948,Summary!$C$8:$C$153,1,0),VLOOKUP(I1948*1,Summary!$C$8:$C$153,1,0)))),"Add account Number to Summary","")</f>
        <v/>
      </c>
      <c r="M1948" s="131" t="str">
        <f t="shared" si="30"/>
        <v/>
      </c>
      <c r="N1948" s="287">
        <f>IF(C1948="Sale",SUMIFS($D$4:D1948,$B$4:B1948,B1948,$C$4:C1948,"")+SUMIFS($D$4:D1948,$B$4:B1948,B1948,$C$4:C1948,"Purch")-SUMIFS($D$4:D1948,$B$4:B1948,B1948,$C$4:C1948,"Sale"),0)</f>
        <v>0</v>
      </c>
    </row>
    <row r="1949" spans="1:14" x14ac:dyDescent="0.2">
      <c r="A1949" s="152"/>
      <c r="B1949" s="132"/>
      <c r="C1949" s="132"/>
      <c r="D1949" s="277"/>
      <c r="E1949" s="132"/>
      <c r="F1949" s="170"/>
      <c r="G1949" s="150"/>
      <c r="H1949" s="152"/>
      <c r="I1949" s="204"/>
      <c r="J1949" s="285"/>
      <c r="K1949" s="251"/>
      <c r="L1949" s="133" t="str">
        <f>IF(AND(I1949&lt;&gt;"",ISERROR(IF(ISERROR(VLOOKUP(I1949*1,Summary!$C$8:$C$153,1,0)),VLOOKUP(I1949,Summary!$C$8:$C$153,1,0),VLOOKUP(I1949*1,Summary!$C$8:$C$153,1,0)))),"Add account Number to Summary","")</f>
        <v/>
      </c>
      <c r="M1949" s="131" t="str">
        <f t="shared" si="30"/>
        <v/>
      </c>
      <c r="N1949" s="287">
        <f>IF(C1949="Sale",SUMIFS($D$4:D1949,$B$4:B1949,B1949,$C$4:C1949,"")+SUMIFS($D$4:D1949,$B$4:B1949,B1949,$C$4:C1949,"Purch")-SUMIFS($D$4:D1949,$B$4:B1949,B1949,$C$4:C1949,"Sale"),0)</f>
        <v>0</v>
      </c>
    </row>
    <row r="1950" spans="1:14" x14ac:dyDescent="0.2">
      <c r="A1950" s="152"/>
      <c r="B1950" s="132"/>
      <c r="C1950" s="132"/>
      <c r="D1950" s="277"/>
      <c r="E1950" s="132"/>
      <c r="F1950" s="170"/>
      <c r="G1950" s="150"/>
      <c r="H1950" s="152"/>
      <c r="I1950" s="204"/>
      <c r="J1950" s="285"/>
      <c r="K1950" s="251"/>
      <c r="L1950" s="133" t="str">
        <f>IF(AND(I1950&lt;&gt;"",ISERROR(IF(ISERROR(VLOOKUP(I1950*1,Summary!$C$8:$C$153,1,0)),VLOOKUP(I1950,Summary!$C$8:$C$153,1,0),VLOOKUP(I1950*1,Summary!$C$8:$C$153,1,0)))),"Add account Number to Summary","")</f>
        <v/>
      </c>
      <c r="M1950" s="131" t="str">
        <f t="shared" si="30"/>
        <v/>
      </c>
      <c r="N1950" s="287">
        <f>IF(C1950="Sale",SUMIFS($D$4:D1950,$B$4:B1950,B1950,$C$4:C1950,"")+SUMIFS($D$4:D1950,$B$4:B1950,B1950,$C$4:C1950,"Purch")-SUMIFS($D$4:D1950,$B$4:B1950,B1950,$C$4:C1950,"Sale"),0)</f>
        <v>0</v>
      </c>
    </row>
    <row r="1951" spans="1:14" x14ac:dyDescent="0.2">
      <c r="A1951" s="152"/>
      <c r="B1951" s="132"/>
      <c r="C1951" s="132"/>
      <c r="D1951" s="277"/>
      <c r="E1951" s="132"/>
      <c r="F1951" s="170"/>
      <c r="G1951" s="150"/>
      <c r="H1951" s="152"/>
      <c r="I1951" s="204"/>
      <c r="J1951" s="285"/>
      <c r="K1951" s="251"/>
      <c r="L1951" s="133" t="str">
        <f>IF(AND(I1951&lt;&gt;"",ISERROR(IF(ISERROR(VLOOKUP(I1951*1,Summary!$C$8:$C$153,1,0)),VLOOKUP(I1951,Summary!$C$8:$C$153,1,0),VLOOKUP(I1951*1,Summary!$C$8:$C$153,1,0)))),"Add account Number to Summary","")</f>
        <v/>
      </c>
      <c r="M1951" s="131" t="str">
        <f t="shared" si="30"/>
        <v/>
      </c>
      <c r="N1951" s="287">
        <f>IF(C1951="Sale",SUMIFS($D$4:D1951,$B$4:B1951,B1951,$C$4:C1951,"")+SUMIFS($D$4:D1951,$B$4:B1951,B1951,$C$4:C1951,"Purch")-SUMIFS($D$4:D1951,$B$4:B1951,B1951,$C$4:C1951,"Sale"),0)</f>
        <v>0</v>
      </c>
    </row>
    <row r="1952" spans="1:14" x14ac:dyDescent="0.2">
      <c r="A1952" s="152"/>
      <c r="B1952" s="132"/>
      <c r="C1952" s="132"/>
      <c r="D1952" s="277"/>
      <c r="E1952" s="132"/>
      <c r="F1952" s="170"/>
      <c r="G1952" s="150"/>
      <c r="H1952" s="152"/>
      <c r="I1952" s="204"/>
      <c r="J1952" s="285"/>
      <c r="K1952" s="251"/>
      <c r="L1952" s="133" t="str">
        <f>IF(AND(I1952&lt;&gt;"",ISERROR(IF(ISERROR(VLOOKUP(I1952*1,Summary!$C$8:$C$153,1,0)),VLOOKUP(I1952,Summary!$C$8:$C$153,1,0),VLOOKUP(I1952*1,Summary!$C$8:$C$153,1,0)))),"Add account Number to Summary","")</f>
        <v/>
      </c>
      <c r="M1952" s="131" t="str">
        <f t="shared" si="30"/>
        <v/>
      </c>
      <c r="N1952" s="287">
        <f>IF(C1952="Sale",SUMIFS($D$4:D1952,$B$4:B1952,B1952,$C$4:C1952,"")+SUMIFS($D$4:D1952,$B$4:B1952,B1952,$C$4:C1952,"Purch")-SUMIFS($D$4:D1952,$B$4:B1952,B1952,$C$4:C1952,"Sale"),0)</f>
        <v>0</v>
      </c>
    </row>
    <row r="1953" spans="1:14" x14ac:dyDescent="0.2">
      <c r="A1953" s="152"/>
      <c r="B1953" s="132"/>
      <c r="C1953" s="132"/>
      <c r="D1953" s="277"/>
      <c r="E1953" s="132"/>
      <c r="F1953" s="170"/>
      <c r="G1953" s="150"/>
      <c r="H1953" s="152"/>
      <c r="I1953" s="204"/>
      <c r="J1953" s="285"/>
      <c r="K1953" s="251"/>
      <c r="L1953" s="133" t="str">
        <f>IF(AND(I1953&lt;&gt;"",ISERROR(IF(ISERROR(VLOOKUP(I1953*1,Summary!$C$8:$C$153,1,0)),VLOOKUP(I1953,Summary!$C$8:$C$153,1,0),VLOOKUP(I1953*1,Summary!$C$8:$C$153,1,0)))),"Add account Number to Summary","")</f>
        <v/>
      </c>
      <c r="M1953" s="131" t="str">
        <f t="shared" si="30"/>
        <v/>
      </c>
      <c r="N1953" s="287">
        <f>IF(C1953="Sale",SUMIFS($D$4:D1953,$B$4:B1953,B1953,$C$4:C1953,"")+SUMIFS($D$4:D1953,$B$4:B1953,B1953,$C$4:C1953,"Purch")-SUMIFS($D$4:D1953,$B$4:B1953,B1953,$C$4:C1953,"Sale"),0)</f>
        <v>0</v>
      </c>
    </row>
    <row r="1954" spans="1:14" x14ac:dyDescent="0.2">
      <c r="A1954" s="152"/>
      <c r="B1954" s="132"/>
      <c r="C1954" s="132"/>
      <c r="D1954" s="277"/>
      <c r="E1954" s="132"/>
      <c r="F1954" s="170"/>
      <c r="G1954" s="150"/>
      <c r="H1954" s="152"/>
      <c r="I1954" s="204"/>
      <c r="J1954" s="285"/>
      <c r="K1954" s="251"/>
      <c r="L1954" s="133" t="str">
        <f>IF(AND(I1954&lt;&gt;"",ISERROR(IF(ISERROR(VLOOKUP(I1954*1,Summary!$C$8:$C$153,1,0)),VLOOKUP(I1954,Summary!$C$8:$C$153,1,0),VLOOKUP(I1954*1,Summary!$C$8:$C$153,1,0)))),"Add account Number to Summary","")</f>
        <v/>
      </c>
      <c r="M1954" s="131" t="str">
        <f t="shared" si="30"/>
        <v/>
      </c>
      <c r="N1954" s="287">
        <f>IF(C1954="Sale",SUMIFS($D$4:D1954,$B$4:B1954,B1954,$C$4:C1954,"")+SUMIFS($D$4:D1954,$B$4:B1954,B1954,$C$4:C1954,"Purch")-SUMIFS($D$4:D1954,$B$4:B1954,B1954,$C$4:C1954,"Sale"),0)</f>
        <v>0</v>
      </c>
    </row>
    <row r="1955" spans="1:14" x14ac:dyDescent="0.2">
      <c r="A1955" s="152"/>
      <c r="B1955" s="132"/>
      <c r="C1955" s="132"/>
      <c r="D1955" s="277"/>
      <c r="E1955" s="132"/>
      <c r="F1955" s="170"/>
      <c r="G1955" s="150"/>
      <c r="H1955" s="152"/>
      <c r="I1955" s="204"/>
      <c r="J1955" s="285"/>
      <c r="K1955" s="251"/>
      <c r="L1955" s="133" t="str">
        <f>IF(AND(I1955&lt;&gt;"",ISERROR(IF(ISERROR(VLOOKUP(I1955*1,Summary!$C$8:$C$153,1,0)),VLOOKUP(I1955,Summary!$C$8:$C$153,1,0),VLOOKUP(I1955*1,Summary!$C$8:$C$153,1,0)))),"Add account Number to Summary","")</f>
        <v/>
      </c>
      <c r="M1955" s="131" t="str">
        <f t="shared" si="30"/>
        <v/>
      </c>
      <c r="N1955" s="287">
        <f>IF(C1955="Sale",SUMIFS($D$4:D1955,$B$4:B1955,B1955,$C$4:C1955,"")+SUMIFS($D$4:D1955,$B$4:B1955,B1955,$C$4:C1955,"Purch")-SUMIFS($D$4:D1955,$B$4:B1955,B1955,$C$4:C1955,"Sale"),0)</f>
        <v>0</v>
      </c>
    </row>
    <row r="1956" spans="1:14" x14ac:dyDescent="0.2">
      <c r="A1956" s="152"/>
      <c r="B1956" s="132"/>
      <c r="C1956" s="132"/>
      <c r="D1956" s="277"/>
      <c r="E1956" s="132"/>
      <c r="F1956" s="170"/>
      <c r="G1956" s="150"/>
      <c r="H1956" s="152"/>
      <c r="I1956" s="204"/>
      <c r="J1956" s="285"/>
      <c r="K1956" s="251"/>
      <c r="L1956" s="133" t="str">
        <f>IF(AND(I1956&lt;&gt;"",ISERROR(IF(ISERROR(VLOOKUP(I1956*1,Summary!$C$8:$C$153,1,0)),VLOOKUP(I1956,Summary!$C$8:$C$153,1,0),VLOOKUP(I1956*1,Summary!$C$8:$C$153,1,0)))),"Add account Number to Summary","")</f>
        <v/>
      </c>
      <c r="M1956" s="131" t="str">
        <f t="shared" si="30"/>
        <v/>
      </c>
      <c r="N1956" s="287">
        <f>IF(C1956="Sale",SUMIFS($D$4:D1956,$B$4:B1956,B1956,$C$4:C1956,"")+SUMIFS($D$4:D1956,$B$4:B1956,B1956,$C$4:C1956,"Purch")-SUMIFS($D$4:D1956,$B$4:B1956,B1956,$C$4:C1956,"Sale"),0)</f>
        <v>0</v>
      </c>
    </row>
    <row r="1957" spans="1:14" x14ac:dyDescent="0.2">
      <c r="A1957" s="152"/>
      <c r="B1957" s="132"/>
      <c r="C1957" s="132"/>
      <c r="D1957" s="277"/>
      <c r="E1957" s="132"/>
      <c r="F1957" s="170"/>
      <c r="G1957" s="150"/>
      <c r="H1957" s="152"/>
      <c r="I1957" s="204"/>
      <c r="J1957" s="285"/>
      <c r="K1957" s="251"/>
      <c r="L1957" s="133" t="str">
        <f>IF(AND(I1957&lt;&gt;"",ISERROR(IF(ISERROR(VLOOKUP(I1957*1,Summary!$C$8:$C$153,1,0)),VLOOKUP(I1957,Summary!$C$8:$C$153,1,0),VLOOKUP(I1957*1,Summary!$C$8:$C$153,1,0)))),"Add account Number to Summary","")</f>
        <v/>
      </c>
      <c r="M1957" s="131" t="str">
        <f t="shared" si="30"/>
        <v/>
      </c>
      <c r="N1957" s="287">
        <f>IF(C1957="Sale",SUMIFS($D$4:D1957,$B$4:B1957,B1957,$C$4:C1957,"")+SUMIFS($D$4:D1957,$B$4:B1957,B1957,$C$4:C1957,"Purch")-SUMIFS($D$4:D1957,$B$4:B1957,B1957,$C$4:C1957,"Sale"),0)</f>
        <v>0</v>
      </c>
    </row>
    <row r="1958" spans="1:14" x14ac:dyDescent="0.2">
      <c r="A1958" s="152"/>
      <c r="B1958" s="132"/>
      <c r="C1958" s="132"/>
      <c r="D1958" s="277"/>
      <c r="E1958" s="132"/>
      <c r="F1958" s="170"/>
      <c r="G1958" s="150"/>
      <c r="H1958" s="152"/>
      <c r="I1958" s="204"/>
      <c r="J1958" s="285"/>
      <c r="K1958" s="251"/>
      <c r="L1958" s="133" t="str">
        <f>IF(AND(I1958&lt;&gt;"",ISERROR(IF(ISERROR(VLOOKUP(I1958*1,Summary!$C$8:$C$153,1,0)),VLOOKUP(I1958,Summary!$C$8:$C$153,1,0),VLOOKUP(I1958*1,Summary!$C$8:$C$153,1,0)))),"Add account Number to Summary","")</f>
        <v/>
      </c>
      <c r="M1958" s="131" t="str">
        <f t="shared" si="30"/>
        <v/>
      </c>
      <c r="N1958" s="287">
        <f>IF(C1958="Sale",SUMIFS($D$4:D1958,$B$4:B1958,B1958,$C$4:C1958,"")+SUMIFS($D$4:D1958,$B$4:B1958,B1958,$C$4:C1958,"Purch")-SUMIFS($D$4:D1958,$B$4:B1958,B1958,$C$4:C1958,"Sale"),0)</f>
        <v>0</v>
      </c>
    </row>
    <row r="1959" spans="1:14" x14ac:dyDescent="0.2">
      <c r="A1959" s="152"/>
      <c r="B1959" s="132"/>
      <c r="C1959" s="132"/>
      <c r="D1959" s="277"/>
      <c r="E1959" s="132"/>
      <c r="F1959" s="170"/>
      <c r="G1959" s="150"/>
      <c r="H1959" s="152"/>
      <c r="I1959" s="204"/>
      <c r="J1959" s="285"/>
      <c r="K1959" s="251"/>
      <c r="L1959" s="133" t="str">
        <f>IF(AND(I1959&lt;&gt;"",ISERROR(IF(ISERROR(VLOOKUP(I1959*1,Summary!$C$8:$C$153,1,0)),VLOOKUP(I1959,Summary!$C$8:$C$153,1,0),VLOOKUP(I1959*1,Summary!$C$8:$C$153,1,0)))),"Add account Number to Summary","")</f>
        <v/>
      </c>
      <c r="M1959" s="131" t="str">
        <f t="shared" si="30"/>
        <v/>
      </c>
      <c r="N1959" s="287">
        <f>IF(C1959="Sale",SUMIFS($D$4:D1959,$B$4:B1959,B1959,$C$4:C1959,"")+SUMIFS($D$4:D1959,$B$4:B1959,B1959,$C$4:C1959,"Purch")-SUMIFS($D$4:D1959,$B$4:B1959,B1959,$C$4:C1959,"Sale"),0)</f>
        <v>0</v>
      </c>
    </row>
    <row r="1960" spans="1:14" x14ac:dyDescent="0.2">
      <c r="A1960" s="152"/>
      <c r="B1960" s="132"/>
      <c r="C1960" s="132"/>
      <c r="D1960" s="277"/>
      <c r="E1960" s="132"/>
      <c r="F1960" s="170"/>
      <c r="G1960" s="150"/>
      <c r="H1960" s="152"/>
      <c r="I1960" s="204"/>
      <c r="J1960" s="285"/>
      <c r="K1960" s="251"/>
      <c r="L1960" s="133" t="str">
        <f>IF(AND(I1960&lt;&gt;"",ISERROR(IF(ISERROR(VLOOKUP(I1960*1,Summary!$C$8:$C$153,1,0)),VLOOKUP(I1960,Summary!$C$8:$C$153,1,0),VLOOKUP(I1960*1,Summary!$C$8:$C$153,1,0)))),"Add account Number to Summary","")</f>
        <v/>
      </c>
      <c r="M1960" s="131" t="str">
        <f t="shared" si="30"/>
        <v/>
      </c>
      <c r="N1960" s="287">
        <f>IF(C1960="Sale",SUMIFS($D$4:D1960,$B$4:B1960,B1960,$C$4:C1960,"")+SUMIFS($D$4:D1960,$B$4:B1960,B1960,$C$4:C1960,"Purch")-SUMIFS($D$4:D1960,$B$4:B1960,B1960,$C$4:C1960,"Sale"),0)</f>
        <v>0</v>
      </c>
    </row>
    <row r="1961" spans="1:14" x14ac:dyDescent="0.2">
      <c r="A1961" s="152"/>
      <c r="B1961" s="132"/>
      <c r="C1961" s="132"/>
      <c r="D1961" s="277"/>
      <c r="E1961" s="132"/>
      <c r="F1961" s="170"/>
      <c r="G1961" s="150"/>
      <c r="H1961" s="152"/>
      <c r="I1961" s="204"/>
      <c r="J1961" s="285"/>
      <c r="K1961" s="251"/>
      <c r="L1961" s="133" t="str">
        <f>IF(AND(I1961&lt;&gt;"",ISERROR(IF(ISERROR(VLOOKUP(I1961*1,Summary!$C$8:$C$153,1,0)),VLOOKUP(I1961,Summary!$C$8:$C$153,1,0),VLOOKUP(I1961*1,Summary!$C$8:$C$153,1,0)))),"Add account Number to Summary","")</f>
        <v/>
      </c>
      <c r="M1961" s="131" t="str">
        <f t="shared" si="30"/>
        <v/>
      </c>
      <c r="N1961" s="287">
        <f>IF(C1961="Sale",SUMIFS($D$4:D1961,$B$4:B1961,B1961,$C$4:C1961,"")+SUMIFS($D$4:D1961,$B$4:B1961,B1961,$C$4:C1961,"Purch")-SUMIFS($D$4:D1961,$B$4:B1961,B1961,$C$4:C1961,"Sale"),0)</f>
        <v>0</v>
      </c>
    </row>
    <row r="1962" spans="1:14" x14ac:dyDescent="0.2">
      <c r="A1962" s="152"/>
      <c r="B1962" s="132"/>
      <c r="C1962" s="132"/>
      <c r="D1962" s="277"/>
      <c r="E1962" s="132"/>
      <c r="F1962" s="170"/>
      <c r="G1962" s="150"/>
      <c r="H1962" s="152"/>
      <c r="I1962" s="204"/>
      <c r="J1962" s="285"/>
      <c r="K1962" s="251"/>
      <c r="L1962" s="133" t="str">
        <f>IF(AND(I1962&lt;&gt;"",ISERROR(IF(ISERROR(VLOOKUP(I1962*1,Summary!$C$8:$C$153,1,0)),VLOOKUP(I1962,Summary!$C$8:$C$153,1,0),VLOOKUP(I1962*1,Summary!$C$8:$C$153,1,0)))),"Add account Number to Summary","")</f>
        <v/>
      </c>
      <c r="M1962" s="131" t="str">
        <f t="shared" si="30"/>
        <v/>
      </c>
      <c r="N1962" s="287">
        <f>IF(C1962="Sale",SUMIFS($D$4:D1962,$B$4:B1962,B1962,$C$4:C1962,"")+SUMIFS($D$4:D1962,$B$4:B1962,B1962,$C$4:C1962,"Purch")-SUMIFS($D$4:D1962,$B$4:B1962,B1962,$C$4:C1962,"Sale"),0)</f>
        <v>0</v>
      </c>
    </row>
    <row r="1963" spans="1:14" x14ac:dyDescent="0.2">
      <c r="A1963" s="152"/>
      <c r="B1963" s="132"/>
      <c r="C1963" s="132"/>
      <c r="D1963" s="277"/>
      <c r="E1963" s="132"/>
      <c r="F1963" s="170"/>
      <c r="G1963" s="150"/>
      <c r="H1963" s="152"/>
      <c r="I1963" s="204"/>
      <c r="J1963" s="285"/>
      <c r="K1963" s="251"/>
      <c r="L1963" s="133" t="str">
        <f>IF(AND(I1963&lt;&gt;"",ISERROR(IF(ISERROR(VLOOKUP(I1963*1,Summary!$C$8:$C$153,1,0)),VLOOKUP(I1963,Summary!$C$8:$C$153,1,0),VLOOKUP(I1963*1,Summary!$C$8:$C$153,1,0)))),"Add account Number to Summary","")</f>
        <v/>
      </c>
      <c r="M1963" s="131" t="str">
        <f t="shared" si="30"/>
        <v/>
      </c>
      <c r="N1963" s="287">
        <f>IF(C1963="Sale",SUMIFS($D$4:D1963,$B$4:B1963,B1963,$C$4:C1963,"")+SUMIFS($D$4:D1963,$B$4:B1963,B1963,$C$4:C1963,"Purch")-SUMIFS($D$4:D1963,$B$4:B1963,B1963,$C$4:C1963,"Sale"),0)</f>
        <v>0</v>
      </c>
    </row>
    <row r="1964" spans="1:14" x14ac:dyDescent="0.2">
      <c r="A1964" s="152"/>
      <c r="B1964" s="132"/>
      <c r="C1964" s="132"/>
      <c r="D1964" s="277"/>
      <c r="E1964" s="132"/>
      <c r="F1964" s="170"/>
      <c r="G1964" s="150"/>
      <c r="H1964" s="152"/>
      <c r="I1964" s="204"/>
      <c r="J1964" s="285"/>
      <c r="K1964" s="251"/>
      <c r="L1964" s="133" t="str">
        <f>IF(AND(I1964&lt;&gt;"",ISERROR(IF(ISERROR(VLOOKUP(I1964*1,Summary!$C$8:$C$153,1,0)),VLOOKUP(I1964,Summary!$C$8:$C$153,1,0),VLOOKUP(I1964*1,Summary!$C$8:$C$153,1,0)))),"Add account Number to Summary","")</f>
        <v/>
      </c>
      <c r="M1964" s="131" t="str">
        <f t="shared" ref="M1964:M2027" si="31">IF(K1964="Yes",IF(YEAR(A1964)&lt;&gt;YEAR(date),"Check Date",""),"")</f>
        <v/>
      </c>
      <c r="N1964" s="287">
        <f>IF(C1964="Sale",SUMIFS($D$4:D1964,$B$4:B1964,B1964,$C$4:C1964,"")+SUMIFS($D$4:D1964,$B$4:B1964,B1964,$C$4:C1964,"Purch")-SUMIFS($D$4:D1964,$B$4:B1964,B1964,$C$4:C1964,"Sale"),0)</f>
        <v>0</v>
      </c>
    </row>
    <row r="1965" spans="1:14" x14ac:dyDescent="0.2">
      <c r="A1965" s="152"/>
      <c r="B1965" s="132"/>
      <c r="C1965" s="132"/>
      <c r="D1965" s="277"/>
      <c r="E1965" s="132"/>
      <c r="F1965" s="170"/>
      <c r="G1965" s="150"/>
      <c r="H1965" s="152"/>
      <c r="I1965" s="204"/>
      <c r="J1965" s="285"/>
      <c r="K1965" s="251"/>
      <c r="L1965" s="133" t="str">
        <f>IF(AND(I1965&lt;&gt;"",ISERROR(IF(ISERROR(VLOOKUP(I1965*1,Summary!$C$8:$C$153,1,0)),VLOOKUP(I1965,Summary!$C$8:$C$153,1,0),VLOOKUP(I1965*1,Summary!$C$8:$C$153,1,0)))),"Add account Number to Summary","")</f>
        <v/>
      </c>
      <c r="M1965" s="131" t="str">
        <f t="shared" si="31"/>
        <v/>
      </c>
      <c r="N1965" s="287">
        <f>IF(C1965="Sale",SUMIFS($D$4:D1965,$B$4:B1965,B1965,$C$4:C1965,"")+SUMIFS($D$4:D1965,$B$4:B1965,B1965,$C$4:C1965,"Purch")-SUMIFS($D$4:D1965,$B$4:B1965,B1965,$C$4:C1965,"Sale"),0)</f>
        <v>0</v>
      </c>
    </row>
    <row r="1966" spans="1:14" x14ac:dyDescent="0.2">
      <c r="A1966" s="152"/>
      <c r="B1966" s="132"/>
      <c r="C1966" s="132"/>
      <c r="D1966" s="277"/>
      <c r="E1966" s="132"/>
      <c r="F1966" s="170"/>
      <c r="G1966" s="150"/>
      <c r="H1966" s="152"/>
      <c r="I1966" s="204"/>
      <c r="J1966" s="285"/>
      <c r="K1966" s="251"/>
      <c r="L1966" s="133" t="str">
        <f>IF(AND(I1966&lt;&gt;"",ISERROR(IF(ISERROR(VLOOKUP(I1966*1,Summary!$C$8:$C$153,1,0)),VLOOKUP(I1966,Summary!$C$8:$C$153,1,0),VLOOKUP(I1966*1,Summary!$C$8:$C$153,1,0)))),"Add account Number to Summary","")</f>
        <v/>
      </c>
      <c r="M1966" s="131" t="str">
        <f t="shared" si="31"/>
        <v/>
      </c>
      <c r="N1966" s="287">
        <f>IF(C1966="Sale",SUMIFS($D$4:D1966,$B$4:B1966,B1966,$C$4:C1966,"")+SUMIFS($D$4:D1966,$B$4:B1966,B1966,$C$4:C1966,"Purch")-SUMIFS($D$4:D1966,$B$4:B1966,B1966,$C$4:C1966,"Sale"),0)</f>
        <v>0</v>
      </c>
    </row>
    <row r="1967" spans="1:14" x14ac:dyDescent="0.2">
      <c r="A1967" s="152"/>
      <c r="B1967" s="132"/>
      <c r="C1967" s="132"/>
      <c r="D1967" s="277"/>
      <c r="E1967" s="132"/>
      <c r="F1967" s="170"/>
      <c r="G1967" s="150"/>
      <c r="H1967" s="152"/>
      <c r="I1967" s="204"/>
      <c r="J1967" s="285"/>
      <c r="K1967" s="251"/>
      <c r="L1967" s="133" t="str">
        <f>IF(AND(I1967&lt;&gt;"",ISERROR(IF(ISERROR(VLOOKUP(I1967*1,Summary!$C$8:$C$153,1,0)),VLOOKUP(I1967,Summary!$C$8:$C$153,1,0),VLOOKUP(I1967*1,Summary!$C$8:$C$153,1,0)))),"Add account Number to Summary","")</f>
        <v/>
      </c>
      <c r="M1967" s="131" t="str">
        <f t="shared" si="31"/>
        <v/>
      </c>
      <c r="N1967" s="287">
        <f>IF(C1967="Sale",SUMIFS($D$4:D1967,$B$4:B1967,B1967,$C$4:C1967,"")+SUMIFS($D$4:D1967,$B$4:B1967,B1967,$C$4:C1967,"Purch")-SUMIFS($D$4:D1967,$B$4:B1967,B1967,$C$4:C1967,"Sale"),0)</f>
        <v>0</v>
      </c>
    </row>
    <row r="1968" spans="1:14" x14ac:dyDescent="0.2">
      <c r="A1968" s="152"/>
      <c r="B1968" s="132"/>
      <c r="C1968" s="132"/>
      <c r="D1968" s="277"/>
      <c r="E1968" s="132"/>
      <c r="F1968" s="170"/>
      <c r="G1968" s="150"/>
      <c r="H1968" s="152"/>
      <c r="I1968" s="204"/>
      <c r="J1968" s="285"/>
      <c r="K1968" s="251"/>
      <c r="L1968" s="133" t="str">
        <f>IF(AND(I1968&lt;&gt;"",ISERROR(IF(ISERROR(VLOOKUP(I1968*1,Summary!$C$8:$C$153,1,0)),VLOOKUP(I1968,Summary!$C$8:$C$153,1,0),VLOOKUP(I1968*1,Summary!$C$8:$C$153,1,0)))),"Add account Number to Summary","")</f>
        <v/>
      </c>
      <c r="M1968" s="131" t="str">
        <f t="shared" si="31"/>
        <v/>
      </c>
      <c r="N1968" s="287">
        <f>IF(C1968="Sale",SUMIFS($D$4:D1968,$B$4:B1968,B1968,$C$4:C1968,"")+SUMIFS($D$4:D1968,$B$4:B1968,B1968,$C$4:C1968,"Purch")-SUMIFS($D$4:D1968,$B$4:B1968,B1968,$C$4:C1968,"Sale"),0)</f>
        <v>0</v>
      </c>
    </row>
    <row r="1969" spans="1:14" x14ac:dyDescent="0.2">
      <c r="A1969" s="152"/>
      <c r="B1969" s="132"/>
      <c r="C1969" s="132"/>
      <c r="D1969" s="277"/>
      <c r="E1969" s="132"/>
      <c r="F1969" s="170"/>
      <c r="G1969" s="150"/>
      <c r="H1969" s="152"/>
      <c r="I1969" s="204"/>
      <c r="J1969" s="285"/>
      <c r="K1969" s="251"/>
      <c r="L1969" s="133" t="str">
        <f>IF(AND(I1969&lt;&gt;"",ISERROR(IF(ISERROR(VLOOKUP(I1969*1,Summary!$C$8:$C$153,1,0)),VLOOKUP(I1969,Summary!$C$8:$C$153,1,0),VLOOKUP(I1969*1,Summary!$C$8:$C$153,1,0)))),"Add account Number to Summary","")</f>
        <v/>
      </c>
      <c r="M1969" s="131" t="str">
        <f t="shared" si="31"/>
        <v/>
      </c>
      <c r="N1969" s="287">
        <f>IF(C1969="Sale",SUMIFS($D$4:D1969,$B$4:B1969,B1969,$C$4:C1969,"")+SUMIFS($D$4:D1969,$B$4:B1969,B1969,$C$4:C1969,"Purch")-SUMIFS($D$4:D1969,$B$4:B1969,B1969,$C$4:C1969,"Sale"),0)</f>
        <v>0</v>
      </c>
    </row>
    <row r="1970" spans="1:14" x14ac:dyDescent="0.2">
      <c r="A1970" s="152"/>
      <c r="B1970" s="132"/>
      <c r="C1970" s="132"/>
      <c r="D1970" s="277"/>
      <c r="E1970" s="132"/>
      <c r="F1970" s="170"/>
      <c r="G1970" s="150"/>
      <c r="H1970" s="152"/>
      <c r="I1970" s="204"/>
      <c r="J1970" s="285"/>
      <c r="K1970" s="251"/>
      <c r="L1970" s="133" t="str">
        <f>IF(AND(I1970&lt;&gt;"",ISERROR(IF(ISERROR(VLOOKUP(I1970*1,Summary!$C$8:$C$153,1,0)),VLOOKUP(I1970,Summary!$C$8:$C$153,1,0),VLOOKUP(I1970*1,Summary!$C$8:$C$153,1,0)))),"Add account Number to Summary","")</f>
        <v/>
      </c>
      <c r="M1970" s="131" t="str">
        <f t="shared" si="31"/>
        <v/>
      </c>
      <c r="N1970" s="287">
        <f>IF(C1970="Sale",SUMIFS($D$4:D1970,$B$4:B1970,B1970,$C$4:C1970,"")+SUMIFS($D$4:D1970,$B$4:B1970,B1970,$C$4:C1970,"Purch")-SUMIFS($D$4:D1970,$B$4:B1970,B1970,$C$4:C1970,"Sale"),0)</f>
        <v>0</v>
      </c>
    </row>
    <row r="1971" spans="1:14" x14ac:dyDescent="0.2">
      <c r="A1971" s="152"/>
      <c r="B1971" s="132"/>
      <c r="C1971" s="132"/>
      <c r="D1971" s="277"/>
      <c r="E1971" s="132"/>
      <c r="F1971" s="170"/>
      <c r="G1971" s="150"/>
      <c r="H1971" s="152"/>
      <c r="I1971" s="204"/>
      <c r="J1971" s="285"/>
      <c r="K1971" s="251"/>
      <c r="L1971" s="133" t="str">
        <f>IF(AND(I1971&lt;&gt;"",ISERROR(IF(ISERROR(VLOOKUP(I1971*1,Summary!$C$8:$C$153,1,0)),VLOOKUP(I1971,Summary!$C$8:$C$153,1,0),VLOOKUP(I1971*1,Summary!$C$8:$C$153,1,0)))),"Add account Number to Summary","")</f>
        <v/>
      </c>
      <c r="M1971" s="131" t="str">
        <f t="shared" si="31"/>
        <v/>
      </c>
      <c r="N1971" s="287">
        <f>IF(C1971="Sale",SUMIFS($D$4:D1971,$B$4:B1971,B1971,$C$4:C1971,"")+SUMIFS($D$4:D1971,$B$4:B1971,B1971,$C$4:C1971,"Purch")-SUMIFS($D$4:D1971,$B$4:B1971,B1971,$C$4:C1971,"Sale"),0)</f>
        <v>0</v>
      </c>
    </row>
    <row r="1972" spans="1:14" x14ac:dyDescent="0.2">
      <c r="A1972" s="152"/>
      <c r="B1972" s="132"/>
      <c r="C1972" s="132"/>
      <c r="D1972" s="277"/>
      <c r="E1972" s="132"/>
      <c r="F1972" s="170"/>
      <c r="G1972" s="150"/>
      <c r="H1972" s="152"/>
      <c r="I1972" s="204"/>
      <c r="J1972" s="285"/>
      <c r="K1972" s="251"/>
      <c r="L1972" s="133" t="str">
        <f>IF(AND(I1972&lt;&gt;"",ISERROR(IF(ISERROR(VLOOKUP(I1972*1,Summary!$C$8:$C$153,1,0)),VLOOKUP(I1972,Summary!$C$8:$C$153,1,0),VLOOKUP(I1972*1,Summary!$C$8:$C$153,1,0)))),"Add account Number to Summary","")</f>
        <v/>
      </c>
      <c r="M1972" s="131" t="str">
        <f t="shared" si="31"/>
        <v/>
      </c>
      <c r="N1972" s="287">
        <f>IF(C1972="Sale",SUMIFS($D$4:D1972,$B$4:B1972,B1972,$C$4:C1972,"")+SUMIFS($D$4:D1972,$B$4:B1972,B1972,$C$4:C1972,"Purch")-SUMIFS($D$4:D1972,$B$4:B1972,B1972,$C$4:C1972,"Sale"),0)</f>
        <v>0</v>
      </c>
    </row>
    <row r="1973" spans="1:14" x14ac:dyDescent="0.2">
      <c r="A1973" s="152"/>
      <c r="B1973" s="132"/>
      <c r="C1973" s="132"/>
      <c r="D1973" s="277"/>
      <c r="E1973" s="132"/>
      <c r="F1973" s="170"/>
      <c r="G1973" s="150"/>
      <c r="H1973" s="152"/>
      <c r="I1973" s="204"/>
      <c r="J1973" s="285"/>
      <c r="K1973" s="251"/>
      <c r="L1973" s="133" t="str">
        <f>IF(AND(I1973&lt;&gt;"",ISERROR(IF(ISERROR(VLOOKUP(I1973*1,Summary!$C$8:$C$153,1,0)),VLOOKUP(I1973,Summary!$C$8:$C$153,1,0),VLOOKUP(I1973*1,Summary!$C$8:$C$153,1,0)))),"Add account Number to Summary","")</f>
        <v/>
      </c>
      <c r="M1973" s="131" t="str">
        <f t="shared" si="31"/>
        <v/>
      </c>
      <c r="N1973" s="287">
        <f>IF(C1973="Sale",SUMIFS($D$4:D1973,$B$4:B1973,B1973,$C$4:C1973,"")+SUMIFS($D$4:D1973,$B$4:B1973,B1973,$C$4:C1973,"Purch")-SUMIFS($D$4:D1973,$B$4:B1973,B1973,$C$4:C1973,"Sale"),0)</f>
        <v>0</v>
      </c>
    </row>
    <row r="1974" spans="1:14" x14ac:dyDescent="0.2">
      <c r="A1974" s="152"/>
      <c r="B1974" s="132"/>
      <c r="C1974" s="132"/>
      <c r="D1974" s="277"/>
      <c r="E1974" s="132"/>
      <c r="F1974" s="170"/>
      <c r="G1974" s="150"/>
      <c r="H1974" s="152"/>
      <c r="I1974" s="204"/>
      <c r="J1974" s="285"/>
      <c r="K1974" s="251"/>
      <c r="L1974" s="133" t="str">
        <f>IF(AND(I1974&lt;&gt;"",ISERROR(IF(ISERROR(VLOOKUP(I1974*1,Summary!$C$8:$C$153,1,0)),VLOOKUP(I1974,Summary!$C$8:$C$153,1,0),VLOOKUP(I1974*1,Summary!$C$8:$C$153,1,0)))),"Add account Number to Summary","")</f>
        <v/>
      </c>
      <c r="M1974" s="131" t="str">
        <f t="shared" si="31"/>
        <v/>
      </c>
      <c r="N1974" s="287">
        <f>IF(C1974="Sale",SUMIFS($D$4:D1974,$B$4:B1974,B1974,$C$4:C1974,"")+SUMIFS($D$4:D1974,$B$4:B1974,B1974,$C$4:C1974,"Purch")-SUMIFS($D$4:D1974,$B$4:B1974,B1974,$C$4:C1974,"Sale"),0)</f>
        <v>0</v>
      </c>
    </row>
    <row r="1975" spans="1:14" x14ac:dyDescent="0.2">
      <c r="A1975" s="152"/>
      <c r="B1975" s="132"/>
      <c r="C1975" s="132"/>
      <c r="D1975" s="277"/>
      <c r="E1975" s="132"/>
      <c r="F1975" s="170"/>
      <c r="G1975" s="150"/>
      <c r="H1975" s="152"/>
      <c r="I1975" s="204"/>
      <c r="J1975" s="285"/>
      <c r="K1975" s="251"/>
      <c r="L1975" s="133" t="str">
        <f>IF(AND(I1975&lt;&gt;"",ISERROR(IF(ISERROR(VLOOKUP(I1975*1,Summary!$C$8:$C$153,1,0)),VLOOKUP(I1975,Summary!$C$8:$C$153,1,0),VLOOKUP(I1975*1,Summary!$C$8:$C$153,1,0)))),"Add account Number to Summary","")</f>
        <v/>
      </c>
      <c r="M1975" s="131" t="str">
        <f t="shared" si="31"/>
        <v/>
      </c>
      <c r="N1975" s="287">
        <f>IF(C1975="Sale",SUMIFS($D$4:D1975,$B$4:B1975,B1975,$C$4:C1975,"")+SUMIFS($D$4:D1975,$B$4:B1975,B1975,$C$4:C1975,"Purch")-SUMIFS($D$4:D1975,$B$4:B1975,B1975,$C$4:C1975,"Sale"),0)</f>
        <v>0</v>
      </c>
    </row>
    <row r="1976" spans="1:14" x14ac:dyDescent="0.2">
      <c r="A1976" s="152"/>
      <c r="B1976" s="132"/>
      <c r="C1976" s="132"/>
      <c r="D1976" s="277"/>
      <c r="E1976" s="132"/>
      <c r="F1976" s="170"/>
      <c r="G1976" s="150"/>
      <c r="H1976" s="152"/>
      <c r="I1976" s="204"/>
      <c r="J1976" s="285"/>
      <c r="K1976" s="251"/>
      <c r="L1976" s="133" t="str">
        <f>IF(AND(I1976&lt;&gt;"",ISERROR(IF(ISERROR(VLOOKUP(I1976*1,Summary!$C$8:$C$153,1,0)),VLOOKUP(I1976,Summary!$C$8:$C$153,1,0),VLOOKUP(I1976*1,Summary!$C$8:$C$153,1,0)))),"Add account Number to Summary","")</f>
        <v/>
      </c>
      <c r="M1976" s="131" t="str">
        <f t="shared" si="31"/>
        <v/>
      </c>
      <c r="N1976" s="287">
        <f>IF(C1976="Sale",SUMIFS($D$4:D1976,$B$4:B1976,B1976,$C$4:C1976,"")+SUMIFS($D$4:D1976,$B$4:B1976,B1976,$C$4:C1976,"Purch")-SUMIFS($D$4:D1976,$B$4:B1976,B1976,$C$4:C1976,"Sale"),0)</f>
        <v>0</v>
      </c>
    </row>
    <row r="1977" spans="1:14" x14ac:dyDescent="0.2">
      <c r="A1977" s="152"/>
      <c r="B1977" s="132"/>
      <c r="C1977" s="132"/>
      <c r="D1977" s="277"/>
      <c r="E1977" s="132"/>
      <c r="F1977" s="170"/>
      <c r="G1977" s="150"/>
      <c r="H1977" s="152"/>
      <c r="I1977" s="204"/>
      <c r="J1977" s="285"/>
      <c r="K1977" s="251"/>
      <c r="L1977" s="133" t="str">
        <f>IF(AND(I1977&lt;&gt;"",ISERROR(IF(ISERROR(VLOOKUP(I1977*1,Summary!$C$8:$C$153,1,0)),VLOOKUP(I1977,Summary!$C$8:$C$153,1,0),VLOOKUP(I1977*1,Summary!$C$8:$C$153,1,0)))),"Add account Number to Summary","")</f>
        <v/>
      </c>
      <c r="M1977" s="131" t="str">
        <f t="shared" si="31"/>
        <v/>
      </c>
      <c r="N1977" s="287">
        <f>IF(C1977="Sale",SUMIFS($D$4:D1977,$B$4:B1977,B1977,$C$4:C1977,"")+SUMIFS($D$4:D1977,$B$4:B1977,B1977,$C$4:C1977,"Purch")-SUMIFS($D$4:D1977,$B$4:B1977,B1977,$C$4:C1977,"Sale"),0)</f>
        <v>0</v>
      </c>
    </row>
    <row r="1978" spans="1:14" x14ac:dyDescent="0.2">
      <c r="A1978" s="152"/>
      <c r="B1978" s="132"/>
      <c r="C1978" s="132"/>
      <c r="D1978" s="277"/>
      <c r="E1978" s="132"/>
      <c r="F1978" s="170"/>
      <c r="G1978" s="150"/>
      <c r="H1978" s="152"/>
      <c r="I1978" s="204"/>
      <c r="J1978" s="285"/>
      <c r="K1978" s="251"/>
      <c r="L1978" s="133" t="str">
        <f>IF(AND(I1978&lt;&gt;"",ISERROR(IF(ISERROR(VLOOKUP(I1978*1,Summary!$C$8:$C$153,1,0)),VLOOKUP(I1978,Summary!$C$8:$C$153,1,0),VLOOKUP(I1978*1,Summary!$C$8:$C$153,1,0)))),"Add account Number to Summary","")</f>
        <v/>
      </c>
      <c r="M1978" s="131" t="str">
        <f t="shared" si="31"/>
        <v/>
      </c>
      <c r="N1978" s="287">
        <f>IF(C1978="Sale",SUMIFS($D$4:D1978,$B$4:B1978,B1978,$C$4:C1978,"")+SUMIFS($D$4:D1978,$B$4:B1978,B1978,$C$4:C1978,"Purch")-SUMIFS($D$4:D1978,$B$4:B1978,B1978,$C$4:C1978,"Sale"),0)</f>
        <v>0</v>
      </c>
    </row>
    <row r="1979" spans="1:14" x14ac:dyDescent="0.2">
      <c r="A1979" s="152"/>
      <c r="B1979" s="132"/>
      <c r="C1979" s="132"/>
      <c r="D1979" s="277"/>
      <c r="E1979" s="132"/>
      <c r="F1979" s="170"/>
      <c r="G1979" s="150"/>
      <c r="H1979" s="152"/>
      <c r="I1979" s="204"/>
      <c r="J1979" s="285"/>
      <c r="K1979" s="251"/>
      <c r="L1979" s="133" t="str">
        <f>IF(AND(I1979&lt;&gt;"",ISERROR(IF(ISERROR(VLOOKUP(I1979*1,Summary!$C$8:$C$153,1,0)),VLOOKUP(I1979,Summary!$C$8:$C$153,1,0),VLOOKUP(I1979*1,Summary!$C$8:$C$153,1,0)))),"Add account Number to Summary","")</f>
        <v/>
      </c>
      <c r="M1979" s="131" t="str">
        <f t="shared" si="31"/>
        <v/>
      </c>
      <c r="N1979" s="287">
        <f>IF(C1979="Sale",SUMIFS($D$4:D1979,$B$4:B1979,B1979,$C$4:C1979,"")+SUMIFS($D$4:D1979,$B$4:B1979,B1979,$C$4:C1979,"Purch")-SUMIFS($D$4:D1979,$B$4:B1979,B1979,$C$4:C1979,"Sale"),0)</f>
        <v>0</v>
      </c>
    </row>
    <row r="1980" spans="1:14" x14ac:dyDescent="0.2">
      <c r="A1980" s="152"/>
      <c r="B1980" s="132"/>
      <c r="C1980" s="132"/>
      <c r="D1980" s="277"/>
      <c r="E1980" s="132"/>
      <c r="F1980" s="170"/>
      <c r="G1980" s="150"/>
      <c r="H1980" s="152"/>
      <c r="I1980" s="204"/>
      <c r="J1980" s="285"/>
      <c r="K1980" s="251"/>
      <c r="L1980" s="133" t="str">
        <f>IF(AND(I1980&lt;&gt;"",ISERROR(IF(ISERROR(VLOOKUP(I1980*1,Summary!$C$8:$C$153,1,0)),VLOOKUP(I1980,Summary!$C$8:$C$153,1,0),VLOOKUP(I1980*1,Summary!$C$8:$C$153,1,0)))),"Add account Number to Summary","")</f>
        <v/>
      </c>
      <c r="M1980" s="131" t="str">
        <f t="shared" si="31"/>
        <v/>
      </c>
      <c r="N1980" s="287">
        <f>IF(C1980="Sale",SUMIFS($D$4:D1980,$B$4:B1980,B1980,$C$4:C1980,"")+SUMIFS($D$4:D1980,$B$4:B1980,B1980,$C$4:C1980,"Purch")-SUMIFS($D$4:D1980,$B$4:B1980,B1980,$C$4:C1980,"Sale"),0)</f>
        <v>0</v>
      </c>
    </row>
    <row r="1981" spans="1:14" x14ac:dyDescent="0.2">
      <c r="A1981" s="152"/>
      <c r="B1981" s="132"/>
      <c r="C1981" s="132"/>
      <c r="D1981" s="277"/>
      <c r="E1981" s="132"/>
      <c r="F1981" s="170"/>
      <c r="G1981" s="150"/>
      <c r="H1981" s="152"/>
      <c r="I1981" s="204"/>
      <c r="J1981" s="285"/>
      <c r="K1981" s="251"/>
      <c r="L1981" s="133" t="str">
        <f>IF(AND(I1981&lt;&gt;"",ISERROR(IF(ISERROR(VLOOKUP(I1981*1,Summary!$C$8:$C$153,1,0)),VLOOKUP(I1981,Summary!$C$8:$C$153,1,0),VLOOKUP(I1981*1,Summary!$C$8:$C$153,1,0)))),"Add account Number to Summary","")</f>
        <v/>
      </c>
      <c r="M1981" s="131" t="str">
        <f t="shared" si="31"/>
        <v/>
      </c>
      <c r="N1981" s="287">
        <f>IF(C1981="Sale",SUMIFS($D$4:D1981,$B$4:B1981,B1981,$C$4:C1981,"")+SUMIFS($D$4:D1981,$B$4:B1981,B1981,$C$4:C1981,"Purch")-SUMIFS($D$4:D1981,$B$4:B1981,B1981,$C$4:C1981,"Sale"),0)</f>
        <v>0</v>
      </c>
    </row>
    <row r="1982" spans="1:14" x14ac:dyDescent="0.2">
      <c r="A1982" s="152"/>
      <c r="B1982" s="132"/>
      <c r="C1982" s="132"/>
      <c r="D1982" s="277"/>
      <c r="E1982" s="132"/>
      <c r="F1982" s="170"/>
      <c r="G1982" s="150"/>
      <c r="H1982" s="152"/>
      <c r="I1982" s="204"/>
      <c r="J1982" s="285"/>
      <c r="K1982" s="251"/>
      <c r="L1982" s="133" t="str">
        <f>IF(AND(I1982&lt;&gt;"",ISERROR(IF(ISERROR(VLOOKUP(I1982*1,Summary!$C$8:$C$153,1,0)),VLOOKUP(I1982,Summary!$C$8:$C$153,1,0),VLOOKUP(I1982*1,Summary!$C$8:$C$153,1,0)))),"Add account Number to Summary","")</f>
        <v/>
      </c>
      <c r="M1982" s="131" t="str">
        <f t="shared" si="31"/>
        <v/>
      </c>
      <c r="N1982" s="287">
        <f>IF(C1982="Sale",SUMIFS($D$4:D1982,$B$4:B1982,B1982,$C$4:C1982,"")+SUMIFS($D$4:D1982,$B$4:B1982,B1982,$C$4:C1982,"Purch")-SUMIFS($D$4:D1982,$B$4:B1982,B1982,$C$4:C1982,"Sale"),0)</f>
        <v>0</v>
      </c>
    </row>
    <row r="1983" spans="1:14" x14ac:dyDescent="0.2">
      <c r="A1983" s="152"/>
      <c r="B1983" s="132"/>
      <c r="C1983" s="132"/>
      <c r="D1983" s="277"/>
      <c r="E1983" s="132"/>
      <c r="F1983" s="170"/>
      <c r="G1983" s="150"/>
      <c r="H1983" s="152"/>
      <c r="I1983" s="204"/>
      <c r="J1983" s="285"/>
      <c r="K1983" s="251"/>
      <c r="L1983" s="133" t="str">
        <f>IF(AND(I1983&lt;&gt;"",ISERROR(IF(ISERROR(VLOOKUP(I1983*1,Summary!$C$8:$C$153,1,0)),VLOOKUP(I1983,Summary!$C$8:$C$153,1,0),VLOOKUP(I1983*1,Summary!$C$8:$C$153,1,0)))),"Add account Number to Summary","")</f>
        <v/>
      </c>
      <c r="M1983" s="131" t="str">
        <f t="shared" si="31"/>
        <v/>
      </c>
      <c r="N1983" s="287">
        <f>IF(C1983="Sale",SUMIFS($D$4:D1983,$B$4:B1983,B1983,$C$4:C1983,"")+SUMIFS($D$4:D1983,$B$4:B1983,B1983,$C$4:C1983,"Purch")-SUMIFS($D$4:D1983,$B$4:B1983,B1983,$C$4:C1983,"Sale"),0)</f>
        <v>0</v>
      </c>
    </row>
    <row r="1984" spans="1:14" x14ac:dyDescent="0.2">
      <c r="A1984" s="152"/>
      <c r="B1984" s="132"/>
      <c r="C1984" s="132"/>
      <c r="D1984" s="277"/>
      <c r="E1984" s="132"/>
      <c r="F1984" s="170"/>
      <c r="G1984" s="150"/>
      <c r="H1984" s="152"/>
      <c r="I1984" s="204"/>
      <c r="J1984" s="285"/>
      <c r="K1984" s="251"/>
      <c r="L1984" s="133" t="str">
        <f>IF(AND(I1984&lt;&gt;"",ISERROR(IF(ISERROR(VLOOKUP(I1984*1,Summary!$C$8:$C$153,1,0)),VLOOKUP(I1984,Summary!$C$8:$C$153,1,0),VLOOKUP(I1984*1,Summary!$C$8:$C$153,1,0)))),"Add account Number to Summary","")</f>
        <v/>
      </c>
      <c r="M1984" s="131" t="str">
        <f t="shared" si="31"/>
        <v/>
      </c>
      <c r="N1984" s="287">
        <f>IF(C1984="Sale",SUMIFS($D$4:D1984,$B$4:B1984,B1984,$C$4:C1984,"")+SUMIFS($D$4:D1984,$B$4:B1984,B1984,$C$4:C1984,"Purch")-SUMIFS($D$4:D1984,$B$4:B1984,B1984,$C$4:C1984,"Sale"),0)</f>
        <v>0</v>
      </c>
    </row>
    <row r="1985" spans="1:14" x14ac:dyDescent="0.2">
      <c r="A1985" s="152"/>
      <c r="B1985" s="132"/>
      <c r="C1985" s="132"/>
      <c r="D1985" s="277"/>
      <c r="E1985" s="132"/>
      <c r="F1985" s="170"/>
      <c r="G1985" s="150"/>
      <c r="H1985" s="152"/>
      <c r="I1985" s="204"/>
      <c r="J1985" s="285"/>
      <c r="K1985" s="251"/>
      <c r="L1985" s="133" t="str">
        <f>IF(AND(I1985&lt;&gt;"",ISERROR(IF(ISERROR(VLOOKUP(I1985*1,Summary!$C$8:$C$153,1,0)),VLOOKUP(I1985,Summary!$C$8:$C$153,1,0),VLOOKUP(I1985*1,Summary!$C$8:$C$153,1,0)))),"Add account Number to Summary","")</f>
        <v/>
      </c>
      <c r="M1985" s="131" t="str">
        <f t="shared" si="31"/>
        <v/>
      </c>
      <c r="N1985" s="287">
        <f>IF(C1985="Sale",SUMIFS($D$4:D1985,$B$4:B1985,B1985,$C$4:C1985,"")+SUMIFS($D$4:D1985,$B$4:B1985,B1985,$C$4:C1985,"Purch")-SUMIFS($D$4:D1985,$B$4:B1985,B1985,$C$4:C1985,"Sale"),0)</f>
        <v>0</v>
      </c>
    </row>
    <row r="1986" spans="1:14" x14ac:dyDescent="0.2">
      <c r="A1986" s="152"/>
      <c r="B1986" s="132"/>
      <c r="C1986" s="132"/>
      <c r="D1986" s="277"/>
      <c r="E1986" s="132"/>
      <c r="F1986" s="170"/>
      <c r="G1986" s="150"/>
      <c r="H1986" s="152"/>
      <c r="I1986" s="204"/>
      <c r="J1986" s="285"/>
      <c r="K1986" s="251"/>
      <c r="L1986" s="133" t="str">
        <f>IF(AND(I1986&lt;&gt;"",ISERROR(IF(ISERROR(VLOOKUP(I1986*1,Summary!$C$8:$C$153,1,0)),VLOOKUP(I1986,Summary!$C$8:$C$153,1,0),VLOOKUP(I1986*1,Summary!$C$8:$C$153,1,0)))),"Add account Number to Summary","")</f>
        <v/>
      </c>
      <c r="M1986" s="131" t="str">
        <f t="shared" si="31"/>
        <v/>
      </c>
      <c r="N1986" s="287">
        <f>IF(C1986="Sale",SUMIFS($D$4:D1986,$B$4:B1986,B1986,$C$4:C1986,"")+SUMIFS($D$4:D1986,$B$4:B1986,B1986,$C$4:C1986,"Purch")-SUMIFS($D$4:D1986,$B$4:B1986,B1986,$C$4:C1986,"Sale"),0)</f>
        <v>0</v>
      </c>
    </row>
    <row r="1987" spans="1:14" x14ac:dyDescent="0.2">
      <c r="A1987" s="152"/>
      <c r="B1987" s="132"/>
      <c r="C1987" s="132"/>
      <c r="D1987" s="277"/>
      <c r="E1987" s="132"/>
      <c r="F1987" s="170"/>
      <c r="G1987" s="150"/>
      <c r="H1987" s="152"/>
      <c r="I1987" s="204"/>
      <c r="J1987" s="285"/>
      <c r="K1987" s="251"/>
      <c r="L1987" s="133" t="str">
        <f>IF(AND(I1987&lt;&gt;"",ISERROR(IF(ISERROR(VLOOKUP(I1987*1,Summary!$C$8:$C$153,1,0)),VLOOKUP(I1987,Summary!$C$8:$C$153,1,0),VLOOKUP(I1987*1,Summary!$C$8:$C$153,1,0)))),"Add account Number to Summary","")</f>
        <v/>
      </c>
      <c r="M1987" s="131" t="str">
        <f t="shared" si="31"/>
        <v/>
      </c>
      <c r="N1987" s="287">
        <f>IF(C1987="Sale",SUMIFS($D$4:D1987,$B$4:B1987,B1987,$C$4:C1987,"")+SUMIFS($D$4:D1987,$B$4:B1987,B1987,$C$4:C1987,"Purch")-SUMIFS($D$4:D1987,$B$4:B1987,B1987,$C$4:C1987,"Sale"),0)</f>
        <v>0</v>
      </c>
    </row>
    <row r="1988" spans="1:14" x14ac:dyDescent="0.2">
      <c r="A1988" s="152"/>
      <c r="B1988" s="132"/>
      <c r="C1988" s="132"/>
      <c r="D1988" s="277"/>
      <c r="E1988" s="132"/>
      <c r="F1988" s="170"/>
      <c r="G1988" s="150"/>
      <c r="H1988" s="152"/>
      <c r="I1988" s="204"/>
      <c r="J1988" s="285"/>
      <c r="K1988" s="251"/>
      <c r="L1988" s="133" t="str">
        <f>IF(AND(I1988&lt;&gt;"",ISERROR(IF(ISERROR(VLOOKUP(I1988*1,Summary!$C$8:$C$153,1,0)),VLOOKUP(I1988,Summary!$C$8:$C$153,1,0),VLOOKUP(I1988*1,Summary!$C$8:$C$153,1,0)))),"Add account Number to Summary","")</f>
        <v/>
      </c>
      <c r="M1988" s="131" t="str">
        <f t="shared" si="31"/>
        <v/>
      </c>
      <c r="N1988" s="287">
        <f>IF(C1988="Sale",SUMIFS($D$4:D1988,$B$4:B1988,B1988,$C$4:C1988,"")+SUMIFS($D$4:D1988,$B$4:B1988,B1988,$C$4:C1988,"Purch")-SUMIFS($D$4:D1988,$B$4:B1988,B1988,$C$4:C1988,"Sale"),0)</f>
        <v>0</v>
      </c>
    </row>
    <row r="1989" spans="1:14" x14ac:dyDescent="0.2">
      <c r="A1989" s="152"/>
      <c r="B1989" s="132"/>
      <c r="C1989" s="132"/>
      <c r="D1989" s="277"/>
      <c r="E1989" s="132"/>
      <c r="F1989" s="170"/>
      <c r="G1989" s="150"/>
      <c r="H1989" s="152"/>
      <c r="I1989" s="204"/>
      <c r="J1989" s="285"/>
      <c r="K1989" s="251"/>
      <c r="L1989" s="133" t="str">
        <f>IF(AND(I1989&lt;&gt;"",ISERROR(IF(ISERROR(VLOOKUP(I1989*1,Summary!$C$8:$C$153,1,0)),VLOOKUP(I1989,Summary!$C$8:$C$153,1,0),VLOOKUP(I1989*1,Summary!$C$8:$C$153,1,0)))),"Add account Number to Summary","")</f>
        <v/>
      </c>
      <c r="M1989" s="131" t="str">
        <f t="shared" si="31"/>
        <v/>
      </c>
      <c r="N1989" s="287">
        <f>IF(C1989="Sale",SUMIFS($D$4:D1989,$B$4:B1989,B1989,$C$4:C1989,"")+SUMIFS($D$4:D1989,$B$4:B1989,B1989,$C$4:C1989,"Purch")-SUMIFS($D$4:D1989,$B$4:B1989,B1989,$C$4:C1989,"Sale"),0)</f>
        <v>0</v>
      </c>
    </row>
    <row r="1990" spans="1:14" x14ac:dyDescent="0.2">
      <c r="A1990" s="152"/>
      <c r="B1990" s="132"/>
      <c r="C1990" s="132"/>
      <c r="D1990" s="277"/>
      <c r="E1990" s="132"/>
      <c r="F1990" s="170"/>
      <c r="G1990" s="150"/>
      <c r="H1990" s="152"/>
      <c r="I1990" s="204"/>
      <c r="J1990" s="285"/>
      <c r="K1990" s="251"/>
      <c r="L1990" s="133" t="str">
        <f>IF(AND(I1990&lt;&gt;"",ISERROR(IF(ISERROR(VLOOKUP(I1990*1,Summary!$C$8:$C$153,1,0)),VLOOKUP(I1990,Summary!$C$8:$C$153,1,0),VLOOKUP(I1990*1,Summary!$C$8:$C$153,1,0)))),"Add account Number to Summary","")</f>
        <v/>
      </c>
      <c r="M1990" s="131" t="str">
        <f t="shared" si="31"/>
        <v/>
      </c>
      <c r="N1990" s="287">
        <f>IF(C1990="Sale",SUMIFS($D$4:D1990,$B$4:B1990,B1990,$C$4:C1990,"")+SUMIFS($D$4:D1990,$B$4:B1990,B1990,$C$4:C1990,"Purch")-SUMIFS($D$4:D1990,$B$4:B1990,B1990,$C$4:C1990,"Sale"),0)</f>
        <v>0</v>
      </c>
    </row>
    <row r="1991" spans="1:14" x14ac:dyDescent="0.2">
      <c r="A1991" s="152"/>
      <c r="B1991" s="132"/>
      <c r="C1991" s="132"/>
      <c r="D1991" s="277"/>
      <c r="E1991" s="132"/>
      <c r="F1991" s="170"/>
      <c r="G1991" s="150"/>
      <c r="H1991" s="152"/>
      <c r="I1991" s="204"/>
      <c r="J1991" s="285"/>
      <c r="K1991" s="251"/>
      <c r="L1991" s="133" t="str">
        <f>IF(AND(I1991&lt;&gt;"",ISERROR(IF(ISERROR(VLOOKUP(I1991*1,Summary!$C$8:$C$153,1,0)),VLOOKUP(I1991,Summary!$C$8:$C$153,1,0),VLOOKUP(I1991*1,Summary!$C$8:$C$153,1,0)))),"Add account Number to Summary","")</f>
        <v/>
      </c>
      <c r="M1991" s="131" t="str">
        <f t="shared" si="31"/>
        <v/>
      </c>
      <c r="N1991" s="287">
        <f>IF(C1991="Sale",SUMIFS($D$4:D1991,$B$4:B1991,B1991,$C$4:C1991,"")+SUMIFS($D$4:D1991,$B$4:B1991,B1991,$C$4:C1991,"Purch")-SUMIFS($D$4:D1991,$B$4:B1991,B1991,$C$4:C1991,"Sale"),0)</f>
        <v>0</v>
      </c>
    </row>
    <row r="1992" spans="1:14" x14ac:dyDescent="0.2">
      <c r="A1992" s="152"/>
      <c r="B1992" s="132"/>
      <c r="C1992" s="132"/>
      <c r="D1992" s="277"/>
      <c r="E1992" s="132"/>
      <c r="F1992" s="170"/>
      <c r="G1992" s="150"/>
      <c r="H1992" s="152"/>
      <c r="I1992" s="204"/>
      <c r="J1992" s="285"/>
      <c r="K1992" s="251"/>
      <c r="L1992" s="133" t="str">
        <f>IF(AND(I1992&lt;&gt;"",ISERROR(IF(ISERROR(VLOOKUP(I1992*1,Summary!$C$8:$C$153,1,0)),VLOOKUP(I1992,Summary!$C$8:$C$153,1,0),VLOOKUP(I1992*1,Summary!$C$8:$C$153,1,0)))),"Add account Number to Summary","")</f>
        <v/>
      </c>
      <c r="M1992" s="131" t="str">
        <f t="shared" si="31"/>
        <v/>
      </c>
      <c r="N1992" s="287">
        <f>IF(C1992="Sale",SUMIFS($D$4:D1992,$B$4:B1992,B1992,$C$4:C1992,"")+SUMIFS($D$4:D1992,$B$4:B1992,B1992,$C$4:C1992,"Purch")-SUMIFS($D$4:D1992,$B$4:B1992,B1992,$C$4:C1992,"Sale"),0)</f>
        <v>0</v>
      </c>
    </row>
    <row r="1993" spans="1:14" x14ac:dyDescent="0.2">
      <c r="A1993" s="152"/>
      <c r="B1993" s="132"/>
      <c r="C1993" s="132"/>
      <c r="D1993" s="277"/>
      <c r="E1993" s="132"/>
      <c r="F1993" s="170"/>
      <c r="G1993" s="150"/>
      <c r="H1993" s="152"/>
      <c r="I1993" s="204"/>
      <c r="J1993" s="285"/>
      <c r="K1993" s="251"/>
      <c r="L1993" s="133" t="str">
        <f>IF(AND(I1993&lt;&gt;"",ISERROR(IF(ISERROR(VLOOKUP(I1993*1,Summary!$C$8:$C$153,1,0)),VLOOKUP(I1993,Summary!$C$8:$C$153,1,0),VLOOKUP(I1993*1,Summary!$C$8:$C$153,1,0)))),"Add account Number to Summary","")</f>
        <v/>
      </c>
      <c r="M1993" s="131" t="str">
        <f t="shared" si="31"/>
        <v/>
      </c>
      <c r="N1993" s="287">
        <f>IF(C1993="Sale",SUMIFS($D$4:D1993,$B$4:B1993,B1993,$C$4:C1993,"")+SUMIFS($D$4:D1993,$B$4:B1993,B1993,$C$4:C1993,"Purch")-SUMIFS($D$4:D1993,$B$4:B1993,B1993,$C$4:C1993,"Sale"),0)</f>
        <v>0</v>
      </c>
    </row>
    <row r="1994" spans="1:14" x14ac:dyDescent="0.2">
      <c r="A1994" s="152"/>
      <c r="B1994" s="132"/>
      <c r="C1994" s="132"/>
      <c r="D1994" s="277"/>
      <c r="E1994" s="132"/>
      <c r="F1994" s="170"/>
      <c r="G1994" s="150"/>
      <c r="H1994" s="152"/>
      <c r="I1994" s="204"/>
      <c r="J1994" s="285"/>
      <c r="K1994" s="251"/>
      <c r="L1994" s="133" t="str">
        <f>IF(AND(I1994&lt;&gt;"",ISERROR(IF(ISERROR(VLOOKUP(I1994*1,Summary!$C$8:$C$153,1,0)),VLOOKUP(I1994,Summary!$C$8:$C$153,1,0),VLOOKUP(I1994*1,Summary!$C$8:$C$153,1,0)))),"Add account Number to Summary","")</f>
        <v/>
      </c>
      <c r="M1994" s="131" t="str">
        <f t="shared" si="31"/>
        <v/>
      </c>
      <c r="N1994" s="287">
        <f>IF(C1994="Sale",SUMIFS($D$4:D1994,$B$4:B1994,B1994,$C$4:C1994,"")+SUMIFS($D$4:D1994,$B$4:B1994,B1994,$C$4:C1994,"Purch")-SUMIFS($D$4:D1994,$B$4:B1994,B1994,$C$4:C1994,"Sale"),0)</f>
        <v>0</v>
      </c>
    </row>
    <row r="1995" spans="1:14" x14ac:dyDescent="0.2">
      <c r="A1995" s="152"/>
      <c r="B1995" s="132"/>
      <c r="C1995" s="132"/>
      <c r="D1995" s="277"/>
      <c r="E1995" s="132"/>
      <c r="F1995" s="170"/>
      <c r="G1995" s="150"/>
      <c r="H1995" s="152"/>
      <c r="I1995" s="204"/>
      <c r="J1995" s="285"/>
      <c r="K1995" s="251"/>
      <c r="L1995" s="133" t="str">
        <f>IF(AND(I1995&lt;&gt;"",ISERROR(IF(ISERROR(VLOOKUP(I1995*1,Summary!$C$8:$C$153,1,0)),VLOOKUP(I1995,Summary!$C$8:$C$153,1,0),VLOOKUP(I1995*1,Summary!$C$8:$C$153,1,0)))),"Add account Number to Summary","")</f>
        <v/>
      </c>
      <c r="M1995" s="131" t="str">
        <f t="shared" si="31"/>
        <v/>
      </c>
      <c r="N1995" s="287">
        <f>IF(C1995="Sale",SUMIFS($D$4:D1995,$B$4:B1995,B1995,$C$4:C1995,"")+SUMIFS($D$4:D1995,$B$4:B1995,B1995,$C$4:C1995,"Purch")-SUMIFS($D$4:D1995,$B$4:B1995,B1995,$C$4:C1995,"Sale"),0)</f>
        <v>0</v>
      </c>
    </row>
    <row r="1996" spans="1:14" x14ac:dyDescent="0.2">
      <c r="A1996" s="152"/>
      <c r="B1996" s="132"/>
      <c r="C1996" s="132"/>
      <c r="D1996" s="277"/>
      <c r="E1996" s="132"/>
      <c r="F1996" s="170"/>
      <c r="G1996" s="150"/>
      <c r="H1996" s="152"/>
      <c r="I1996" s="204"/>
      <c r="J1996" s="285"/>
      <c r="K1996" s="251"/>
      <c r="L1996" s="133" t="str">
        <f>IF(AND(I1996&lt;&gt;"",ISERROR(IF(ISERROR(VLOOKUP(I1996*1,Summary!$C$8:$C$153,1,0)),VLOOKUP(I1996,Summary!$C$8:$C$153,1,0),VLOOKUP(I1996*1,Summary!$C$8:$C$153,1,0)))),"Add account Number to Summary","")</f>
        <v/>
      </c>
      <c r="M1996" s="131" t="str">
        <f t="shared" si="31"/>
        <v/>
      </c>
      <c r="N1996" s="287">
        <f>IF(C1996="Sale",SUMIFS($D$4:D1996,$B$4:B1996,B1996,$C$4:C1996,"")+SUMIFS($D$4:D1996,$B$4:B1996,B1996,$C$4:C1996,"Purch")-SUMIFS($D$4:D1996,$B$4:B1996,B1996,$C$4:C1996,"Sale"),0)</f>
        <v>0</v>
      </c>
    </row>
    <row r="1997" spans="1:14" x14ac:dyDescent="0.2">
      <c r="A1997" s="152"/>
      <c r="B1997" s="132"/>
      <c r="C1997" s="132"/>
      <c r="D1997" s="277"/>
      <c r="E1997" s="132"/>
      <c r="F1997" s="170"/>
      <c r="G1997" s="150"/>
      <c r="H1997" s="152"/>
      <c r="I1997" s="204"/>
      <c r="J1997" s="285"/>
      <c r="K1997" s="251"/>
      <c r="L1997" s="133" t="str">
        <f>IF(AND(I1997&lt;&gt;"",ISERROR(IF(ISERROR(VLOOKUP(I1997*1,Summary!$C$8:$C$153,1,0)),VLOOKUP(I1997,Summary!$C$8:$C$153,1,0),VLOOKUP(I1997*1,Summary!$C$8:$C$153,1,0)))),"Add account Number to Summary","")</f>
        <v/>
      </c>
      <c r="M1997" s="131" t="str">
        <f t="shared" si="31"/>
        <v/>
      </c>
      <c r="N1997" s="287">
        <f>IF(C1997="Sale",SUMIFS($D$4:D1997,$B$4:B1997,B1997,$C$4:C1997,"")+SUMIFS($D$4:D1997,$B$4:B1997,B1997,$C$4:C1997,"Purch")-SUMIFS($D$4:D1997,$B$4:B1997,B1997,$C$4:C1997,"Sale"),0)</f>
        <v>0</v>
      </c>
    </row>
    <row r="1998" spans="1:14" x14ac:dyDescent="0.2">
      <c r="A1998" s="152"/>
      <c r="B1998" s="132"/>
      <c r="C1998" s="132"/>
      <c r="D1998" s="277"/>
      <c r="E1998" s="132"/>
      <c r="F1998" s="170"/>
      <c r="G1998" s="150"/>
      <c r="H1998" s="152"/>
      <c r="I1998" s="204"/>
      <c r="J1998" s="285"/>
      <c r="K1998" s="251"/>
      <c r="L1998" s="133" t="str">
        <f>IF(AND(I1998&lt;&gt;"",ISERROR(IF(ISERROR(VLOOKUP(I1998*1,Summary!$C$8:$C$153,1,0)),VLOOKUP(I1998,Summary!$C$8:$C$153,1,0),VLOOKUP(I1998*1,Summary!$C$8:$C$153,1,0)))),"Add account Number to Summary","")</f>
        <v/>
      </c>
      <c r="M1998" s="131" t="str">
        <f t="shared" si="31"/>
        <v/>
      </c>
      <c r="N1998" s="287">
        <f>IF(C1998="Sale",SUMIFS($D$4:D1998,$B$4:B1998,B1998,$C$4:C1998,"")+SUMIFS($D$4:D1998,$B$4:B1998,B1998,$C$4:C1998,"Purch")-SUMIFS($D$4:D1998,$B$4:B1998,B1998,$C$4:C1998,"Sale"),0)</f>
        <v>0</v>
      </c>
    </row>
    <row r="1999" spans="1:14" x14ac:dyDescent="0.2">
      <c r="A1999" s="152"/>
      <c r="B1999" s="132"/>
      <c r="C1999" s="132"/>
      <c r="D1999" s="277"/>
      <c r="E1999" s="132"/>
      <c r="F1999" s="170"/>
      <c r="G1999" s="150"/>
      <c r="H1999" s="152"/>
      <c r="I1999" s="204"/>
      <c r="J1999" s="285"/>
      <c r="K1999" s="251"/>
      <c r="L1999" s="133" t="str">
        <f>IF(AND(I1999&lt;&gt;"",ISERROR(IF(ISERROR(VLOOKUP(I1999*1,Summary!$C$8:$C$153,1,0)),VLOOKUP(I1999,Summary!$C$8:$C$153,1,0),VLOOKUP(I1999*1,Summary!$C$8:$C$153,1,0)))),"Add account Number to Summary","")</f>
        <v/>
      </c>
      <c r="M1999" s="131" t="str">
        <f t="shared" si="31"/>
        <v/>
      </c>
      <c r="N1999" s="287">
        <f>IF(C1999="Sale",SUMIFS($D$4:D1999,$B$4:B1999,B1999,$C$4:C1999,"")+SUMIFS($D$4:D1999,$B$4:B1999,B1999,$C$4:C1999,"Purch")-SUMIFS($D$4:D1999,$B$4:B1999,B1999,$C$4:C1999,"Sale"),0)</f>
        <v>0</v>
      </c>
    </row>
    <row r="2000" spans="1:14" x14ac:dyDescent="0.2">
      <c r="A2000" s="152"/>
      <c r="B2000" s="132"/>
      <c r="C2000" s="132"/>
      <c r="D2000" s="277"/>
      <c r="E2000" s="132"/>
      <c r="F2000" s="170"/>
      <c r="G2000" s="150"/>
      <c r="H2000" s="152"/>
      <c r="I2000" s="204"/>
      <c r="J2000" s="285"/>
      <c r="K2000" s="251"/>
      <c r="L2000" s="133" t="str">
        <f>IF(AND(I2000&lt;&gt;"",ISERROR(IF(ISERROR(VLOOKUP(I2000*1,Summary!$C$8:$C$153,1,0)),VLOOKUP(I2000,Summary!$C$8:$C$153,1,0),VLOOKUP(I2000*1,Summary!$C$8:$C$153,1,0)))),"Add account Number to Summary","")</f>
        <v/>
      </c>
      <c r="M2000" s="131" t="str">
        <f t="shared" si="31"/>
        <v/>
      </c>
      <c r="N2000" s="287">
        <f>IF(C2000="Sale",SUMIFS($D$4:D2000,$B$4:B2000,B2000,$C$4:C2000,"")+SUMIFS($D$4:D2000,$B$4:B2000,B2000,$C$4:C2000,"Purch")-SUMIFS($D$4:D2000,$B$4:B2000,B2000,$C$4:C2000,"Sale"),0)</f>
        <v>0</v>
      </c>
    </row>
    <row r="2001" spans="1:14" x14ac:dyDescent="0.2">
      <c r="A2001" s="152"/>
      <c r="B2001" s="132"/>
      <c r="C2001" s="132"/>
      <c r="D2001" s="277"/>
      <c r="E2001" s="132"/>
      <c r="F2001" s="170"/>
      <c r="G2001" s="150"/>
      <c r="H2001" s="152"/>
      <c r="I2001" s="204"/>
      <c r="J2001" s="285"/>
      <c r="K2001" s="251"/>
      <c r="L2001" s="133" t="str">
        <f>IF(AND(I2001&lt;&gt;"",ISERROR(IF(ISERROR(VLOOKUP(I2001*1,Summary!$C$8:$C$153,1,0)),VLOOKUP(I2001,Summary!$C$8:$C$153,1,0),VLOOKUP(I2001*1,Summary!$C$8:$C$153,1,0)))),"Add account Number to Summary","")</f>
        <v/>
      </c>
      <c r="M2001" s="131" t="str">
        <f t="shared" si="31"/>
        <v/>
      </c>
      <c r="N2001" s="287">
        <f>IF(C2001="Sale",SUMIFS($D$4:D2001,$B$4:B2001,B2001,$C$4:C2001,"")+SUMIFS($D$4:D2001,$B$4:B2001,B2001,$C$4:C2001,"Purch")-SUMIFS($D$4:D2001,$B$4:B2001,B2001,$C$4:C2001,"Sale"),0)</f>
        <v>0</v>
      </c>
    </row>
    <row r="2002" spans="1:14" x14ac:dyDescent="0.2">
      <c r="A2002" s="152"/>
      <c r="B2002" s="132"/>
      <c r="C2002" s="132"/>
      <c r="D2002" s="277"/>
      <c r="E2002" s="132"/>
      <c r="F2002" s="170"/>
      <c r="G2002" s="150"/>
      <c r="H2002" s="152"/>
      <c r="I2002" s="204"/>
      <c r="J2002" s="285"/>
      <c r="K2002" s="251"/>
      <c r="L2002" s="133" t="str">
        <f>IF(AND(I2002&lt;&gt;"",ISERROR(IF(ISERROR(VLOOKUP(I2002*1,Summary!$C$8:$C$153,1,0)),VLOOKUP(I2002,Summary!$C$8:$C$153,1,0),VLOOKUP(I2002*1,Summary!$C$8:$C$153,1,0)))),"Add account Number to Summary","")</f>
        <v/>
      </c>
      <c r="M2002" s="131" t="str">
        <f t="shared" si="31"/>
        <v/>
      </c>
      <c r="N2002" s="287">
        <f>IF(C2002="Sale",SUMIFS($D$4:D2002,$B$4:B2002,B2002,$C$4:C2002,"")+SUMIFS($D$4:D2002,$B$4:B2002,B2002,$C$4:C2002,"Purch")-SUMIFS($D$4:D2002,$B$4:B2002,B2002,$C$4:C2002,"Sale"),0)</f>
        <v>0</v>
      </c>
    </row>
    <row r="2003" spans="1:14" x14ac:dyDescent="0.2">
      <c r="A2003" s="152"/>
      <c r="B2003" s="132"/>
      <c r="C2003" s="132"/>
      <c r="D2003" s="277"/>
      <c r="E2003" s="132"/>
      <c r="F2003" s="170"/>
      <c r="G2003" s="150"/>
      <c r="H2003" s="152"/>
      <c r="I2003" s="204"/>
      <c r="J2003" s="285"/>
      <c r="K2003" s="251"/>
      <c r="L2003" s="133" t="str">
        <f>IF(AND(I2003&lt;&gt;"",ISERROR(IF(ISERROR(VLOOKUP(I2003*1,Summary!$C$8:$C$153,1,0)),VLOOKUP(I2003,Summary!$C$8:$C$153,1,0),VLOOKUP(I2003*1,Summary!$C$8:$C$153,1,0)))),"Add account Number to Summary","")</f>
        <v/>
      </c>
      <c r="M2003" s="131" t="str">
        <f t="shared" si="31"/>
        <v/>
      </c>
      <c r="N2003" s="287">
        <f>IF(C2003="Sale",SUMIFS($D$4:D2003,$B$4:B2003,B2003,$C$4:C2003,"")+SUMIFS($D$4:D2003,$B$4:B2003,B2003,$C$4:C2003,"Purch")-SUMIFS($D$4:D2003,$B$4:B2003,B2003,$C$4:C2003,"Sale"),0)</f>
        <v>0</v>
      </c>
    </row>
    <row r="2004" spans="1:14" x14ac:dyDescent="0.2">
      <c r="A2004" s="152"/>
      <c r="B2004" s="132"/>
      <c r="C2004" s="132"/>
      <c r="D2004" s="277"/>
      <c r="E2004" s="132"/>
      <c r="F2004" s="170"/>
      <c r="G2004" s="150"/>
      <c r="H2004" s="152"/>
      <c r="I2004" s="204"/>
      <c r="J2004" s="285"/>
      <c r="K2004" s="251"/>
      <c r="L2004" s="133" t="str">
        <f>IF(AND(I2004&lt;&gt;"",ISERROR(IF(ISERROR(VLOOKUP(I2004*1,Summary!$C$8:$C$153,1,0)),VLOOKUP(I2004,Summary!$C$8:$C$153,1,0),VLOOKUP(I2004*1,Summary!$C$8:$C$153,1,0)))),"Add account Number to Summary","")</f>
        <v/>
      </c>
      <c r="M2004" s="131" t="str">
        <f t="shared" si="31"/>
        <v/>
      </c>
      <c r="N2004" s="287">
        <f>IF(C2004="Sale",SUMIFS($D$4:D2004,$B$4:B2004,B2004,$C$4:C2004,"")+SUMIFS($D$4:D2004,$B$4:B2004,B2004,$C$4:C2004,"Purch")-SUMIFS($D$4:D2004,$B$4:B2004,B2004,$C$4:C2004,"Sale"),0)</f>
        <v>0</v>
      </c>
    </row>
    <row r="2005" spans="1:14" x14ac:dyDescent="0.2">
      <c r="A2005" s="152"/>
      <c r="B2005" s="132"/>
      <c r="C2005" s="132"/>
      <c r="D2005" s="277"/>
      <c r="E2005" s="132"/>
      <c r="F2005" s="170"/>
      <c r="G2005" s="150"/>
      <c r="H2005" s="152"/>
      <c r="I2005" s="204"/>
      <c r="J2005" s="285"/>
      <c r="K2005" s="251"/>
      <c r="L2005" s="133" t="str">
        <f>IF(AND(I2005&lt;&gt;"",ISERROR(IF(ISERROR(VLOOKUP(I2005*1,Summary!$C$8:$C$153,1,0)),VLOOKUP(I2005,Summary!$C$8:$C$153,1,0),VLOOKUP(I2005*1,Summary!$C$8:$C$153,1,0)))),"Add account Number to Summary","")</f>
        <v/>
      </c>
      <c r="M2005" s="131" t="str">
        <f t="shared" si="31"/>
        <v/>
      </c>
      <c r="N2005" s="287">
        <f>IF(C2005="Sale",SUMIFS($D$4:D2005,$B$4:B2005,B2005,$C$4:C2005,"")+SUMIFS($D$4:D2005,$B$4:B2005,B2005,$C$4:C2005,"Purch")-SUMIFS($D$4:D2005,$B$4:B2005,B2005,$C$4:C2005,"Sale"),0)</f>
        <v>0</v>
      </c>
    </row>
    <row r="2006" spans="1:14" x14ac:dyDescent="0.2">
      <c r="A2006" s="152"/>
      <c r="B2006" s="132"/>
      <c r="C2006" s="132"/>
      <c r="D2006" s="277"/>
      <c r="E2006" s="132"/>
      <c r="F2006" s="170"/>
      <c r="G2006" s="150"/>
      <c r="H2006" s="152"/>
      <c r="I2006" s="204"/>
      <c r="J2006" s="285"/>
      <c r="K2006" s="251"/>
      <c r="L2006" s="133" t="str">
        <f>IF(AND(I2006&lt;&gt;"",ISERROR(IF(ISERROR(VLOOKUP(I2006*1,Summary!$C$8:$C$153,1,0)),VLOOKUP(I2006,Summary!$C$8:$C$153,1,0),VLOOKUP(I2006*1,Summary!$C$8:$C$153,1,0)))),"Add account Number to Summary","")</f>
        <v/>
      </c>
      <c r="M2006" s="131" t="str">
        <f t="shared" si="31"/>
        <v/>
      </c>
      <c r="N2006" s="287">
        <f>IF(C2006="Sale",SUMIFS($D$4:D2006,$B$4:B2006,B2006,$C$4:C2006,"")+SUMIFS($D$4:D2006,$B$4:B2006,B2006,$C$4:C2006,"Purch")-SUMIFS($D$4:D2006,$B$4:B2006,B2006,$C$4:C2006,"Sale"),0)</f>
        <v>0</v>
      </c>
    </row>
    <row r="2007" spans="1:14" x14ac:dyDescent="0.2">
      <c r="A2007" s="152"/>
      <c r="B2007" s="132"/>
      <c r="C2007" s="132"/>
      <c r="D2007" s="277"/>
      <c r="E2007" s="132"/>
      <c r="F2007" s="170"/>
      <c r="G2007" s="150"/>
      <c r="H2007" s="152"/>
      <c r="I2007" s="204"/>
      <c r="J2007" s="285"/>
      <c r="K2007" s="251"/>
      <c r="L2007" s="133" t="str">
        <f>IF(AND(I2007&lt;&gt;"",ISERROR(IF(ISERROR(VLOOKUP(I2007*1,Summary!$C$8:$C$153,1,0)),VLOOKUP(I2007,Summary!$C$8:$C$153,1,0),VLOOKUP(I2007*1,Summary!$C$8:$C$153,1,0)))),"Add account Number to Summary","")</f>
        <v/>
      </c>
      <c r="M2007" s="131" t="str">
        <f t="shared" si="31"/>
        <v/>
      </c>
      <c r="N2007" s="287">
        <f>IF(C2007="Sale",SUMIFS($D$4:D2007,$B$4:B2007,B2007,$C$4:C2007,"")+SUMIFS($D$4:D2007,$B$4:B2007,B2007,$C$4:C2007,"Purch")-SUMIFS($D$4:D2007,$B$4:B2007,B2007,$C$4:C2007,"Sale"),0)</f>
        <v>0</v>
      </c>
    </row>
    <row r="2008" spans="1:14" x14ac:dyDescent="0.2">
      <c r="A2008" s="152"/>
      <c r="B2008" s="132"/>
      <c r="C2008" s="132"/>
      <c r="D2008" s="277"/>
      <c r="E2008" s="132"/>
      <c r="F2008" s="170"/>
      <c r="G2008" s="150"/>
      <c r="H2008" s="152"/>
      <c r="I2008" s="204"/>
      <c r="J2008" s="285"/>
      <c r="K2008" s="251"/>
      <c r="L2008" s="133" t="str">
        <f>IF(AND(I2008&lt;&gt;"",ISERROR(IF(ISERROR(VLOOKUP(I2008*1,Summary!$C$8:$C$153,1,0)),VLOOKUP(I2008,Summary!$C$8:$C$153,1,0),VLOOKUP(I2008*1,Summary!$C$8:$C$153,1,0)))),"Add account Number to Summary","")</f>
        <v/>
      </c>
      <c r="M2008" s="131" t="str">
        <f t="shared" si="31"/>
        <v/>
      </c>
      <c r="N2008" s="287">
        <f>IF(C2008="Sale",SUMIFS($D$4:D2008,$B$4:B2008,B2008,$C$4:C2008,"")+SUMIFS($D$4:D2008,$B$4:B2008,B2008,$C$4:C2008,"Purch")-SUMIFS($D$4:D2008,$B$4:B2008,B2008,$C$4:C2008,"Sale"),0)</f>
        <v>0</v>
      </c>
    </row>
    <row r="2009" spans="1:14" x14ac:dyDescent="0.2">
      <c r="A2009" s="152"/>
      <c r="B2009" s="132"/>
      <c r="C2009" s="132"/>
      <c r="D2009" s="277"/>
      <c r="E2009" s="132"/>
      <c r="F2009" s="170"/>
      <c r="G2009" s="150"/>
      <c r="H2009" s="152"/>
      <c r="I2009" s="204"/>
      <c r="J2009" s="285"/>
      <c r="K2009" s="251"/>
      <c r="L2009" s="133" t="str">
        <f>IF(AND(I2009&lt;&gt;"",ISERROR(IF(ISERROR(VLOOKUP(I2009*1,Summary!$C$8:$C$153,1,0)),VLOOKUP(I2009,Summary!$C$8:$C$153,1,0),VLOOKUP(I2009*1,Summary!$C$8:$C$153,1,0)))),"Add account Number to Summary","")</f>
        <v/>
      </c>
      <c r="M2009" s="131" t="str">
        <f t="shared" si="31"/>
        <v/>
      </c>
      <c r="N2009" s="287">
        <f>IF(C2009="Sale",SUMIFS($D$4:D2009,$B$4:B2009,B2009,$C$4:C2009,"")+SUMIFS($D$4:D2009,$B$4:B2009,B2009,$C$4:C2009,"Purch")-SUMIFS($D$4:D2009,$B$4:B2009,B2009,$C$4:C2009,"Sale"),0)</f>
        <v>0</v>
      </c>
    </row>
    <row r="2010" spans="1:14" x14ac:dyDescent="0.2">
      <c r="A2010" s="152"/>
      <c r="B2010" s="132"/>
      <c r="C2010" s="132"/>
      <c r="D2010" s="277"/>
      <c r="E2010" s="132"/>
      <c r="F2010" s="170"/>
      <c r="G2010" s="150"/>
      <c r="H2010" s="152"/>
      <c r="I2010" s="204"/>
      <c r="J2010" s="285"/>
      <c r="K2010" s="251"/>
      <c r="L2010" s="133" t="str">
        <f>IF(AND(I2010&lt;&gt;"",ISERROR(IF(ISERROR(VLOOKUP(I2010*1,Summary!$C$8:$C$153,1,0)),VLOOKUP(I2010,Summary!$C$8:$C$153,1,0),VLOOKUP(I2010*1,Summary!$C$8:$C$153,1,0)))),"Add account Number to Summary","")</f>
        <v/>
      </c>
      <c r="M2010" s="131" t="str">
        <f t="shared" si="31"/>
        <v/>
      </c>
      <c r="N2010" s="287">
        <f>IF(C2010="Sale",SUMIFS($D$4:D2010,$B$4:B2010,B2010,$C$4:C2010,"")+SUMIFS($D$4:D2010,$B$4:B2010,B2010,$C$4:C2010,"Purch")-SUMIFS($D$4:D2010,$B$4:B2010,B2010,$C$4:C2010,"Sale"),0)</f>
        <v>0</v>
      </c>
    </row>
    <row r="2011" spans="1:14" x14ac:dyDescent="0.2">
      <c r="A2011" s="152"/>
      <c r="B2011" s="132"/>
      <c r="C2011" s="132"/>
      <c r="D2011" s="277"/>
      <c r="E2011" s="132"/>
      <c r="F2011" s="170"/>
      <c r="G2011" s="150"/>
      <c r="H2011" s="152"/>
      <c r="I2011" s="204"/>
      <c r="J2011" s="285"/>
      <c r="K2011" s="251"/>
      <c r="L2011" s="133" t="str">
        <f>IF(AND(I2011&lt;&gt;"",ISERROR(IF(ISERROR(VLOOKUP(I2011*1,Summary!$C$8:$C$153,1,0)),VLOOKUP(I2011,Summary!$C$8:$C$153,1,0),VLOOKUP(I2011*1,Summary!$C$8:$C$153,1,0)))),"Add account Number to Summary","")</f>
        <v/>
      </c>
      <c r="M2011" s="131" t="str">
        <f t="shared" si="31"/>
        <v/>
      </c>
      <c r="N2011" s="287">
        <f>IF(C2011="Sale",SUMIFS($D$4:D2011,$B$4:B2011,B2011,$C$4:C2011,"")+SUMIFS($D$4:D2011,$B$4:B2011,B2011,$C$4:C2011,"Purch")-SUMIFS($D$4:D2011,$B$4:B2011,B2011,$C$4:C2011,"Sale"),0)</f>
        <v>0</v>
      </c>
    </row>
    <row r="2012" spans="1:14" x14ac:dyDescent="0.2">
      <c r="A2012" s="152"/>
      <c r="B2012" s="132"/>
      <c r="C2012" s="132"/>
      <c r="D2012" s="277"/>
      <c r="E2012" s="132"/>
      <c r="F2012" s="170"/>
      <c r="G2012" s="150"/>
      <c r="H2012" s="152"/>
      <c r="I2012" s="204"/>
      <c r="J2012" s="285"/>
      <c r="K2012" s="251"/>
      <c r="L2012" s="133" t="str">
        <f>IF(AND(I2012&lt;&gt;"",ISERROR(IF(ISERROR(VLOOKUP(I2012*1,Summary!$C$8:$C$153,1,0)),VLOOKUP(I2012,Summary!$C$8:$C$153,1,0),VLOOKUP(I2012*1,Summary!$C$8:$C$153,1,0)))),"Add account Number to Summary","")</f>
        <v/>
      </c>
      <c r="M2012" s="131" t="str">
        <f t="shared" si="31"/>
        <v/>
      </c>
      <c r="N2012" s="287">
        <f>IF(C2012="Sale",SUMIFS($D$4:D2012,$B$4:B2012,B2012,$C$4:C2012,"")+SUMIFS($D$4:D2012,$B$4:B2012,B2012,$C$4:C2012,"Purch")-SUMIFS($D$4:D2012,$B$4:B2012,B2012,$C$4:C2012,"Sale"),0)</f>
        <v>0</v>
      </c>
    </row>
    <row r="2013" spans="1:14" x14ac:dyDescent="0.2">
      <c r="A2013" s="152"/>
      <c r="B2013" s="132"/>
      <c r="C2013" s="132"/>
      <c r="D2013" s="277"/>
      <c r="E2013" s="132"/>
      <c r="F2013" s="170"/>
      <c r="G2013" s="150"/>
      <c r="H2013" s="152"/>
      <c r="I2013" s="204"/>
      <c r="J2013" s="285"/>
      <c r="K2013" s="251"/>
      <c r="L2013" s="133" t="str">
        <f>IF(AND(I2013&lt;&gt;"",ISERROR(IF(ISERROR(VLOOKUP(I2013*1,Summary!$C$8:$C$153,1,0)),VLOOKUP(I2013,Summary!$C$8:$C$153,1,0),VLOOKUP(I2013*1,Summary!$C$8:$C$153,1,0)))),"Add account Number to Summary","")</f>
        <v/>
      </c>
      <c r="M2013" s="131" t="str">
        <f t="shared" si="31"/>
        <v/>
      </c>
      <c r="N2013" s="287">
        <f>IF(C2013="Sale",SUMIFS($D$4:D2013,$B$4:B2013,B2013,$C$4:C2013,"")+SUMIFS($D$4:D2013,$B$4:B2013,B2013,$C$4:C2013,"Purch")-SUMIFS($D$4:D2013,$B$4:B2013,B2013,$C$4:C2013,"Sale"),0)</f>
        <v>0</v>
      </c>
    </row>
    <row r="2014" spans="1:14" x14ac:dyDescent="0.2">
      <c r="A2014" s="152"/>
      <c r="B2014" s="132"/>
      <c r="C2014" s="132"/>
      <c r="D2014" s="277"/>
      <c r="E2014" s="132"/>
      <c r="F2014" s="170"/>
      <c r="G2014" s="150"/>
      <c r="H2014" s="152"/>
      <c r="I2014" s="204"/>
      <c r="J2014" s="285"/>
      <c r="K2014" s="251"/>
      <c r="L2014" s="133" t="str">
        <f>IF(AND(I2014&lt;&gt;"",ISERROR(IF(ISERROR(VLOOKUP(I2014*1,Summary!$C$8:$C$153,1,0)),VLOOKUP(I2014,Summary!$C$8:$C$153,1,0),VLOOKUP(I2014*1,Summary!$C$8:$C$153,1,0)))),"Add account Number to Summary","")</f>
        <v/>
      </c>
      <c r="M2014" s="131" t="str">
        <f t="shared" si="31"/>
        <v/>
      </c>
      <c r="N2014" s="287">
        <f>IF(C2014="Sale",SUMIFS($D$4:D2014,$B$4:B2014,B2014,$C$4:C2014,"")+SUMIFS($D$4:D2014,$B$4:B2014,B2014,$C$4:C2014,"Purch")-SUMIFS($D$4:D2014,$B$4:B2014,B2014,$C$4:C2014,"Sale"),0)</f>
        <v>0</v>
      </c>
    </row>
    <row r="2015" spans="1:14" x14ac:dyDescent="0.2">
      <c r="A2015" s="152"/>
      <c r="B2015" s="132"/>
      <c r="C2015" s="132"/>
      <c r="D2015" s="277"/>
      <c r="E2015" s="132"/>
      <c r="F2015" s="170"/>
      <c r="G2015" s="150"/>
      <c r="H2015" s="152"/>
      <c r="I2015" s="204"/>
      <c r="J2015" s="285"/>
      <c r="K2015" s="251"/>
      <c r="L2015" s="133" t="str">
        <f>IF(AND(I2015&lt;&gt;"",ISERROR(IF(ISERROR(VLOOKUP(I2015*1,Summary!$C$8:$C$153,1,0)),VLOOKUP(I2015,Summary!$C$8:$C$153,1,0),VLOOKUP(I2015*1,Summary!$C$8:$C$153,1,0)))),"Add account Number to Summary","")</f>
        <v/>
      </c>
      <c r="M2015" s="131" t="str">
        <f t="shared" si="31"/>
        <v/>
      </c>
      <c r="N2015" s="287">
        <f>IF(C2015="Sale",SUMIFS($D$4:D2015,$B$4:B2015,B2015,$C$4:C2015,"")+SUMIFS($D$4:D2015,$B$4:B2015,B2015,$C$4:C2015,"Purch")-SUMIFS($D$4:D2015,$B$4:B2015,B2015,$C$4:C2015,"Sale"),0)</f>
        <v>0</v>
      </c>
    </row>
    <row r="2016" spans="1:14" x14ac:dyDescent="0.2">
      <c r="A2016" s="152"/>
      <c r="B2016" s="132"/>
      <c r="C2016" s="132"/>
      <c r="D2016" s="277"/>
      <c r="E2016" s="132"/>
      <c r="F2016" s="170"/>
      <c r="G2016" s="150"/>
      <c r="H2016" s="152"/>
      <c r="I2016" s="204"/>
      <c r="J2016" s="285"/>
      <c r="K2016" s="251"/>
      <c r="L2016" s="133" t="str">
        <f>IF(AND(I2016&lt;&gt;"",ISERROR(IF(ISERROR(VLOOKUP(I2016*1,Summary!$C$8:$C$153,1,0)),VLOOKUP(I2016,Summary!$C$8:$C$153,1,0),VLOOKUP(I2016*1,Summary!$C$8:$C$153,1,0)))),"Add account Number to Summary","")</f>
        <v/>
      </c>
      <c r="M2016" s="131" t="str">
        <f t="shared" si="31"/>
        <v/>
      </c>
      <c r="N2016" s="287">
        <f>IF(C2016="Sale",SUMIFS($D$4:D2016,$B$4:B2016,B2016,$C$4:C2016,"")+SUMIFS($D$4:D2016,$B$4:B2016,B2016,$C$4:C2016,"Purch")-SUMIFS($D$4:D2016,$B$4:B2016,B2016,$C$4:C2016,"Sale"),0)</f>
        <v>0</v>
      </c>
    </row>
    <row r="2017" spans="1:14" x14ac:dyDescent="0.2">
      <c r="A2017" s="152"/>
      <c r="B2017" s="132"/>
      <c r="C2017" s="132"/>
      <c r="D2017" s="277"/>
      <c r="E2017" s="132"/>
      <c r="F2017" s="170"/>
      <c r="G2017" s="150"/>
      <c r="H2017" s="152"/>
      <c r="I2017" s="204"/>
      <c r="J2017" s="285"/>
      <c r="K2017" s="251"/>
      <c r="L2017" s="133" t="str">
        <f>IF(AND(I2017&lt;&gt;"",ISERROR(IF(ISERROR(VLOOKUP(I2017*1,Summary!$C$8:$C$153,1,0)),VLOOKUP(I2017,Summary!$C$8:$C$153,1,0),VLOOKUP(I2017*1,Summary!$C$8:$C$153,1,0)))),"Add account Number to Summary","")</f>
        <v/>
      </c>
      <c r="M2017" s="131" t="str">
        <f t="shared" si="31"/>
        <v/>
      </c>
      <c r="N2017" s="287">
        <f>IF(C2017="Sale",SUMIFS($D$4:D2017,$B$4:B2017,B2017,$C$4:C2017,"")+SUMIFS($D$4:D2017,$B$4:B2017,B2017,$C$4:C2017,"Purch")-SUMIFS($D$4:D2017,$B$4:B2017,B2017,$C$4:C2017,"Sale"),0)</f>
        <v>0</v>
      </c>
    </row>
    <row r="2018" spans="1:14" x14ac:dyDescent="0.2">
      <c r="A2018" s="152"/>
      <c r="B2018" s="132"/>
      <c r="C2018" s="132"/>
      <c r="D2018" s="277"/>
      <c r="E2018" s="132"/>
      <c r="F2018" s="170"/>
      <c r="G2018" s="150"/>
      <c r="H2018" s="152"/>
      <c r="I2018" s="204"/>
      <c r="J2018" s="285"/>
      <c r="K2018" s="251"/>
      <c r="L2018" s="133" t="str">
        <f>IF(AND(I2018&lt;&gt;"",ISERROR(IF(ISERROR(VLOOKUP(I2018*1,Summary!$C$8:$C$153,1,0)),VLOOKUP(I2018,Summary!$C$8:$C$153,1,0),VLOOKUP(I2018*1,Summary!$C$8:$C$153,1,0)))),"Add account Number to Summary","")</f>
        <v/>
      </c>
      <c r="M2018" s="131" t="str">
        <f t="shared" si="31"/>
        <v/>
      </c>
      <c r="N2018" s="287">
        <f>IF(C2018="Sale",SUMIFS($D$4:D2018,$B$4:B2018,B2018,$C$4:C2018,"")+SUMIFS($D$4:D2018,$B$4:B2018,B2018,$C$4:C2018,"Purch")-SUMIFS($D$4:D2018,$B$4:B2018,B2018,$C$4:C2018,"Sale"),0)</f>
        <v>0</v>
      </c>
    </row>
    <row r="2019" spans="1:14" x14ac:dyDescent="0.2">
      <c r="A2019" s="152"/>
      <c r="B2019" s="132"/>
      <c r="C2019" s="132"/>
      <c r="D2019" s="277"/>
      <c r="E2019" s="132"/>
      <c r="F2019" s="170"/>
      <c r="G2019" s="150"/>
      <c r="H2019" s="152"/>
      <c r="I2019" s="204"/>
      <c r="J2019" s="285"/>
      <c r="K2019" s="251"/>
      <c r="L2019" s="133" t="str">
        <f>IF(AND(I2019&lt;&gt;"",ISERROR(IF(ISERROR(VLOOKUP(I2019*1,Summary!$C$8:$C$153,1,0)),VLOOKUP(I2019,Summary!$C$8:$C$153,1,0),VLOOKUP(I2019*1,Summary!$C$8:$C$153,1,0)))),"Add account Number to Summary","")</f>
        <v/>
      </c>
      <c r="M2019" s="131" t="str">
        <f t="shared" si="31"/>
        <v/>
      </c>
      <c r="N2019" s="287">
        <f>IF(C2019="Sale",SUMIFS($D$4:D2019,$B$4:B2019,B2019,$C$4:C2019,"")+SUMIFS($D$4:D2019,$B$4:B2019,B2019,$C$4:C2019,"Purch")-SUMIFS($D$4:D2019,$B$4:B2019,B2019,$C$4:C2019,"Sale"),0)</f>
        <v>0</v>
      </c>
    </row>
    <row r="2020" spans="1:14" x14ac:dyDescent="0.2">
      <c r="A2020" s="152"/>
      <c r="B2020" s="132"/>
      <c r="C2020" s="132"/>
      <c r="D2020" s="277"/>
      <c r="E2020" s="132"/>
      <c r="F2020" s="170"/>
      <c r="G2020" s="150"/>
      <c r="H2020" s="152"/>
      <c r="I2020" s="204"/>
      <c r="J2020" s="285"/>
      <c r="K2020" s="251"/>
      <c r="L2020" s="133" t="str">
        <f>IF(AND(I2020&lt;&gt;"",ISERROR(IF(ISERROR(VLOOKUP(I2020*1,Summary!$C$8:$C$153,1,0)),VLOOKUP(I2020,Summary!$C$8:$C$153,1,0),VLOOKUP(I2020*1,Summary!$C$8:$C$153,1,0)))),"Add account Number to Summary","")</f>
        <v/>
      </c>
      <c r="M2020" s="131" t="str">
        <f t="shared" si="31"/>
        <v/>
      </c>
      <c r="N2020" s="287">
        <f>IF(C2020="Sale",SUMIFS($D$4:D2020,$B$4:B2020,B2020,$C$4:C2020,"")+SUMIFS($D$4:D2020,$B$4:B2020,B2020,$C$4:C2020,"Purch")-SUMIFS($D$4:D2020,$B$4:B2020,B2020,$C$4:C2020,"Sale"),0)</f>
        <v>0</v>
      </c>
    </row>
    <row r="2021" spans="1:14" x14ac:dyDescent="0.2">
      <c r="A2021" s="152"/>
      <c r="B2021" s="132"/>
      <c r="C2021" s="132"/>
      <c r="D2021" s="277"/>
      <c r="E2021" s="132"/>
      <c r="F2021" s="170"/>
      <c r="G2021" s="150"/>
      <c r="H2021" s="152"/>
      <c r="I2021" s="204"/>
      <c r="J2021" s="285"/>
      <c r="K2021" s="251"/>
      <c r="L2021" s="133" t="str">
        <f>IF(AND(I2021&lt;&gt;"",ISERROR(IF(ISERROR(VLOOKUP(I2021*1,Summary!$C$8:$C$153,1,0)),VLOOKUP(I2021,Summary!$C$8:$C$153,1,0),VLOOKUP(I2021*1,Summary!$C$8:$C$153,1,0)))),"Add account Number to Summary","")</f>
        <v/>
      </c>
      <c r="M2021" s="131" t="str">
        <f t="shared" si="31"/>
        <v/>
      </c>
      <c r="N2021" s="287">
        <f>IF(C2021="Sale",SUMIFS($D$4:D2021,$B$4:B2021,B2021,$C$4:C2021,"")+SUMIFS($D$4:D2021,$B$4:B2021,B2021,$C$4:C2021,"Purch")-SUMIFS($D$4:D2021,$B$4:B2021,B2021,$C$4:C2021,"Sale"),0)</f>
        <v>0</v>
      </c>
    </row>
    <row r="2022" spans="1:14" x14ac:dyDescent="0.2">
      <c r="A2022" s="152"/>
      <c r="B2022" s="132"/>
      <c r="C2022" s="132"/>
      <c r="D2022" s="277"/>
      <c r="E2022" s="132"/>
      <c r="F2022" s="170"/>
      <c r="G2022" s="150"/>
      <c r="H2022" s="152"/>
      <c r="I2022" s="204"/>
      <c r="J2022" s="285"/>
      <c r="K2022" s="251"/>
      <c r="L2022" s="133" t="str">
        <f>IF(AND(I2022&lt;&gt;"",ISERROR(IF(ISERROR(VLOOKUP(I2022*1,Summary!$C$8:$C$153,1,0)),VLOOKUP(I2022,Summary!$C$8:$C$153,1,0),VLOOKUP(I2022*1,Summary!$C$8:$C$153,1,0)))),"Add account Number to Summary","")</f>
        <v/>
      </c>
      <c r="M2022" s="131" t="str">
        <f t="shared" si="31"/>
        <v/>
      </c>
      <c r="N2022" s="287">
        <f>IF(C2022="Sale",SUMIFS($D$4:D2022,$B$4:B2022,B2022,$C$4:C2022,"")+SUMIFS($D$4:D2022,$B$4:B2022,B2022,$C$4:C2022,"Purch")-SUMIFS($D$4:D2022,$B$4:B2022,B2022,$C$4:C2022,"Sale"),0)</f>
        <v>0</v>
      </c>
    </row>
    <row r="2023" spans="1:14" x14ac:dyDescent="0.2">
      <c r="A2023" s="152"/>
      <c r="B2023" s="132"/>
      <c r="C2023" s="132"/>
      <c r="D2023" s="277"/>
      <c r="E2023" s="132"/>
      <c r="F2023" s="170"/>
      <c r="G2023" s="150"/>
      <c r="H2023" s="152"/>
      <c r="I2023" s="204"/>
      <c r="J2023" s="285"/>
      <c r="K2023" s="251"/>
      <c r="L2023" s="133" t="str">
        <f>IF(AND(I2023&lt;&gt;"",ISERROR(IF(ISERROR(VLOOKUP(I2023*1,Summary!$C$8:$C$153,1,0)),VLOOKUP(I2023,Summary!$C$8:$C$153,1,0),VLOOKUP(I2023*1,Summary!$C$8:$C$153,1,0)))),"Add account Number to Summary","")</f>
        <v/>
      </c>
      <c r="M2023" s="131" t="str">
        <f t="shared" si="31"/>
        <v/>
      </c>
      <c r="N2023" s="287">
        <f>IF(C2023="Sale",SUMIFS($D$4:D2023,$B$4:B2023,B2023,$C$4:C2023,"")+SUMIFS($D$4:D2023,$B$4:B2023,B2023,$C$4:C2023,"Purch")-SUMIFS($D$4:D2023,$B$4:B2023,B2023,$C$4:C2023,"Sale"),0)</f>
        <v>0</v>
      </c>
    </row>
    <row r="2024" spans="1:14" x14ac:dyDescent="0.2">
      <c r="A2024" s="152"/>
      <c r="B2024" s="132"/>
      <c r="C2024" s="132"/>
      <c r="D2024" s="277"/>
      <c r="E2024" s="132"/>
      <c r="F2024" s="170"/>
      <c r="G2024" s="150"/>
      <c r="H2024" s="152"/>
      <c r="I2024" s="204"/>
      <c r="J2024" s="285"/>
      <c r="K2024" s="251"/>
      <c r="L2024" s="133" t="str">
        <f>IF(AND(I2024&lt;&gt;"",ISERROR(IF(ISERROR(VLOOKUP(I2024*1,Summary!$C$8:$C$153,1,0)),VLOOKUP(I2024,Summary!$C$8:$C$153,1,0),VLOOKUP(I2024*1,Summary!$C$8:$C$153,1,0)))),"Add account Number to Summary","")</f>
        <v/>
      </c>
      <c r="M2024" s="131" t="str">
        <f t="shared" si="31"/>
        <v/>
      </c>
      <c r="N2024" s="287">
        <f>IF(C2024="Sale",SUMIFS($D$4:D2024,$B$4:B2024,B2024,$C$4:C2024,"")+SUMIFS($D$4:D2024,$B$4:B2024,B2024,$C$4:C2024,"Purch")-SUMIFS($D$4:D2024,$B$4:B2024,B2024,$C$4:C2024,"Sale"),0)</f>
        <v>0</v>
      </c>
    </row>
    <row r="2025" spans="1:14" x14ac:dyDescent="0.2">
      <c r="A2025" s="152"/>
      <c r="B2025" s="132"/>
      <c r="C2025" s="132"/>
      <c r="D2025" s="277"/>
      <c r="E2025" s="132"/>
      <c r="F2025" s="170"/>
      <c r="G2025" s="150"/>
      <c r="H2025" s="152"/>
      <c r="I2025" s="204"/>
      <c r="J2025" s="285"/>
      <c r="K2025" s="251"/>
      <c r="L2025" s="133" t="str">
        <f>IF(AND(I2025&lt;&gt;"",ISERROR(IF(ISERROR(VLOOKUP(I2025*1,Summary!$C$8:$C$153,1,0)),VLOOKUP(I2025,Summary!$C$8:$C$153,1,0),VLOOKUP(I2025*1,Summary!$C$8:$C$153,1,0)))),"Add account Number to Summary","")</f>
        <v/>
      </c>
      <c r="M2025" s="131" t="str">
        <f t="shared" si="31"/>
        <v/>
      </c>
      <c r="N2025" s="287">
        <f>IF(C2025="Sale",SUMIFS($D$4:D2025,$B$4:B2025,B2025,$C$4:C2025,"")+SUMIFS($D$4:D2025,$B$4:B2025,B2025,$C$4:C2025,"Purch")-SUMIFS($D$4:D2025,$B$4:B2025,B2025,$C$4:C2025,"Sale"),0)</f>
        <v>0</v>
      </c>
    </row>
    <row r="2026" spans="1:14" x14ac:dyDescent="0.2">
      <c r="A2026" s="152"/>
      <c r="B2026" s="132"/>
      <c r="C2026" s="132"/>
      <c r="D2026" s="277"/>
      <c r="E2026" s="132"/>
      <c r="F2026" s="170"/>
      <c r="G2026" s="150"/>
      <c r="H2026" s="152"/>
      <c r="I2026" s="204"/>
      <c r="J2026" s="285"/>
      <c r="K2026" s="251"/>
      <c r="L2026" s="133" t="str">
        <f>IF(AND(I2026&lt;&gt;"",ISERROR(IF(ISERROR(VLOOKUP(I2026*1,Summary!$C$8:$C$153,1,0)),VLOOKUP(I2026,Summary!$C$8:$C$153,1,0),VLOOKUP(I2026*1,Summary!$C$8:$C$153,1,0)))),"Add account Number to Summary","")</f>
        <v/>
      </c>
      <c r="M2026" s="131" t="str">
        <f t="shared" si="31"/>
        <v/>
      </c>
      <c r="N2026" s="287">
        <f>IF(C2026="Sale",SUMIFS($D$4:D2026,$B$4:B2026,B2026,$C$4:C2026,"")+SUMIFS($D$4:D2026,$B$4:B2026,B2026,$C$4:C2026,"Purch")-SUMIFS($D$4:D2026,$B$4:B2026,B2026,$C$4:C2026,"Sale"),0)</f>
        <v>0</v>
      </c>
    </row>
    <row r="2027" spans="1:14" x14ac:dyDescent="0.2">
      <c r="A2027" s="152"/>
      <c r="B2027" s="132"/>
      <c r="C2027" s="132"/>
      <c r="D2027" s="277"/>
      <c r="E2027" s="132"/>
      <c r="F2027" s="170"/>
      <c r="G2027" s="150"/>
      <c r="H2027" s="152"/>
      <c r="I2027" s="204"/>
      <c r="J2027" s="285"/>
      <c r="K2027" s="251"/>
      <c r="L2027" s="133" t="str">
        <f>IF(AND(I2027&lt;&gt;"",ISERROR(IF(ISERROR(VLOOKUP(I2027*1,Summary!$C$8:$C$153,1,0)),VLOOKUP(I2027,Summary!$C$8:$C$153,1,0),VLOOKUP(I2027*1,Summary!$C$8:$C$153,1,0)))),"Add account Number to Summary","")</f>
        <v/>
      </c>
      <c r="M2027" s="131" t="str">
        <f t="shared" si="31"/>
        <v/>
      </c>
      <c r="N2027" s="287">
        <f>IF(C2027="Sale",SUMIFS($D$4:D2027,$B$4:B2027,B2027,$C$4:C2027,"")+SUMIFS($D$4:D2027,$B$4:B2027,B2027,$C$4:C2027,"Purch")-SUMIFS($D$4:D2027,$B$4:B2027,B2027,$C$4:C2027,"Sale"),0)</f>
        <v>0</v>
      </c>
    </row>
    <row r="2028" spans="1:14" x14ac:dyDescent="0.2">
      <c r="A2028" s="152"/>
      <c r="B2028" s="132"/>
      <c r="C2028" s="132"/>
      <c r="D2028" s="277"/>
      <c r="E2028" s="132"/>
      <c r="F2028" s="170"/>
      <c r="G2028" s="150"/>
      <c r="H2028" s="152"/>
      <c r="I2028" s="204"/>
      <c r="J2028" s="285"/>
      <c r="K2028" s="251"/>
      <c r="L2028" s="133" t="str">
        <f>IF(AND(I2028&lt;&gt;"",ISERROR(IF(ISERROR(VLOOKUP(I2028*1,Summary!$C$8:$C$153,1,0)),VLOOKUP(I2028,Summary!$C$8:$C$153,1,0),VLOOKUP(I2028*1,Summary!$C$8:$C$153,1,0)))),"Add account Number to Summary","")</f>
        <v/>
      </c>
      <c r="M2028" s="131" t="str">
        <f t="shared" ref="M2028:M2057" si="32">IF(K2028="Yes",IF(YEAR(A2028)&lt;&gt;YEAR(date),"Check Date",""),"")</f>
        <v/>
      </c>
      <c r="N2028" s="287">
        <f>IF(C2028="Sale",SUMIFS($D$4:D2028,$B$4:B2028,B2028,$C$4:C2028,"")+SUMIFS($D$4:D2028,$B$4:B2028,B2028,$C$4:C2028,"Purch")-SUMIFS($D$4:D2028,$B$4:B2028,B2028,$C$4:C2028,"Sale"),0)</f>
        <v>0</v>
      </c>
    </row>
    <row r="2029" spans="1:14" x14ac:dyDescent="0.2">
      <c r="A2029" s="152"/>
      <c r="B2029" s="132"/>
      <c r="C2029" s="132"/>
      <c r="D2029" s="277"/>
      <c r="E2029" s="132"/>
      <c r="F2029" s="170"/>
      <c r="G2029" s="150"/>
      <c r="H2029" s="152"/>
      <c r="I2029" s="204"/>
      <c r="J2029" s="285"/>
      <c r="K2029" s="251"/>
      <c r="L2029" s="133" t="str">
        <f>IF(AND(I2029&lt;&gt;"",ISERROR(IF(ISERROR(VLOOKUP(I2029*1,Summary!$C$8:$C$153,1,0)),VLOOKUP(I2029,Summary!$C$8:$C$153,1,0),VLOOKUP(I2029*1,Summary!$C$8:$C$153,1,0)))),"Add account Number to Summary","")</f>
        <v/>
      </c>
      <c r="M2029" s="131" t="str">
        <f t="shared" si="32"/>
        <v/>
      </c>
      <c r="N2029" s="287">
        <f>IF(C2029="Sale",SUMIFS($D$4:D2029,$B$4:B2029,B2029,$C$4:C2029,"")+SUMIFS($D$4:D2029,$B$4:B2029,B2029,$C$4:C2029,"Purch")-SUMIFS($D$4:D2029,$B$4:B2029,B2029,$C$4:C2029,"Sale"),0)</f>
        <v>0</v>
      </c>
    </row>
    <row r="2030" spans="1:14" x14ac:dyDescent="0.2">
      <c r="A2030" s="152"/>
      <c r="B2030" s="132"/>
      <c r="C2030" s="132"/>
      <c r="D2030" s="277"/>
      <c r="E2030" s="132"/>
      <c r="F2030" s="170"/>
      <c r="G2030" s="150"/>
      <c r="H2030" s="152"/>
      <c r="I2030" s="204"/>
      <c r="J2030" s="285"/>
      <c r="K2030" s="251"/>
      <c r="L2030" s="133" t="str">
        <f>IF(AND(I2030&lt;&gt;"",ISERROR(IF(ISERROR(VLOOKUP(I2030*1,Summary!$C$8:$C$153,1,0)),VLOOKUP(I2030,Summary!$C$8:$C$153,1,0),VLOOKUP(I2030*1,Summary!$C$8:$C$153,1,0)))),"Add account Number to Summary","")</f>
        <v/>
      </c>
      <c r="M2030" s="131" t="str">
        <f t="shared" si="32"/>
        <v/>
      </c>
      <c r="N2030" s="287">
        <f>IF(C2030="Sale",SUMIFS($D$4:D2030,$B$4:B2030,B2030,$C$4:C2030,"")+SUMIFS($D$4:D2030,$B$4:B2030,B2030,$C$4:C2030,"Purch")-SUMIFS($D$4:D2030,$B$4:B2030,B2030,$C$4:C2030,"Sale"),0)</f>
        <v>0</v>
      </c>
    </row>
    <row r="2031" spans="1:14" x14ac:dyDescent="0.2">
      <c r="A2031" s="152"/>
      <c r="B2031" s="132"/>
      <c r="C2031" s="132"/>
      <c r="D2031" s="277"/>
      <c r="E2031" s="132"/>
      <c r="F2031" s="170"/>
      <c r="G2031" s="150"/>
      <c r="H2031" s="152"/>
      <c r="I2031" s="204"/>
      <c r="J2031" s="285"/>
      <c r="K2031" s="251"/>
      <c r="L2031" s="133" t="str">
        <f>IF(AND(I2031&lt;&gt;"",ISERROR(IF(ISERROR(VLOOKUP(I2031*1,Summary!$C$8:$C$153,1,0)),VLOOKUP(I2031,Summary!$C$8:$C$153,1,0),VLOOKUP(I2031*1,Summary!$C$8:$C$153,1,0)))),"Add account Number to Summary","")</f>
        <v/>
      </c>
      <c r="M2031" s="131" t="str">
        <f t="shared" si="32"/>
        <v/>
      </c>
      <c r="N2031" s="287">
        <f>IF(C2031="Sale",SUMIFS($D$4:D2031,$B$4:B2031,B2031,$C$4:C2031,"")+SUMIFS($D$4:D2031,$B$4:B2031,B2031,$C$4:C2031,"Purch")-SUMIFS($D$4:D2031,$B$4:B2031,B2031,$C$4:C2031,"Sale"),0)</f>
        <v>0</v>
      </c>
    </row>
    <row r="2032" spans="1:14" x14ac:dyDescent="0.2">
      <c r="A2032" s="152"/>
      <c r="B2032" s="132"/>
      <c r="C2032" s="132"/>
      <c r="D2032" s="277"/>
      <c r="E2032" s="132"/>
      <c r="F2032" s="170"/>
      <c r="G2032" s="150"/>
      <c r="H2032" s="152"/>
      <c r="I2032" s="204"/>
      <c r="J2032" s="285"/>
      <c r="K2032" s="251"/>
      <c r="L2032" s="133" t="str">
        <f>IF(AND(I2032&lt;&gt;"",ISERROR(IF(ISERROR(VLOOKUP(I2032*1,Summary!$C$8:$C$153,1,0)),VLOOKUP(I2032,Summary!$C$8:$C$153,1,0),VLOOKUP(I2032*1,Summary!$C$8:$C$153,1,0)))),"Add account Number to Summary","")</f>
        <v/>
      </c>
      <c r="M2032" s="131" t="str">
        <f t="shared" si="32"/>
        <v/>
      </c>
      <c r="N2032" s="287">
        <f>IF(C2032="Sale",SUMIFS($D$4:D2032,$B$4:B2032,B2032,$C$4:C2032,"")+SUMIFS($D$4:D2032,$B$4:B2032,B2032,$C$4:C2032,"Purch")-SUMIFS($D$4:D2032,$B$4:B2032,B2032,$C$4:C2032,"Sale"),0)</f>
        <v>0</v>
      </c>
    </row>
    <row r="2033" spans="1:14" x14ac:dyDescent="0.2">
      <c r="A2033" s="152"/>
      <c r="B2033" s="132"/>
      <c r="C2033" s="132"/>
      <c r="D2033" s="277"/>
      <c r="E2033" s="132"/>
      <c r="F2033" s="170"/>
      <c r="G2033" s="150"/>
      <c r="H2033" s="152"/>
      <c r="I2033" s="204"/>
      <c r="J2033" s="285"/>
      <c r="K2033" s="251"/>
      <c r="L2033" s="133" t="str">
        <f>IF(AND(I2033&lt;&gt;"",ISERROR(IF(ISERROR(VLOOKUP(I2033*1,Summary!$C$8:$C$153,1,0)),VLOOKUP(I2033,Summary!$C$8:$C$153,1,0),VLOOKUP(I2033*1,Summary!$C$8:$C$153,1,0)))),"Add account Number to Summary","")</f>
        <v/>
      </c>
      <c r="M2033" s="131" t="str">
        <f t="shared" si="32"/>
        <v/>
      </c>
      <c r="N2033" s="287">
        <f>IF(C2033="Sale",SUMIFS($D$4:D2033,$B$4:B2033,B2033,$C$4:C2033,"")+SUMIFS($D$4:D2033,$B$4:B2033,B2033,$C$4:C2033,"Purch")-SUMIFS($D$4:D2033,$B$4:B2033,B2033,$C$4:C2033,"Sale"),0)</f>
        <v>0</v>
      </c>
    </row>
    <row r="2034" spans="1:14" x14ac:dyDescent="0.2">
      <c r="A2034" s="152"/>
      <c r="B2034" s="132"/>
      <c r="C2034" s="132"/>
      <c r="D2034" s="277"/>
      <c r="E2034" s="132"/>
      <c r="F2034" s="170"/>
      <c r="G2034" s="150"/>
      <c r="H2034" s="152"/>
      <c r="I2034" s="204"/>
      <c r="J2034" s="285"/>
      <c r="K2034" s="251"/>
      <c r="L2034" s="133" t="str">
        <f>IF(AND(I2034&lt;&gt;"",ISERROR(IF(ISERROR(VLOOKUP(I2034*1,Summary!$C$8:$C$153,1,0)),VLOOKUP(I2034,Summary!$C$8:$C$153,1,0),VLOOKUP(I2034*1,Summary!$C$8:$C$153,1,0)))),"Add account Number to Summary","")</f>
        <v/>
      </c>
      <c r="M2034" s="131" t="str">
        <f t="shared" si="32"/>
        <v/>
      </c>
      <c r="N2034" s="287">
        <f>IF(C2034="Sale",SUMIFS($D$4:D2034,$B$4:B2034,B2034,$C$4:C2034,"")+SUMIFS($D$4:D2034,$B$4:B2034,B2034,$C$4:C2034,"Purch")-SUMIFS($D$4:D2034,$B$4:B2034,B2034,$C$4:C2034,"Sale"),0)</f>
        <v>0</v>
      </c>
    </row>
    <row r="2035" spans="1:14" x14ac:dyDescent="0.2">
      <c r="A2035" s="152"/>
      <c r="B2035" s="132"/>
      <c r="C2035" s="132"/>
      <c r="D2035" s="277"/>
      <c r="E2035" s="132"/>
      <c r="F2035" s="170"/>
      <c r="G2035" s="150"/>
      <c r="H2035" s="152"/>
      <c r="I2035" s="204"/>
      <c r="J2035" s="285"/>
      <c r="K2035" s="251"/>
      <c r="L2035" s="133" t="str">
        <f>IF(AND(I2035&lt;&gt;"",ISERROR(IF(ISERROR(VLOOKUP(I2035*1,Summary!$C$8:$C$153,1,0)),VLOOKUP(I2035,Summary!$C$8:$C$153,1,0),VLOOKUP(I2035*1,Summary!$C$8:$C$153,1,0)))),"Add account Number to Summary","")</f>
        <v/>
      </c>
      <c r="M2035" s="131" t="str">
        <f t="shared" si="32"/>
        <v/>
      </c>
      <c r="N2035" s="287">
        <f>IF(C2035="Sale",SUMIFS($D$4:D2035,$B$4:B2035,B2035,$C$4:C2035,"")+SUMIFS($D$4:D2035,$B$4:B2035,B2035,$C$4:C2035,"Purch")-SUMIFS($D$4:D2035,$B$4:B2035,B2035,$C$4:C2035,"Sale"),0)</f>
        <v>0</v>
      </c>
    </row>
    <row r="2036" spans="1:14" x14ac:dyDescent="0.2">
      <c r="A2036" s="152"/>
      <c r="B2036" s="132"/>
      <c r="C2036" s="132"/>
      <c r="D2036" s="277"/>
      <c r="E2036" s="132"/>
      <c r="F2036" s="170"/>
      <c r="G2036" s="150"/>
      <c r="H2036" s="152"/>
      <c r="I2036" s="204"/>
      <c r="J2036" s="285"/>
      <c r="K2036" s="251"/>
      <c r="L2036" s="133" t="str">
        <f>IF(AND(I2036&lt;&gt;"",ISERROR(IF(ISERROR(VLOOKUP(I2036*1,Summary!$C$8:$C$153,1,0)),VLOOKUP(I2036,Summary!$C$8:$C$153,1,0),VLOOKUP(I2036*1,Summary!$C$8:$C$153,1,0)))),"Add account Number to Summary","")</f>
        <v/>
      </c>
      <c r="M2036" s="131" t="str">
        <f t="shared" si="32"/>
        <v/>
      </c>
      <c r="N2036" s="287">
        <f>IF(C2036="Sale",SUMIFS($D$4:D2036,$B$4:B2036,B2036,$C$4:C2036,"")+SUMIFS($D$4:D2036,$B$4:B2036,B2036,$C$4:C2036,"Purch")-SUMIFS($D$4:D2036,$B$4:B2036,B2036,$C$4:C2036,"Sale"),0)</f>
        <v>0</v>
      </c>
    </row>
    <row r="2037" spans="1:14" x14ac:dyDescent="0.2">
      <c r="A2037" s="152"/>
      <c r="B2037" s="132"/>
      <c r="C2037" s="132"/>
      <c r="D2037" s="277"/>
      <c r="E2037" s="132"/>
      <c r="F2037" s="170"/>
      <c r="G2037" s="150"/>
      <c r="H2037" s="152"/>
      <c r="I2037" s="204"/>
      <c r="J2037" s="285"/>
      <c r="K2037" s="251"/>
      <c r="L2037" s="133" t="str">
        <f>IF(AND(I2037&lt;&gt;"",ISERROR(IF(ISERROR(VLOOKUP(I2037*1,Summary!$C$8:$C$153,1,0)),VLOOKUP(I2037,Summary!$C$8:$C$153,1,0),VLOOKUP(I2037*1,Summary!$C$8:$C$153,1,0)))),"Add account Number to Summary","")</f>
        <v/>
      </c>
      <c r="M2037" s="131" t="str">
        <f t="shared" si="32"/>
        <v/>
      </c>
      <c r="N2037" s="287">
        <f>IF(C2037="Sale",SUMIFS($D$4:D2037,$B$4:B2037,B2037,$C$4:C2037,"")+SUMIFS($D$4:D2037,$B$4:B2037,B2037,$C$4:C2037,"Purch")-SUMIFS($D$4:D2037,$B$4:B2037,B2037,$C$4:C2037,"Sale"),0)</f>
        <v>0</v>
      </c>
    </row>
    <row r="2038" spans="1:14" x14ac:dyDescent="0.2">
      <c r="A2038" s="152"/>
      <c r="B2038" s="132"/>
      <c r="C2038" s="132"/>
      <c r="D2038" s="277"/>
      <c r="E2038" s="132"/>
      <c r="F2038" s="170"/>
      <c r="G2038" s="150"/>
      <c r="H2038" s="152"/>
      <c r="I2038" s="204"/>
      <c r="J2038" s="285"/>
      <c r="K2038" s="251"/>
      <c r="L2038" s="133" t="str">
        <f>IF(AND(I2038&lt;&gt;"",ISERROR(IF(ISERROR(VLOOKUP(I2038*1,Summary!$C$8:$C$153,1,0)),VLOOKUP(I2038,Summary!$C$8:$C$153,1,0),VLOOKUP(I2038*1,Summary!$C$8:$C$153,1,0)))),"Add account Number to Summary","")</f>
        <v/>
      </c>
      <c r="M2038" s="131" t="str">
        <f t="shared" si="32"/>
        <v/>
      </c>
      <c r="N2038" s="287">
        <f>IF(C2038="Sale",SUMIFS($D$4:D2038,$B$4:B2038,B2038,$C$4:C2038,"")+SUMIFS($D$4:D2038,$B$4:B2038,B2038,$C$4:C2038,"Purch")-SUMIFS($D$4:D2038,$B$4:B2038,B2038,$C$4:C2038,"Sale"),0)</f>
        <v>0</v>
      </c>
    </row>
    <row r="2039" spans="1:14" x14ac:dyDescent="0.2">
      <c r="A2039" s="152"/>
      <c r="B2039" s="132"/>
      <c r="C2039" s="132"/>
      <c r="D2039" s="277"/>
      <c r="E2039" s="132"/>
      <c r="F2039" s="170"/>
      <c r="G2039" s="150"/>
      <c r="H2039" s="152"/>
      <c r="I2039" s="204"/>
      <c r="J2039" s="285"/>
      <c r="K2039" s="251"/>
      <c r="L2039" s="133" t="str">
        <f>IF(AND(I2039&lt;&gt;"",ISERROR(IF(ISERROR(VLOOKUP(I2039*1,Summary!$C$8:$C$153,1,0)),VLOOKUP(I2039,Summary!$C$8:$C$153,1,0),VLOOKUP(I2039*1,Summary!$C$8:$C$153,1,0)))),"Add account Number to Summary","")</f>
        <v/>
      </c>
      <c r="M2039" s="131" t="str">
        <f t="shared" si="32"/>
        <v/>
      </c>
      <c r="N2039" s="287">
        <f>IF(C2039="Sale",SUMIFS($D$4:D2039,$B$4:B2039,B2039,$C$4:C2039,"")+SUMIFS($D$4:D2039,$B$4:B2039,B2039,$C$4:C2039,"Purch")-SUMIFS($D$4:D2039,$B$4:B2039,B2039,$C$4:C2039,"Sale"),0)</f>
        <v>0</v>
      </c>
    </row>
    <row r="2040" spans="1:14" x14ac:dyDescent="0.2">
      <c r="A2040" s="152"/>
      <c r="B2040" s="132"/>
      <c r="C2040" s="132"/>
      <c r="D2040" s="277"/>
      <c r="E2040" s="132"/>
      <c r="F2040" s="170"/>
      <c r="G2040" s="150"/>
      <c r="H2040" s="152"/>
      <c r="I2040" s="204"/>
      <c r="J2040" s="285"/>
      <c r="K2040" s="251"/>
      <c r="L2040" s="133" t="str">
        <f>IF(AND(I2040&lt;&gt;"",ISERROR(IF(ISERROR(VLOOKUP(I2040*1,Summary!$C$8:$C$153,1,0)),VLOOKUP(I2040,Summary!$C$8:$C$153,1,0),VLOOKUP(I2040*1,Summary!$C$8:$C$153,1,0)))),"Add account Number to Summary","")</f>
        <v/>
      </c>
      <c r="M2040" s="131" t="str">
        <f t="shared" si="32"/>
        <v/>
      </c>
      <c r="N2040" s="287">
        <f>IF(C2040="Sale",SUMIFS($D$4:D2040,$B$4:B2040,B2040,$C$4:C2040,"")+SUMIFS($D$4:D2040,$B$4:B2040,B2040,$C$4:C2040,"Purch")-SUMIFS($D$4:D2040,$B$4:B2040,B2040,$C$4:C2040,"Sale"),0)</f>
        <v>0</v>
      </c>
    </row>
    <row r="2041" spans="1:14" x14ac:dyDescent="0.2">
      <c r="A2041" s="152"/>
      <c r="B2041" s="132"/>
      <c r="C2041" s="132"/>
      <c r="D2041" s="277"/>
      <c r="E2041" s="132"/>
      <c r="F2041" s="170"/>
      <c r="G2041" s="150"/>
      <c r="H2041" s="152"/>
      <c r="I2041" s="204"/>
      <c r="J2041" s="285"/>
      <c r="K2041" s="251"/>
      <c r="L2041" s="133" t="str">
        <f>IF(AND(I2041&lt;&gt;"",ISERROR(IF(ISERROR(VLOOKUP(I2041*1,Summary!$C$8:$C$153,1,0)),VLOOKUP(I2041,Summary!$C$8:$C$153,1,0),VLOOKUP(I2041*1,Summary!$C$8:$C$153,1,0)))),"Add account Number to Summary","")</f>
        <v/>
      </c>
      <c r="M2041" s="131" t="str">
        <f t="shared" si="32"/>
        <v/>
      </c>
      <c r="N2041" s="287">
        <f>IF(C2041="Sale",SUMIFS($D$4:D2041,$B$4:B2041,B2041,$C$4:C2041,"")+SUMIFS($D$4:D2041,$B$4:B2041,B2041,$C$4:C2041,"Purch")-SUMIFS($D$4:D2041,$B$4:B2041,B2041,$C$4:C2041,"Sale"),0)</f>
        <v>0</v>
      </c>
    </row>
    <row r="2042" spans="1:14" x14ac:dyDescent="0.2">
      <c r="A2042" s="152"/>
      <c r="B2042" s="132"/>
      <c r="C2042" s="132"/>
      <c r="D2042" s="277"/>
      <c r="E2042" s="132"/>
      <c r="F2042" s="170"/>
      <c r="G2042" s="150"/>
      <c r="H2042" s="152"/>
      <c r="I2042" s="204"/>
      <c r="J2042" s="285"/>
      <c r="K2042" s="251"/>
      <c r="L2042" s="133" t="str">
        <f>IF(AND(I2042&lt;&gt;"",ISERROR(IF(ISERROR(VLOOKUP(I2042*1,Summary!$C$8:$C$153,1,0)),VLOOKUP(I2042,Summary!$C$8:$C$153,1,0),VLOOKUP(I2042*1,Summary!$C$8:$C$153,1,0)))),"Add account Number to Summary","")</f>
        <v/>
      </c>
      <c r="M2042" s="131" t="str">
        <f t="shared" si="32"/>
        <v/>
      </c>
      <c r="N2042" s="287">
        <f>IF(C2042="Sale",SUMIFS($D$4:D2042,$B$4:B2042,B2042,$C$4:C2042,"")+SUMIFS($D$4:D2042,$B$4:B2042,B2042,$C$4:C2042,"Purch")-SUMIFS($D$4:D2042,$B$4:B2042,B2042,$C$4:C2042,"Sale"),0)</f>
        <v>0</v>
      </c>
    </row>
    <row r="2043" spans="1:14" x14ac:dyDescent="0.2">
      <c r="A2043" s="152"/>
      <c r="B2043" s="132"/>
      <c r="C2043" s="132"/>
      <c r="D2043" s="277"/>
      <c r="E2043" s="132"/>
      <c r="F2043" s="170"/>
      <c r="G2043" s="150"/>
      <c r="H2043" s="152"/>
      <c r="I2043" s="204"/>
      <c r="J2043" s="285"/>
      <c r="K2043" s="251"/>
      <c r="L2043" s="133" t="str">
        <f>IF(AND(I2043&lt;&gt;"",ISERROR(IF(ISERROR(VLOOKUP(I2043*1,Summary!$C$8:$C$153,1,0)),VLOOKUP(I2043,Summary!$C$8:$C$153,1,0),VLOOKUP(I2043*1,Summary!$C$8:$C$153,1,0)))),"Add account Number to Summary","")</f>
        <v/>
      </c>
      <c r="M2043" s="131" t="str">
        <f t="shared" si="32"/>
        <v/>
      </c>
      <c r="N2043" s="287">
        <f>IF(C2043="Sale",SUMIFS($D$4:D2043,$B$4:B2043,B2043,$C$4:C2043,"")+SUMIFS($D$4:D2043,$B$4:B2043,B2043,$C$4:C2043,"Purch")-SUMIFS($D$4:D2043,$B$4:B2043,B2043,$C$4:C2043,"Sale"),0)</f>
        <v>0</v>
      </c>
    </row>
    <row r="2044" spans="1:14" x14ac:dyDescent="0.2">
      <c r="A2044" s="152"/>
      <c r="B2044" s="132"/>
      <c r="C2044" s="132"/>
      <c r="D2044" s="277"/>
      <c r="E2044" s="132"/>
      <c r="F2044" s="170"/>
      <c r="G2044" s="150"/>
      <c r="H2044" s="152"/>
      <c r="I2044" s="204"/>
      <c r="J2044" s="285"/>
      <c r="K2044" s="251"/>
      <c r="L2044" s="133" t="str">
        <f>IF(AND(I2044&lt;&gt;"",ISERROR(IF(ISERROR(VLOOKUP(I2044*1,Summary!$C$8:$C$153,1,0)),VLOOKUP(I2044,Summary!$C$8:$C$153,1,0),VLOOKUP(I2044*1,Summary!$C$8:$C$153,1,0)))),"Add account Number to Summary","")</f>
        <v/>
      </c>
      <c r="M2044" s="131" t="str">
        <f t="shared" si="32"/>
        <v/>
      </c>
      <c r="N2044" s="287">
        <f>IF(C2044="Sale",SUMIFS($D$4:D2044,$B$4:B2044,B2044,$C$4:C2044,"")+SUMIFS($D$4:D2044,$B$4:B2044,B2044,$C$4:C2044,"Purch")-SUMIFS($D$4:D2044,$B$4:B2044,B2044,$C$4:C2044,"Sale"),0)</f>
        <v>0</v>
      </c>
    </row>
    <row r="2045" spans="1:14" x14ac:dyDescent="0.2">
      <c r="A2045" s="152"/>
      <c r="B2045" s="132"/>
      <c r="C2045" s="132"/>
      <c r="D2045" s="277"/>
      <c r="E2045" s="132"/>
      <c r="F2045" s="170"/>
      <c r="G2045" s="150"/>
      <c r="H2045" s="152"/>
      <c r="I2045" s="204"/>
      <c r="J2045" s="285"/>
      <c r="K2045" s="251"/>
      <c r="L2045" s="133" t="str">
        <f>IF(AND(I2045&lt;&gt;"",ISERROR(IF(ISERROR(VLOOKUP(I2045*1,Summary!$C$8:$C$153,1,0)),VLOOKUP(I2045,Summary!$C$8:$C$153,1,0),VLOOKUP(I2045*1,Summary!$C$8:$C$153,1,0)))),"Add account Number to Summary","")</f>
        <v/>
      </c>
      <c r="M2045" s="131" t="str">
        <f t="shared" si="32"/>
        <v/>
      </c>
      <c r="N2045" s="287">
        <f>IF(C2045="Sale",SUMIFS($D$4:D2045,$B$4:B2045,B2045,$C$4:C2045,"")+SUMIFS($D$4:D2045,$B$4:B2045,B2045,$C$4:C2045,"Purch")-SUMIFS($D$4:D2045,$B$4:B2045,B2045,$C$4:C2045,"Sale"),0)</f>
        <v>0</v>
      </c>
    </row>
    <row r="2046" spans="1:14" x14ac:dyDescent="0.2">
      <c r="A2046" s="152"/>
      <c r="B2046" s="132"/>
      <c r="C2046" s="132"/>
      <c r="D2046" s="277"/>
      <c r="E2046" s="132"/>
      <c r="F2046" s="170"/>
      <c r="G2046" s="150"/>
      <c r="H2046" s="152"/>
      <c r="I2046" s="204"/>
      <c r="J2046" s="285"/>
      <c r="K2046" s="251"/>
      <c r="L2046" s="133" t="str">
        <f>IF(AND(I2046&lt;&gt;"",ISERROR(IF(ISERROR(VLOOKUP(I2046*1,Summary!$C$8:$C$153,1,0)),VLOOKUP(I2046,Summary!$C$8:$C$153,1,0),VLOOKUP(I2046*1,Summary!$C$8:$C$153,1,0)))),"Add account Number to Summary","")</f>
        <v/>
      </c>
      <c r="M2046" s="131" t="str">
        <f t="shared" si="32"/>
        <v/>
      </c>
      <c r="N2046" s="287">
        <f>IF(C2046="Sale",SUMIFS($D$4:D2046,$B$4:B2046,B2046,$C$4:C2046,"")+SUMIFS($D$4:D2046,$B$4:B2046,B2046,$C$4:C2046,"Purch")-SUMIFS($D$4:D2046,$B$4:B2046,B2046,$C$4:C2046,"Sale"),0)</f>
        <v>0</v>
      </c>
    </row>
    <row r="2047" spans="1:14" x14ac:dyDescent="0.2">
      <c r="A2047" s="152"/>
      <c r="B2047" s="132"/>
      <c r="C2047" s="132"/>
      <c r="D2047" s="277"/>
      <c r="E2047" s="132"/>
      <c r="F2047" s="170"/>
      <c r="G2047" s="150"/>
      <c r="H2047" s="152"/>
      <c r="I2047" s="204"/>
      <c r="J2047" s="285"/>
      <c r="K2047" s="251"/>
      <c r="L2047" s="133" t="str">
        <f>IF(AND(I2047&lt;&gt;"",ISERROR(IF(ISERROR(VLOOKUP(I2047*1,Summary!$C$8:$C$153,1,0)),VLOOKUP(I2047,Summary!$C$8:$C$153,1,0),VLOOKUP(I2047*1,Summary!$C$8:$C$153,1,0)))),"Add account Number to Summary","")</f>
        <v/>
      </c>
      <c r="M2047" s="131" t="str">
        <f t="shared" si="32"/>
        <v/>
      </c>
      <c r="N2047" s="287">
        <f>IF(C2047="Sale",SUMIFS($D$4:D2047,$B$4:B2047,B2047,$C$4:C2047,"")+SUMIFS($D$4:D2047,$B$4:B2047,B2047,$C$4:C2047,"Purch")-SUMIFS($D$4:D2047,$B$4:B2047,B2047,$C$4:C2047,"Sale"),0)</f>
        <v>0</v>
      </c>
    </row>
    <row r="2048" spans="1:14" x14ac:dyDescent="0.2">
      <c r="A2048" s="152"/>
      <c r="B2048" s="132"/>
      <c r="C2048" s="132"/>
      <c r="D2048" s="277"/>
      <c r="E2048" s="132"/>
      <c r="F2048" s="170"/>
      <c r="G2048" s="150"/>
      <c r="H2048" s="152"/>
      <c r="I2048" s="204"/>
      <c r="J2048" s="285"/>
      <c r="K2048" s="251"/>
      <c r="L2048" s="133" t="str">
        <f>IF(AND(I2048&lt;&gt;"",ISERROR(IF(ISERROR(VLOOKUP(I2048*1,Summary!$C$8:$C$153,1,0)),VLOOKUP(I2048,Summary!$C$8:$C$153,1,0),VLOOKUP(I2048*1,Summary!$C$8:$C$153,1,0)))),"Add account Number to Summary","")</f>
        <v/>
      </c>
      <c r="M2048" s="131" t="str">
        <f t="shared" si="32"/>
        <v/>
      </c>
      <c r="N2048" s="287">
        <f>IF(C2048="Sale",SUMIFS($D$4:D2048,$B$4:B2048,B2048,$C$4:C2048,"")+SUMIFS($D$4:D2048,$B$4:B2048,B2048,$C$4:C2048,"Purch")-SUMIFS($D$4:D2048,$B$4:B2048,B2048,$C$4:C2048,"Sale"),0)</f>
        <v>0</v>
      </c>
    </row>
    <row r="2049" spans="1:14" x14ac:dyDescent="0.2">
      <c r="A2049" s="152"/>
      <c r="B2049" s="132"/>
      <c r="C2049" s="132"/>
      <c r="D2049" s="277"/>
      <c r="E2049" s="132"/>
      <c r="F2049" s="170"/>
      <c r="G2049" s="150"/>
      <c r="H2049" s="152"/>
      <c r="I2049" s="204"/>
      <c r="J2049" s="285"/>
      <c r="K2049" s="251"/>
      <c r="L2049" s="133" t="str">
        <f>IF(AND(I2049&lt;&gt;"",ISERROR(IF(ISERROR(VLOOKUP(I2049*1,Summary!$C$8:$C$153,1,0)),VLOOKUP(I2049,Summary!$C$8:$C$153,1,0),VLOOKUP(I2049*1,Summary!$C$8:$C$153,1,0)))),"Add account Number to Summary","")</f>
        <v/>
      </c>
      <c r="M2049" s="131" t="str">
        <f t="shared" si="32"/>
        <v/>
      </c>
      <c r="N2049" s="287">
        <f>IF(C2049="Sale",SUMIFS($D$4:D2049,$B$4:B2049,B2049,$C$4:C2049,"")+SUMIFS($D$4:D2049,$B$4:B2049,B2049,$C$4:C2049,"Purch")-SUMIFS($D$4:D2049,$B$4:B2049,B2049,$C$4:C2049,"Sale"),0)</f>
        <v>0</v>
      </c>
    </row>
    <row r="2050" spans="1:14" x14ac:dyDescent="0.2">
      <c r="A2050" s="152"/>
      <c r="B2050" s="132"/>
      <c r="C2050" s="132"/>
      <c r="D2050" s="277"/>
      <c r="E2050" s="132"/>
      <c r="F2050" s="170"/>
      <c r="G2050" s="150"/>
      <c r="H2050" s="152"/>
      <c r="I2050" s="204"/>
      <c r="J2050" s="285"/>
      <c r="K2050" s="251"/>
      <c r="L2050" s="133" t="str">
        <f>IF(AND(I2050&lt;&gt;"",ISERROR(IF(ISERROR(VLOOKUP(I2050*1,Summary!$C$8:$C$153,1,0)),VLOOKUP(I2050,Summary!$C$8:$C$153,1,0),VLOOKUP(I2050*1,Summary!$C$8:$C$153,1,0)))),"Add account Number to Summary","")</f>
        <v/>
      </c>
      <c r="M2050" s="131" t="str">
        <f t="shared" si="32"/>
        <v/>
      </c>
      <c r="N2050" s="287">
        <f>IF(C2050="Sale",SUMIFS($D$4:D2050,$B$4:B2050,B2050,$C$4:C2050,"")+SUMIFS($D$4:D2050,$B$4:B2050,B2050,$C$4:C2050,"Purch")-SUMIFS($D$4:D2050,$B$4:B2050,B2050,$C$4:C2050,"Sale"),0)</f>
        <v>0</v>
      </c>
    </row>
    <row r="2051" spans="1:14" x14ac:dyDescent="0.2">
      <c r="A2051" s="152"/>
      <c r="B2051" s="132"/>
      <c r="C2051" s="132"/>
      <c r="D2051" s="277"/>
      <c r="E2051" s="132"/>
      <c r="F2051" s="170"/>
      <c r="G2051" s="150"/>
      <c r="H2051" s="152"/>
      <c r="I2051" s="204"/>
      <c r="J2051" s="285"/>
      <c r="K2051" s="251"/>
      <c r="L2051" s="133" t="str">
        <f>IF(AND(I2051&lt;&gt;"",ISERROR(IF(ISERROR(VLOOKUP(I2051*1,Summary!$C$8:$C$153,1,0)),VLOOKUP(I2051,Summary!$C$8:$C$153,1,0),VLOOKUP(I2051*1,Summary!$C$8:$C$153,1,0)))),"Add account Number to Summary","")</f>
        <v/>
      </c>
      <c r="M2051" s="131" t="str">
        <f t="shared" si="32"/>
        <v/>
      </c>
      <c r="N2051" s="287">
        <f>IF(C2051="Sale",SUMIFS($D$4:D2051,$B$4:B2051,B2051,$C$4:C2051,"")+SUMIFS($D$4:D2051,$B$4:B2051,B2051,$C$4:C2051,"Purch")-SUMIFS($D$4:D2051,$B$4:B2051,B2051,$C$4:C2051,"Sale"),0)</f>
        <v>0</v>
      </c>
    </row>
    <row r="2052" spans="1:14" x14ac:dyDescent="0.2">
      <c r="A2052" s="152"/>
      <c r="B2052" s="132"/>
      <c r="C2052" s="132"/>
      <c r="D2052" s="277"/>
      <c r="E2052" s="132"/>
      <c r="F2052" s="170"/>
      <c r="G2052" s="150"/>
      <c r="H2052" s="152"/>
      <c r="I2052" s="204"/>
      <c r="J2052" s="285"/>
      <c r="K2052" s="251"/>
      <c r="L2052" s="133" t="str">
        <f>IF(AND(I2052&lt;&gt;"",ISERROR(IF(ISERROR(VLOOKUP(I2052*1,Summary!$C$8:$C$153,1,0)),VLOOKUP(I2052,Summary!$C$8:$C$153,1,0),VLOOKUP(I2052*1,Summary!$C$8:$C$153,1,0)))),"Add account Number to Summary","")</f>
        <v/>
      </c>
      <c r="M2052" s="131" t="str">
        <f t="shared" si="32"/>
        <v/>
      </c>
      <c r="N2052" s="287">
        <f>IF(C2052="Sale",SUMIFS($D$4:D2052,$B$4:B2052,B2052,$C$4:C2052,"")+SUMIFS($D$4:D2052,$B$4:B2052,B2052,$C$4:C2052,"Purch")-SUMIFS($D$4:D2052,$B$4:B2052,B2052,$C$4:C2052,"Sale"),0)</f>
        <v>0</v>
      </c>
    </row>
    <row r="2053" spans="1:14" x14ac:dyDescent="0.2">
      <c r="A2053" s="152"/>
      <c r="B2053" s="132"/>
      <c r="C2053" s="132"/>
      <c r="D2053" s="277"/>
      <c r="E2053" s="132"/>
      <c r="F2053" s="170"/>
      <c r="G2053" s="150"/>
      <c r="H2053" s="152"/>
      <c r="I2053" s="204"/>
      <c r="J2053" s="285"/>
      <c r="K2053" s="251"/>
      <c r="L2053" s="133" t="str">
        <f>IF(AND(I2053&lt;&gt;"",ISERROR(IF(ISERROR(VLOOKUP(I2053*1,Summary!$C$8:$C$153,1,0)),VLOOKUP(I2053,Summary!$C$8:$C$153,1,0),VLOOKUP(I2053*1,Summary!$C$8:$C$153,1,0)))),"Add account Number to Summary","")</f>
        <v/>
      </c>
      <c r="M2053" s="131" t="str">
        <f t="shared" si="32"/>
        <v/>
      </c>
      <c r="N2053" s="287">
        <f>IF(C2053="Sale",SUMIFS($D$4:D2053,$B$4:B2053,B2053,$C$4:C2053,"")+SUMIFS($D$4:D2053,$B$4:B2053,B2053,$C$4:C2053,"Purch")-SUMIFS($D$4:D2053,$B$4:B2053,B2053,$C$4:C2053,"Sale"),0)</f>
        <v>0</v>
      </c>
    </row>
    <row r="2054" spans="1:14" x14ac:dyDescent="0.2">
      <c r="A2054" s="152"/>
      <c r="B2054" s="132"/>
      <c r="C2054" s="132"/>
      <c r="D2054" s="277"/>
      <c r="E2054" s="132"/>
      <c r="F2054" s="170"/>
      <c r="G2054" s="150"/>
      <c r="H2054" s="152"/>
      <c r="I2054" s="204"/>
      <c r="J2054" s="285"/>
      <c r="K2054" s="251"/>
      <c r="L2054" s="133" t="str">
        <f>IF(AND(I2054&lt;&gt;"",ISERROR(IF(ISERROR(VLOOKUP(I2054*1,Summary!$C$8:$C$153,1,0)),VLOOKUP(I2054,Summary!$C$8:$C$153,1,0),VLOOKUP(I2054*1,Summary!$C$8:$C$153,1,0)))),"Add account Number to Summary","")</f>
        <v/>
      </c>
      <c r="M2054" s="131" t="str">
        <f t="shared" si="32"/>
        <v/>
      </c>
      <c r="N2054" s="287">
        <f>IF(C2054="Sale",SUMIFS($D$4:D2054,$B$4:B2054,B2054,$C$4:C2054,"")+SUMIFS($D$4:D2054,$B$4:B2054,B2054,$C$4:C2054,"Purch")-SUMIFS($D$4:D2054,$B$4:B2054,B2054,$C$4:C2054,"Sale"),0)</f>
        <v>0</v>
      </c>
    </row>
    <row r="2055" spans="1:14" x14ac:dyDescent="0.2">
      <c r="A2055" s="152"/>
      <c r="B2055" s="132"/>
      <c r="C2055" s="132"/>
      <c r="D2055" s="277"/>
      <c r="E2055" s="132"/>
      <c r="F2055" s="170"/>
      <c r="G2055" s="150"/>
      <c r="H2055" s="152"/>
      <c r="I2055" s="204"/>
      <c r="J2055" s="285"/>
      <c r="K2055" s="251"/>
      <c r="L2055" s="133" t="str">
        <f>IF(AND(I2055&lt;&gt;"",ISERROR(IF(ISERROR(VLOOKUP(I2055*1,Summary!$C$8:$C$153,1,0)),VLOOKUP(I2055,Summary!$C$8:$C$153,1,0),VLOOKUP(I2055*1,Summary!$C$8:$C$153,1,0)))),"Add account Number to Summary","")</f>
        <v/>
      </c>
      <c r="M2055" s="131" t="str">
        <f t="shared" si="32"/>
        <v/>
      </c>
      <c r="N2055" s="287">
        <f>IF(C2055="Sale",SUMIFS($D$4:D2055,$B$4:B2055,B2055,$C$4:C2055,"")+SUMIFS($D$4:D2055,$B$4:B2055,B2055,$C$4:C2055,"Purch")-SUMIFS($D$4:D2055,$B$4:B2055,B2055,$C$4:C2055,"Sale"),0)</f>
        <v>0</v>
      </c>
    </row>
    <row r="2056" spans="1:14" x14ac:dyDescent="0.2">
      <c r="A2056" s="152"/>
      <c r="B2056" s="132"/>
      <c r="C2056" s="132"/>
      <c r="D2056" s="277"/>
      <c r="E2056" s="132"/>
      <c r="F2056" s="170"/>
      <c r="G2056" s="150"/>
      <c r="H2056" s="152"/>
      <c r="I2056" s="204"/>
      <c r="J2056" s="285"/>
      <c r="K2056" s="251"/>
      <c r="L2056" s="133" t="str">
        <f>IF(AND(I2056&lt;&gt;"",ISERROR(IF(ISERROR(VLOOKUP(I2056*1,Summary!$C$8:$C$153,1,0)),VLOOKUP(I2056,Summary!$C$8:$C$153,1,0),VLOOKUP(I2056*1,Summary!$C$8:$C$153,1,0)))),"Add account Number to Summary","")</f>
        <v/>
      </c>
      <c r="M2056" s="131" t="str">
        <f t="shared" si="32"/>
        <v/>
      </c>
      <c r="N2056" s="287">
        <f>IF(C2056="Sale",SUMIFS($D$4:D2056,$B$4:B2056,B2056,$C$4:C2056,"")+SUMIFS($D$4:D2056,$B$4:B2056,B2056,$C$4:C2056,"Purch")-SUMIFS($D$4:D2056,$B$4:B2056,B2056,$C$4:C2056,"Sale"),0)</f>
        <v>0</v>
      </c>
    </row>
    <row r="2057" spans="1:14" x14ac:dyDescent="0.2">
      <c r="A2057" s="152"/>
      <c r="B2057" s="132"/>
      <c r="C2057" s="132"/>
      <c r="D2057" s="277"/>
      <c r="E2057" s="132"/>
      <c r="F2057" s="170"/>
      <c r="G2057" s="150"/>
      <c r="H2057" s="152"/>
      <c r="I2057" s="204"/>
      <c r="J2057" s="285"/>
      <c r="K2057" s="251"/>
      <c r="L2057" s="133" t="str">
        <f>IF(AND(I2057&lt;&gt;"",ISERROR(IF(ISERROR(VLOOKUP(I2057*1,Summary!$C$8:$C$153,1,0)),VLOOKUP(I2057,Summary!$C$8:$C$153,1,0),VLOOKUP(I2057*1,Summary!$C$8:$C$153,1,0)))),"Add account Number to Summary","")</f>
        <v/>
      </c>
      <c r="M2057" s="131" t="str">
        <f t="shared" si="32"/>
        <v/>
      </c>
      <c r="N2057" s="287">
        <f>IF(C2057="Sale",SUMIFS($D$4:D2057,$B$4:B2057,B2057,$C$4:C2057,"")+SUMIFS($D$4:D2057,$B$4:B2057,B2057,$C$4:C2057,"Purch")-SUMIFS($D$4:D2057,$B$4:B2057,B2057,$C$4:C2057,"Sale"),0)</f>
        <v>0</v>
      </c>
    </row>
  </sheetData>
  <conditionalFormatting sqref="A5:N2057">
    <cfRule type="expression" dxfId="3" priority="2">
      <formula>$N5&lt;0</formula>
    </cfRule>
  </conditionalFormatting>
  <conditionalFormatting sqref="C4:C1048576">
    <cfRule type="expression" dxfId="2" priority="1">
      <formula>C4="NA"</formula>
    </cfRule>
  </conditionalFormatting>
  <dataValidations count="1">
    <dataValidation type="list" allowBlank="1" showInputMessage="1" showErrorMessage="1" sqref="C5:C2057">
      <formula1>TransList</formula1>
    </dataValidation>
  </dataValidation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Programming!$S$6:$S$9</xm:f>
          </x14:formula1>
          <xm:sqref>K4:K2057</xm:sqref>
        </x14:dataValidation>
        <x14:dataValidation type="list" allowBlank="1" showInputMessage="1" showErrorMessage="1">
          <x14:formula1>
            <xm:f>Programming!M6:M21</xm:f>
          </x14:formula1>
          <xm:sqref>E5:E2057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4:Z1410"/>
  <sheetViews>
    <sheetView zoomScale="130" zoomScaleNormal="130" workbookViewId="0">
      <selection activeCell="S25" sqref="S25"/>
    </sheetView>
  </sheetViews>
  <sheetFormatPr defaultRowHeight="11.25" x14ac:dyDescent="0.2"/>
  <cols>
    <col min="1" max="4" width="4" style="131" customWidth="1"/>
    <col min="5" max="5" width="31.5" style="131" bestFit="1" customWidth="1"/>
    <col min="6" max="9" width="4" style="131" customWidth="1"/>
    <col min="10" max="10" width="18" style="131" bestFit="1" customWidth="1"/>
    <col min="11" max="11" width="7.33203125" style="131" customWidth="1"/>
    <col min="12" max="12" width="9.33203125" style="131" customWidth="1"/>
    <col min="13" max="13" width="30.83203125" style="131" customWidth="1"/>
    <col min="14" max="14" width="9.33203125" style="131" customWidth="1"/>
    <col min="15" max="15" width="9.33203125" style="155" customWidth="1"/>
    <col min="16" max="17" width="9.33203125" style="131"/>
    <col min="18" max="18" width="4.33203125" style="131" customWidth="1"/>
    <col min="19" max="19" width="9.33203125" style="131"/>
    <col min="20" max="20" width="4" style="131" customWidth="1"/>
    <col min="21" max="21" width="19.33203125" style="131" bestFit="1" customWidth="1"/>
    <col min="22" max="22" width="7.33203125" style="131" customWidth="1"/>
    <col min="23" max="23" width="11.83203125" style="131" bestFit="1" customWidth="1"/>
    <col min="24" max="24" width="47.33203125" style="131" bestFit="1" customWidth="1"/>
    <col min="25" max="16384" width="9.33203125" style="131"/>
  </cols>
  <sheetData>
    <row r="4" spans="2:26" x14ac:dyDescent="0.2">
      <c r="B4" s="162"/>
      <c r="C4" s="162"/>
      <c r="D4" s="162"/>
      <c r="Z4" s="288" t="s">
        <v>3034</v>
      </c>
    </row>
    <row r="5" spans="2:26" ht="18.75" x14ac:dyDescent="0.3">
      <c r="B5" s="163"/>
      <c r="C5" s="163"/>
      <c r="D5" s="162"/>
      <c r="E5" s="291" t="s">
        <v>25</v>
      </c>
      <c r="F5"/>
      <c r="G5"/>
      <c r="U5" s="260" t="s">
        <v>179</v>
      </c>
      <c r="W5" s="254" t="s">
        <v>3031</v>
      </c>
      <c r="X5" s="255" t="s">
        <v>3030</v>
      </c>
      <c r="Z5" s="261">
        <f>IFERROR(MATCH("Yes",'Bank Transactions'!K3:K1048576,0)-1,2)</f>
        <v>2</v>
      </c>
    </row>
    <row r="6" spans="2:26" x14ac:dyDescent="0.2">
      <c r="B6" s="164"/>
      <c r="C6" s="165"/>
      <c r="D6" s="162"/>
      <c r="E6" s="292" t="s">
        <v>228</v>
      </c>
      <c r="F6"/>
      <c r="G6"/>
      <c r="J6" s="262" t="s">
        <v>140</v>
      </c>
      <c r="L6" s="265" t="s">
        <v>59</v>
      </c>
      <c r="M6" s="266" t="s">
        <v>68</v>
      </c>
      <c r="N6" s="266" t="s">
        <v>144</v>
      </c>
      <c r="O6" s="267" t="s">
        <v>145</v>
      </c>
      <c r="P6" s="268" t="str">
        <f>L6</f>
        <v>b.1.</v>
      </c>
      <c r="S6" s="273" t="s">
        <v>172</v>
      </c>
      <c r="U6" s="261" t="str">
        <f ca="1">MID(CELL("filename"),SEARCH("[",CELL("filename"))+1, SEARCH("]",CELL("filename"))-SEARCH("[",CELL("filename"))-1)</f>
        <v>2017 SchedD-####.xlsm</v>
      </c>
      <c r="W6" s="256" t="s">
        <v>233</v>
      </c>
      <c r="X6" s="257" t="s">
        <v>68</v>
      </c>
    </row>
    <row r="7" spans="2:26" x14ac:dyDescent="0.2">
      <c r="B7" s="164"/>
      <c r="C7" s="160"/>
      <c r="D7" s="162"/>
      <c r="E7"/>
      <c r="F7"/>
      <c r="G7"/>
      <c r="J7" s="263" t="s">
        <v>122</v>
      </c>
      <c r="L7" s="256" t="s">
        <v>60</v>
      </c>
      <c r="M7" s="162" t="s">
        <v>69</v>
      </c>
      <c r="N7" s="162" t="s">
        <v>146</v>
      </c>
      <c r="O7" s="269" t="s">
        <v>147</v>
      </c>
      <c r="P7" s="257" t="str">
        <f t="shared" ref="P7:P22" si="0">L7</f>
        <v>b.2.</v>
      </c>
      <c r="S7" s="274" t="s">
        <v>173</v>
      </c>
      <c r="W7" s="256" t="s">
        <v>235</v>
      </c>
      <c r="X7" s="257" t="s">
        <v>234</v>
      </c>
    </row>
    <row r="8" spans="2:26" x14ac:dyDescent="0.2">
      <c r="B8" s="164"/>
      <c r="C8" s="161"/>
      <c r="D8" s="162"/>
      <c r="E8"/>
      <c r="F8"/>
      <c r="G8"/>
      <c r="J8" s="263" t="s">
        <v>141</v>
      </c>
      <c r="L8" s="256" t="s">
        <v>61</v>
      </c>
      <c r="M8" s="162" t="s">
        <v>70</v>
      </c>
      <c r="N8" s="162" t="s">
        <v>146</v>
      </c>
      <c r="O8" s="269" t="s">
        <v>147</v>
      </c>
      <c r="P8" s="257" t="str">
        <f t="shared" si="0"/>
        <v>b.3.</v>
      </c>
      <c r="S8" s="261" t="s">
        <v>139</v>
      </c>
      <c r="W8" s="256" t="s">
        <v>237</v>
      </c>
      <c r="X8" s="257" t="s">
        <v>236</v>
      </c>
    </row>
    <row r="9" spans="2:26" x14ac:dyDescent="0.2">
      <c r="B9" s="164"/>
      <c r="C9" s="166"/>
      <c r="D9" s="162"/>
      <c r="E9"/>
      <c r="F9"/>
      <c r="G9"/>
      <c r="J9" s="263" t="s">
        <v>142</v>
      </c>
      <c r="L9" s="256" t="s">
        <v>62</v>
      </c>
      <c r="M9" s="162" t="s">
        <v>71</v>
      </c>
      <c r="N9" s="162" t="s">
        <v>148</v>
      </c>
      <c r="O9" s="269" t="s">
        <v>149</v>
      </c>
      <c r="P9" s="257" t="str">
        <f t="shared" si="0"/>
        <v>b.4.</v>
      </c>
      <c r="W9" s="256" t="s">
        <v>239</v>
      </c>
      <c r="X9" s="257" t="s">
        <v>238</v>
      </c>
    </row>
    <row r="10" spans="2:26" x14ac:dyDescent="0.2">
      <c r="B10" s="164"/>
      <c r="C10" s="165"/>
      <c r="D10" s="162"/>
      <c r="E10"/>
      <c r="F10"/>
      <c r="G10"/>
      <c r="J10" s="263" t="s">
        <v>191</v>
      </c>
      <c r="L10" s="256" t="s">
        <v>63</v>
      </c>
      <c r="M10" s="162" t="s">
        <v>112</v>
      </c>
      <c r="N10" s="162" t="s">
        <v>150</v>
      </c>
      <c r="O10" s="269" t="s">
        <v>151</v>
      </c>
      <c r="P10" s="257" t="str">
        <f t="shared" si="0"/>
        <v>b.6.</v>
      </c>
      <c r="W10" s="256" t="s">
        <v>241</v>
      </c>
      <c r="X10" s="257" t="s">
        <v>240</v>
      </c>
    </row>
    <row r="11" spans="2:26" x14ac:dyDescent="0.2">
      <c r="B11" s="167"/>
      <c r="C11" s="167"/>
      <c r="D11" s="162"/>
      <c r="E11"/>
      <c r="F11"/>
      <c r="G11"/>
      <c r="J11" s="263" t="s">
        <v>167</v>
      </c>
      <c r="L11" s="256" t="s">
        <v>64</v>
      </c>
      <c r="M11" s="162" t="s">
        <v>81</v>
      </c>
      <c r="N11" s="162" t="s">
        <v>152</v>
      </c>
      <c r="O11" s="269" t="s">
        <v>153</v>
      </c>
      <c r="P11" s="257" t="str">
        <f t="shared" si="0"/>
        <v>c.1.</v>
      </c>
      <c r="W11" s="256" t="s">
        <v>243</v>
      </c>
      <c r="X11" s="257" t="s">
        <v>242</v>
      </c>
    </row>
    <row r="12" spans="2:26" x14ac:dyDescent="0.2">
      <c r="B12" s="164"/>
      <c r="C12" s="165"/>
      <c r="D12" s="162"/>
      <c r="E12"/>
      <c r="F12"/>
      <c r="G12"/>
      <c r="J12" s="263" t="s">
        <v>166</v>
      </c>
      <c r="L12" s="256" t="s">
        <v>65</v>
      </c>
      <c r="M12" s="162" t="s">
        <v>82</v>
      </c>
      <c r="N12" s="162" t="s">
        <v>154</v>
      </c>
      <c r="O12" s="269" t="s">
        <v>155</v>
      </c>
      <c r="P12" s="257" t="str">
        <f t="shared" si="0"/>
        <v>c.2.</v>
      </c>
      <c r="W12" s="256" t="s">
        <v>245</v>
      </c>
      <c r="X12" s="257" t="s">
        <v>244</v>
      </c>
    </row>
    <row r="13" spans="2:26" x14ac:dyDescent="0.2">
      <c r="B13" s="164"/>
      <c r="C13" s="168"/>
      <c r="D13" s="162"/>
      <c r="E13"/>
      <c r="F13"/>
      <c r="G13"/>
      <c r="J13" s="263" t="s">
        <v>168</v>
      </c>
      <c r="L13" s="256" t="s">
        <v>66</v>
      </c>
      <c r="M13" s="162" t="s">
        <v>83</v>
      </c>
      <c r="N13" s="162" t="s">
        <v>156</v>
      </c>
      <c r="O13" s="269" t="s">
        <v>157</v>
      </c>
      <c r="P13" s="257" t="str">
        <f t="shared" si="0"/>
        <v>p.1.</v>
      </c>
      <c r="W13" s="256" t="s">
        <v>247</v>
      </c>
      <c r="X13" s="257" t="s">
        <v>246</v>
      </c>
    </row>
    <row r="14" spans="2:26" x14ac:dyDescent="0.2">
      <c r="B14" s="164"/>
      <c r="C14" s="166"/>
      <c r="D14" s="162"/>
      <c r="E14"/>
      <c r="F14"/>
      <c r="G14"/>
      <c r="J14" s="263" t="s">
        <v>143</v>
      </c>
      <c r="L14" s="256" t="s">
        <v>67</v>
      </c>
      <c r="M14" s="162" t="s">
        <v>85</v>
      </c>
      <c r="N14" s="162" t="s">
        <v>158</v>
      </c>
      <c r="O14" s="269" t="s">
        <v>159</v>
      </c>
      <c r="P14" s="257" t="str">
        <f t="shared" si="0"/>
        <v>st.1.</v>
      </c>
      <c r="W14" s="256" t="s">
        <v>249</v>
      </c>
      <c r="X14" s="257" t="s">
        <v>248</v>
      </c>
    </row>
    <row r="15" spans="2:26" x14ac:dyDescent="0.2">
      <c r="B15" s="164"/>
      <c r="C15" s="165"/>
      <c r="D15" s="162"/>
      <c r="E15"/>
      <c r="F15"/>
      <c r="G15"/>
      <c r="J15" s="264" t="s">
        <v>223</v>
      </c>
      <c r="L15" s="256" t="s">
        <v>86</v>
      </c>
      <c r="M15" s="162" t="s">
        <v>92</v>
      </c>
      <c r="N15" s="162" t="s">
        <v>160</v>
      </c>
      <c r="O15" s="269" t="s">
        <v>161</v>
      </c>
      <c r="P15" s="257" t="str">
        <f t="shared" si="0"/>
        <v>st.2.</v>
      </c>
      <c r="W15" s="256" t="s">
        <v>251</v>
      </c>
      <c r="X15" s="257" t="s">
        <v>250</v>
      </c>
    </row>
    <row r="16" spans="2:26" x14ac:dyDescent="0.2">
      <c r="B16" s="164"/>
      <c r="C16" s="162"/>
      <c r="D16" s="162"/>
      <c r="E16"/>
      <c r="F16"/>
      <c r="G16"/>
      <c r="L16" s="256" t="s">
        <v>87</v>
      </c>
      <c r="M16" s="162" t="s">
        <v>93</v>
      </c>
      <c r="N16" s="162" t="s">
        <v>160</v>
      </c>
      <c r="O16" s="269" t="s">
        <v>161</v>
      </c>
      <c r="P16" s="257" t="str">
        <f t="shared" si="0"/>
        <v>st.3.</v>
      </c>
      <c r="W16" s="256" t="s">
        <v>253</v>
      </c>
      <c r="X16" s="257" t="s">
        <v>252</v>
      </c>
    </row>
    <row r="17" spans="2:24" x14ac:dyDescent="0.2">
      <c r="B17" s="164"/>
      <c r="C17" s="162"/>
      <c r="D17" s="162"/>
      <c r="E17"/>
      <c r="F17"/>
      <c r="G17"/>
      <c r="L17" s="256" t="s">
        <v>88</v>
      </c>
      <c r="M17" s="162" t="s">
        <v>95</v>
      </c>
      <c r="N17" s="162" t="s">
        <v>160</v>
      </c>
      <c r="O17" s="269" t="s">
        <v>161</v>
      </c>
      <c r="P17" s="257" t="str">
        <f t="shared" si="0"/>
        <v>st.4.</v>
      </c>
      <c r="W17" s="256" t="s">
        <v>255</v>
      </c>
      <c r="X17" s="257" t="s">
        <v>254</v>
      </c>
    </row>
    <row r="18" spans="2:24" x14ac:dyDescent="0.2">
      <c r="B18" s="164"/>
      <c r="C18" s="162"/>
      <c r="D18" s="162"/>
      <c r="E18"/>
      <c r="F18"/>
      <c r="G18"/>
      <c r="L18" s="256" t="s">
        <v>89</v>
      </c>
      <c r="M18" s="162" t="s">
        <v>94</v>
      </c>
      <c r="N18" s="162" t="s">
        <v>160</v>
      </c>
      <c r="O18" s="269" t="s">
        <v>161</v>
      </c>
      <c r="P18" s="257" t="str">
        <f t="shared" si="0"/>
        <v>st.5.</v>
      </c>
      <c r="W18" s="256" t="s">
        <v>257</v>
      </c>
      <c r="X18" s="257" t="s">
        <v>256</v>
      </c>
    </row>
    <row r="19" spans="2:24" x14ac:dyDescent="0.2">
      <c r="B19" s="164"/>
      <c r="C19" s="162"/>
      <c r="D19" s="162"/>
      <c r="E19"/>
      <c r="F19"/>
      <c r="G19"/>
      <c r="L19" s="256" t="s">
        <v>90</v>
      </c>
      <c r="M19" s="162" t="s">
        <v>111</v>
      </c>
      <c r="N19" s="162" t="s">
        <v>162</v>
      </c>
      <c r="O19" s="269" t="s">
        <v>163</v>
      </c>
      <c r="P19" s="257" t="str">
        <f t="shared" si="0"/>
        <v>st.6.</v>
      </c>
      <c r="W19" s="256" t="s">
        <v>259</v>
      </c>
      <c r="X19" s="257" t="s">
        <v>258</v>
      </c>
    </row>
    <row r="20" spans="2:24" x14ac:dyDescent="0.2">
      <c r="B20" s="164"/>
      <c r="E20"/>
      <c r="F20"/>
      <c r="G20"/>
      <c r="L20" s="256" t="s">
        <v>91</v>
      </c>
      <c r="M20" s="162" t="s">
        <v>96</v>
      </c>
      <c r="N20" s="162" t="s">
        <v>164</v>
      </c>
      <c r="O20" s="269" t="s">
        <v>165</v>
      </c>
      <c r="P20" s="257" t="str">
        <f t="shared" si="0"/>
        <v>st.10.</v>
      </c>
      <c r="W20" s="256" t="s">
        <v>261</v>
      </c>
      <c r="X20" s="257" t="s">
        <v>260</v>
      </c>
    </row>
    <row r="21" spans="2:24" x14ac:dyDescent="0.2">
      <c r="B21" s="164"/>
      <c r="E21"/>
      <c r="F21"/>
      <c r="G21"/>
      <c r="L21" s="256" t="s">
        <v>91</v>
      </c>
      <c r="M21" s="162" t="s">
        <v>96</v>
      </c>
      <c r="N21" s="162" t="s">
        <v>184</v>
      </c>
      <c r="O21" s="269" t="s">
        <v>185</v>
      </c>
      <c r="P21" s="257" t="str">
        <f t="shared" si="0"/>
        <v>st.10.</v>
      </c>
      <c r="W21" s="256" t="s">
        <v>263</v>
      </c>
      <c r="X21" s="257" t="s">
        <v>262</v>
      </c>
    </row>
    <row r="22" spans="2:24" x14ac:dyDescent="0.2">
      <c r="B22" s="164"/>
      <c r="E22"/>
      <c r="F22"/>
      <c r="G22"/>
      <c r="L22" s="258" t="s">
        <v>3039</v>
      </c>
      <c r="M22" s="270" t="s">
        <v>365</v>
      </c>
      <c r="N22" s="271" t="s">
        <v>3040</v>
      </c>
      <c r="O22" s="272" t="s">
        <v>3041</v>
      </c>
      <c r="P22" s="259" t="str">
        <f t="shared" si="0"/>
        <v>O.1.</v>
      </c>
      <c r="W22" s="256" t="s">
        <v>265</v>
      </c>
      <c r="X22" s="257" t="s">
        <v>264</v>
      </c>
    </row>
    <row r="23" spans="2:24" x14ac:dyDescent="0.2">
      <c r="B23" s="164"/>
      <c r="W23" s="256" t="s">
        <v>267</v>
      </c>
      <c r="X23" s="257" t="s">
        <v>266</v>
      </c>
    </row>
    <row r="24" spans="2:24" x14ac:dyDescent="0.2">
      <c r="W24" s="256" t="s">
        <v>269</v>
      </c>
      <c r="X24" s="257" t="s">
        <v>268</v>
      </c>
    </row>
    <row r="25" spans="2:24" x14ac:dyDescent="0.2">
      <c r="M25"/>
      <c r="W25" s="256" t="s">
        <v>271</v>
      </c>
      <c r="X25" s="257" t="s">
        <v>270</v>
      </c>
    </row>
    <row r="26" spans="2:24" x14ac:dyDescent="0.2">
      <c r="M26"/>
      <c r="W26" s="256" t="s">
        <v>273</v>
      </c>
      <c r="X26" s="257" t="s">
        <v>272</v>
      </c>
    </row>
    <row r="27" spans="2:24" x14ac:dyDescent="0.2">
      <c r="W27" s="256" t="s">
        <v>275</v>
      </c>
      <c r="X27" s="257" t="s">
        <v>274</v>
      </c>
    </row>
    <row r="28" spans="2:24" x14ac:dyDescent="0.2">
      <c r="W28" s="256" t="s">
        <v>277</v>
      </c>
      <c r="X28" s="257" t="s">
        <v>276</v>
      </c>
    </row>
    <row r="29" spans="2:24" x14ac:dyDescent="0.2">
      <c r="W29" s="256" t="s">
        <v>279</v>
      </c>
      <c r="X29" s="257" t="s">
        <v>278</v>
      </c>
    </row>
    <row r="30" spans="2:24" x14ac:dyDescent="0.2">
      <c r="W30" s="256" t="s">
        <v>281</v>
      </c>
      <c r="X30" s="257" t="s">
        <v>280</v>
      </c>
    </row>
    <row r="31" spans="2:24" x14ac:dyDescent="0.2">
      <c r="W31" s="256" t="s">
        <v>283</v>
      </c>
      <c r="X31" s="257" t="s">
        <v>282</v>
      </c>
    </row>
    <row r="32" spans="2:24" x14ac:dyDescent="0.2">
      <c r="W32" s="256" t="s">
        <v>285</v>
      </c>
      <c r="X32" s="257" t="s">
        <v>284</v>
      </c>
    </row>
    <row r="33" spans="23:24" x14ac:dyDescent="0.2">
      <c r="W33" s="256" t="s">
        <v>287</v>
      </c>
      <c r="X33" s="257" t="s">
        <v>286</v>
      </c>
    </row>
    <row r="34" spans="23:24" x14ac:dyDescent="0.2">
      <c r="W34" s="256" t="s">
        <v>289</v>
      </c>
      <c r="X34" s="257" t="s">
        <v>288</v>
      </c>
    </row>
    <row r="35" spans="23:24" x14ac:dyDescent="0.2">
      <c r="W35" s="256" t="s">
        <v>291</v>
      </c>
      <c r="X35" s="257" t="s">
        <v>290</v>
      </c>
    </row>
    <row r="36" spans="23:24" x14ac:dyDescent="0.2">
      <c r="W36" s="256" t="s">
        <v>293</v>
      </c>
      <c r="X36" s="257" t="s">
        <v>292</v>
      </c>
    </row>
    <row r="37" spans="23:24" x14ac:dyDescent="0.2">
      <c r="W37" s="256" t="s">
        <v>294</v>
      </c>
      <c r="X37" s="257" t="s">
        <v>228</v>
      </c>
    </row>
    <row r="38" spans="23:24" x14ac:dyDescent="0.2">
      <c r="W38" s="256" t="s">
        <v>296</v>
      </c>
      <c r="X38" s="257" t="s">
        <v>295</v>
      </c>
    </row>
    <row r="39" spans="23:24" x14ac:dyDescent="0.2">
      <c r="W39" s="256" t="s">
        <v>298</v>
      </c>
      <c r="X39" s="257" t="s">
        <v>297</v>
      </c>
    </row>
    <row r="40" spans="23:24" x14ac:dyDescent="0.2">
      <c r="W40" s="256" t="s">
        <v>300</v>
      </c>
      <c r="X40" s="257" t="s">
        <v>299</v>
      </c>
    </row>
    <row r="41" spans="23:24" x14ac:dyDescent="0.2">
      <c r="W41" s="256" t="s">
        <v>302</v>
      </c>
      <c r="X41" s="257" t="s">
        <v>301</v>
      </c>
    </row>
    <row r="42" spans="23:24" x14ac:dyDescent="0.2">
      <c r="W42" s="256" t="s">
        <v>304</v>
      </c>
      <c r="X42" s="257" t="s">
        <v>303</v>
      </c>
    </row>
    <row r="43" spans="23:24" x14ac:dyDescent="0.2">
      <c r="W43" s="256" t="s">
        <v>306</v>
      </c>
      <c r="X43" s="257" t="s">
        <v>305</v>
      </c>
    </row>
    <row r="44" spans="23:24" x14ac:dyDescent="0.2">
      <c r="W44" s="256" t="s">
        <v>308</v>
      </c>
      <c r="X44" s="257" t="s">
        <v>307</v>
      </c>
    </row>
    <row r="45" spans="23:24" x14ac:dyDescent="0.2">
      <c r="W45" s="256" t="s">
        <v>310</v>
      </c>
      <c r="X45" s="257" t="s">
        <v>309</v>
      </c>
    </row>
    <row r="46" spans="23:24" x14ac:dyDescent="0.2">
      <c r="W46" s="256" t="s">
        <v>312</v>
      </c>
      <c r="X46" s="257" t="s">
        <v>311</v>
      </c>
    </row>
    <row r="47" spans="23:24" x14ac:dyDescent="0.2">
      <c r="W47" s="256" t="s">
        <v>314</v>
      </c>
      <c r="X47" s="257" t="s">
        <v>313</v>
      </c>
    </row>
    <row r="48" spans="23:24" x14ac:dyDescent="0.2">
      <c r="W48" s="256" t="s">
        <v>316</v>
      </c>
      <c r="X48" s="257" t="s">
        <v>315</v>
      </c>
    </row>
    <row r="49" spans="23:24" x14ac:dyDescent="0.2">
      <c r="W49" s="256" t="s">
        <v>318</v>
      </c>
      <c r="X49" s="257" t="s">
        <v>317</v>
      </c>
    </row>
    <row r="50" spans="23:24" x14ac:dyDescent="0.2">
      <c r="W50" s="256" t="s">
        <v>320</v>
      </c>
      <c r="X50" s="257" t="s">
        <v>319</v>
      </c>
    </row>
    <row r="51" spans="23:24" x14ac:dyDescent="0.2">
      <c r="W51" s="256" t="s">
        <v>322</v>
      </c>
      <c r="X51" s="257" t="s">
        <v>321</v>
      </c>
    </row>
    <row r="52" spans="23:24" x14ac:dyDescent="0.2">
      <c r="W52" s="256" t="s">
        <v>324</v>
      </c>
      <c r="X52" s="257" t="s">
        <v>323</v>
      </c>
    </row>
    <row r="53" spans="23:24" x14ac:dyDescent="0.2">
      <c r="W53" s="256" t="s">
        <v>326</v>
      </c>
      <c r="X53" s="257" t="s">
        <v>325</v>
      </c>
    </row>
    <row r="54" spans="23:24" x14ac:dyDescent="0.2">
      <c r="W54" s="256" t="s">
        <v>328</v>
      </c>
      <c r="X54" s="257" t="s">
        <v>327</v>
      </c>
    </row>
    <row r="55" spans="23:24" x14ac:dyDescent="0.2">
      <c r="W55" s="256" t="s">
        <v>330</v>
      </c>
      <c r="X55" s="257" t="s">
        <v>329</v>
      </c>
    </row>
    <row r="56" spans="23:24" x14ac:dyDescent="0.2">
      <c r="W56" s="256" t="s">
        <v>332</v>
      </c>
      <c r="X56" s="257" t="s">
        <v>331</v>
      </c>
    </row>
    <row r="57" spans="23:24" x14ac:dyDescent="0.2">
      <c r="W57" s="256" t="s">
        <v>334</v>
      </c>
      <c r="X57" s="257" t="s">
        <v>333</v>
      </c>
    </row>
    <row r="58" spans="23:24" x14ac:dyDescent="0.2">
      <c r="W58" s="256" t="s">
        <v>336</v>
      </c>
      <c r="X58" s="257" t="s">
        <v>335</v>
      </c>
    </row>
    <row r="59" spans="23:24" x14ac:dyDescent="0.2">
      <c r="W59" s="256" t="s">
        <v>338</v>
      </c>
      <c r="X59" s="257" t="s">
        <v>337</v>
      </c>
    </row>
    <row r="60" spans="23:24" x14ac:dyDescent="0.2">
      <c r="W60" s="256" t="s">
        <v>340</v>
      </c>
      <c r="X60" s="257" t="s">
        <v>339</v>
      </c>
    </row>
    <row r="61" spans="23:24" x14ac:dyDescent="0.2">
      <c r="W61" s="256" t="s">
        <v>342</v>
      </c>
      <c r="X61" s="257" t="s">
        <v>341</v>
      </c>
    </row>
    <row r="62" spans="23:24" x14ac:dyDescent="0.2">
      <c r="W62" s="256" t="s">
        <v>344</v>
      </c>
      <c r="X62" s="257" t="s">
        <v>343</v>
      </c>
    </row>
    <row r="63" spans="23:24" x14ac:dyDescent="0.2">
      <c r="W63" s="256" t="s">
        <v>346</v>
      </c>
      <c r="X63" s="257" t="s">
        <v>345</v>
      </c>
    </row>
    <row r="64" spans="23:24" x14ac:dyDescent="0.2">
      <c r="W64" s="256" t="s">
        <v>348</v>
      </c>
      <c r="X64" s="257" t="s">
        <v>347</v>
      </c>
    </row>
    <row r="65" spans="23:24" x14ac:dyDescent="0.2">
      <c r="W65" s="256" t="s">
        <v>350</v>
      </c>
      <c r="X65" s="257" t="s">
        <v>349</v>
      </c>
    </row>
    <row r="66" spans="23:24" x14ac:dyDescent="0.2">
      <c r="W66" s="256" t="s">
        <v>352</v>
      </c>
      <c r="X66" s="257" t="s">
        <v>351</v>
      </c>
    </row>
    <row r="67" spans="23:24" x14ac:dyDescent="0.2">
      <c r="W67" s="256" t="s">
        <v>354</v>
      </c>
      <c r="X67" s="257" t="s">
        <v>353</v>
      </c>
    </row>
    <row r="68" spans="23:24" x14ac:dyDescent="0.2">
      <c r="W68" s="256" t="s">
        <v>356</v>
      </c>
      <c r="X68" s="257" t="s">
        <v>355</v>
      </c>
    </row>
    <row r="69" spans="23:24" x14ac:dyDescent="0.2">
      <c r="W69" s="256" t="s">
        <v>358</v>
      </c>
      <c r="X69" s="257" t="s">
        <v>357</v>
      </c>
    </row>
    <row r="70" spans="23:24" x14ac:dyDescent="0.2">
      <c r="W70" s="256" t="s">
        <v>360</v>
      </c>
      <c r="X70" s="257" t="s">
        <v>359</v>
      </c>
    </row>
    <row r="71" spans="23:24" x14ac:dyDescent="0.2">
      <c r="W71" s="256" t="s">
        <v>362</v>
      </c>
      <c r="X71" s="257" t="s">
        <v>361</v>
      </c>
    </row>
    <row r="72" spans="23:24" x14ac:dyDescent="0.2">
      <c r="W72" s="256" t="s">
        <v>364</v>
      </c>
      <c r="X72" s="257" t="s">
        <v>363</v>
      </c>
    </row>
    <row r="73" spans="23:24" x14ac:dyDescent="0.2">
      <c r="W73" s="256" t="s">
        <v>366</v>
      </c>
      <c r="X73" s="257" t="s">
        <v>365</v>
      </c>
    </row>
    <row r="74" spans="23:24" x14ac:dyDescent="0.2">
      <c r="W74" s="256" t="s">
        <v>368</v>
      </c>
      <c r="X74" s="257" t="s">
        <v>367</v>
      </c>
    </row>
    <row r="75" spans="23:24" x14ac:dyDescent="0.2">
      <c r="W75" s="256" t="s">
        <v>370</v>
      </c>
      <c r="X75" s="257" t="s">
        <v>369</v>
      </c>
    </row>
    <row r="76" spans="23:24" x14ac:dyDescent="0.2">
      <c r="W76" s="256" t="s">
        <v>372</v>
      </c>
      <c r="X76" s="257" t="s">
        <v>371</v>
      </c>
    </row>
    <row r="77" spans="23:24" x14ac:dyDescent="0.2">
      <c r="W77" s="256" t="s">
        <v>373</v>
      </c>
      <c r="X77" s="257" t="s">
        <v>371</v>
      </c>
    </row>
    <row r="78" spans="23:24" x14ac:dyDescent="0.2">
      <c r="W78" s="256" t="s">
        <v>375</v>
      </c>
      <c r="X78" s="257" t="s">
        <v>374</v>
      </c>
    </row>
    <row r="79" spans="23:24" x14ac:dyDescent="0.2">
      <c r="W79" s="256" t="s">
        <v>377</v>
      </c>
      <c r="X79" s="257" t="s">
        <v>376</v>
      </c>
    </row>
    <row r="80" spans="23:24" x14ac:dyDescent="0.2">
      <c r="W80" s="256" t="s">
        <v>379</v>
      </c>
      <c r="X80" s="257" t="s">
        <v>378</v>
      </c>
    </row>
    <row r="81" spans="23:24" x14ac:dyDescent="0.2">
      <c r="W81" s="256" t="s">
        <v>381</v>
      </c>
      <c r="X81" s="257" t="s">
        <v>380</v>
      </c>
    </row>
    <row r="82" spans="23:24" x14ac:dyDescent="0.2">
      <c r="W82" s="256" t="s">
        <v>383</v>
      </c>
      <c r="X82" s="257" t="s">
        <v>382</v>
      </c>
    </row>
    <row r="83" spans="23:24" x14ac:dyDescent="0.2">
      <c r="W83" s="256" t="s">
        <v>385</v>
      </c>
      <c r="X83" s="257" t="s">
        <v>384</v>
      </c>
    </row>
    <row r="84" spans="23:24" x14ac:dyDescent="0.2">
      <c r="W84" s="256" t="s">
        <v>387</v>
      </c>
      <c r="X84" s="257" t="s">
        <v>386</v>
      </c>
    </row>
    <row r="85" spans="23:24" x14ac:dyDescent="0.2">
      <c r="W85" s="256" t="s">
        <v>389</v>
      </c>
      <c r="X85" s="257" t="s">
        <v>388</v>
      </c>
    </row>
    <row r="86" spans="23:24" x14ac:dyDescent="0.2">
      <c r="W86" s="256" t="s">
        <v>391</v>
      </c>
      <c r="X86" s="257" t="s">
        <v>390</v>
      </c>
    </row>
    <row r="87" spans="23:24" x14ac:dyDescent="0.2">
      <c r="W87" s="256" t="s">
        <v>393</v>
      </c>
      <c r="X87" s="257" t="s">
        <v>392</v>
      </c>
    </row>
    <row r="88" spans="23:24" x14ac:dyDescent="0.2">
      <c r="W88" s="256" t="s">
        <v>395</v>
      </c>
      <c r="X88" s="257" t="s">
        <v>394</v>
      </c>
    </row>
    <row r="89" spans="23:24" x14ac:dyDescent="0.2">
      <c r="W89" s="256" t="s">
        <v>397</v>
      </c>
      <c r="X89" s="257" t="s">
        <v>396</v>
      </c>
    </row>
    <row r="90" spans="23:24" x14ac:dyDescent="0.2">
      <c r="W90" s="256" t="s">
        <v>399</v>
      </c>
      <c r="X90" s="257" t="s">
        <v>398</v>
      </c>
    </row>
    <row r="91" spans="23:24" x14ac:dyDescent="0.2">
      <c r="W91" s="256" t="s">
        <v>401</v>
      </c>
      <c r="X91" s="257" t="s">
        <v>400</v>
      </c>
    </row>
    <row r="92" spans="23:24" x14ac:dyDescent="0.2">
      <c r="W92" s="256" t="s">
        <v>403</v>
      </c>
      <c r="X92" s="257" t="s">
        <v>402</v>
      </c>
    </row>
    <row r="93" spans="23:24" x14ac:dyDescent="0.2">
      <c r="W93" s="256" t="s">
        <v>405</v>
      </c>
      <c r="X93" s="257" t="s">
        <v>404</v>
      </c>
    </row>
    <row r="94" spans="23:24" x14ac:dyDescent="0.2">
      <c r="W94" s="256" t="s">
        <v>407</v>
      </c>
      <c r="X94" s="257" t="s">
        <v>406</v>
      </c>
    </row>
    <row r="95" spans="23:24" x14ac:dyDescent="0.2">
      <c r="W95" s="256" t="s">
        <v>409</v>
      </c>
      <c r="X95" s="257" t="s">
        <v>408</v>
      </c>
    </row>
    <row r="96" spans="23:24" x14ac:dyDescent="0.2">
      <c r="W96" s="256" t="s">
        <v>411</v>
      </c>
      <c r="X96" s="257" t="s">
        <v>410</v>
      </c>
    </row>
    <row r="97" spans="23:24" x14ac:dyDescent="0.2">
      <c r="W97" s="256" t="s">
        <v>413</v>
      </c>
      <c r="X97" s="257" t="s">
        <v>412</v>
      </c>
    </row>
    <row r="98" spans="23:24" x14ac:dyDescent="0.2">
      <c r="W98" s="256" t="s">
        <v>415</v>
      </c>
      <c r="X98" s="257" t="s">
        <v>414</v>
      </c>
    </row>
    <row r="99" spans="23:24" x14ac:dyDescent="0.2">
      <c r="W99" s="256" t="s">
        <v>417</v>
      </c>
      <c r="X99" s="257" t="s">
        <v>416</v>
      </c>
    </row>
    <row r="100" spans="23:24" x14ac:dyDescent="0.2">
      <c r="W100" s="256" t="s">
        <v>419</v>
      </c>
      <c r="X100" s="257" t="s">
        <v>418</v>
      </c>
    </row>
    <row r="101" spans="23:24" x14ac:dyDescent="0.2">
      <c r="W101" s="256" t="s">
        <v>421</v>
      </c>
      <c r="X101" s="257" t="s">
        <v>420</v>
      </c>
    </row>
    <row r="102" spans="23:24" x14ac:dyDescent="0.2">
      <c r="W102" s="256" t="s">
        <v>423</v>
      </c>
      <c r="X102" s="257" t="s">
        <v>422</v>
      </c>
    </row>
    <row r="103" spans="23:24" x14ac:dyDescent="0.2">
      <c r="W103" s="256" t="s">
        <v>425</v>
      </c>
      <c r="X103" s="257" t="s">
        <v>424</v>
      </c>
    </row>
    <row r="104" spans="23:24" x14ac:dyDescent="0.2">
      <c r="W104" s="256" t="s">
        <v>427</v>
      </c>
      <c r="X104" s="257" t="s">
        <v>426</v>
      </c>
    </row>
    <row r="105" spans="23:24" x14ac:dyDescent="0.2">
      <c r="W105" s="256" t="s">
        <v>429</v>
      </c>
      <c r="X105" s="257" t="s">
        <v>428</v>
      </c>
    </row>
    <row r="106" spans="23:24" x14ac:dyDescent="0.2">
      <c r="W106" s="256" t="s">
        <v>431</v>
      </c>
      <c r="X106" s="257" t="s">
        <v>430</v>
      </c>
    </row>
    <row r="107" spans="23:24" x14ac:dyDescent="0.2">
      <c r="W107" s="256" t="s">
        <v>433</v>
      </c>
      <c r="X107" s="257" t="s">
        <v>432</v>
      </c>
    </row>
    <row r="108" spans="23:24" x14ac:dyDescent="0.2">
      <c r="W108" s="256" t="s">
        <v>435</v>
      </c>
      <c r="X108" s="257" t="s">
        <v>434</v>
      </c>
    </row>
    <row r="109" spans="23:24" x14ac:dyDescent="0.2">
      <c r="W109" s="256" t="s">
        <v>437</v>
      </c>
      <c r="X109" s="257" t="s">
        <v>436</v>
      </c>
    </row>
    <row r="110" spans="23:24" x14ac:dyDescent="0.2">
      <c r="W110" s="256" t="s">
        <v>439</v>
      </c>
      <c r="X110" s="257" t="s">
        <v>438</v>
      </c>
    </row>
    <row r="111" spans="23:24" x14ac:dyDescent="0.2">
      <c r="W111" s="256" t="s">
        <v>441</v>
      </c>
      <c r="X111" s="257" t="s">
        <v>440</v>
      </c>
    </row>
    <row r="112" spans="23:24" x14ac:dyDescent="0.2">
      <c r="W112" s="256" t="s">
        <v>443</v>
      </c>
      <c r="X112" s="257" t="s">
        <v>442</v>
      </c>
    </row>
    <row r="113" spans="23:24" x14ac:dyDescent="0.2">
      <c r="W113" s="256" t="s">
        <v>445</v>
      </c>
      <c r="X113" s="257" t="s">
        <v>444</v>
      </c>
    </row>
    <row r="114" spans="23:24" x14ac:dyDescent="0.2">
      <c r="W114" s="256" t="s">
        <v>447</v>
      </c>
      <c r="X114" s="257" t="s">
        <v>446</v>
      </c>
    </row>
    <row r="115" spans="23:24" x14ac:dyDescent="0.2">
      <c r="W115" s="256" t="s">
        <v>449</v>
      </c>
      <c r="X115" s="257" t="s">
        <v>448</v>
      </c>
    </row>
    <row r="116" spans="23:24" x14ac:dyDescent="0.2">
      <c r="W116" s="256" t="s">
        <v>451</v>
      </c>
      <c r="X116" s="257" t="s">
        <v>450</v>
      </c>
    </row>
    <row r="117" spans="23:24" x14ac:dyDescent="0.2">
      <c r="W117" s="256" t="s">
        <v>453</v>
      </c>
      <c r="X117" s="257" t="s">
        <v>452</v>
      </c>
    </row>
    <row r="118" spans="23:24" x14ac:dyDescent="0.2">
      <c r="W118" s="256" t="s">
        <v>455</v>
      </c>
      <c r="X118" s="257" t="s">
        <v>454</v>
      </c>
    </row>
    <row r="119" spans="23:24" x14ac:dyDescent="0.2">
      <c r="W119" s="256" t="s">
        <v>457</v>
      </c>
      <c r="X119" s="257" t="s">
        <v>456</v>
      </c>
    </row>
    <row r="120" spans="23:24" x14ac:dyDescent="0.2">
      <c r="W120" s="256" t="s">
        <v>459</v>
      </c>
      <c r="X120" s="257" t="s">
        <v>458</v>
      </c>
    </row>
    <row r="121" spans="23:24" x14ac:dyDescent="0.2">
      <c r="W121" s="256" t="s">
        <v>461</v>
      </c>
      <c r="X121" s="257" t="s">
        <v>460</v>
      </c>
    </row>
    <row r="122" spans="23:24" x14ac:dyDescent="0.2">
      <c r="W122" s="256" t="s">
        <v>463</v>
      </c>
      <c r="X122" s="257" t="s">
        <v>462</v>
      </c>
    </row>
    <row r="123" spans="23:24" x14ac:dyDescent="0.2">
      <c r="W123" s="256" t="s">
        <v>465</v>
      </c>
      <c r="X123" s="257" t="s">
        <v>464</v>
      </c>
    </row>
    <row r="124" spans="23:24" x14ac:dyDescent="0.2">
      <c r="W124" s="256" t="s">
        <v>467</v>
      </c>
      <c r="X124" s="257" t="s">
        <v>466</v>
      </c>
    </row>
    <row r="125" spans="23:24" x14ac:dyDescent="0.2">
      <c r="W125" s="256" t="s">
        <v>469</v>
      </c>
      <c r="X125" s="257" t="s">
        <v>468</v>
      </c>
    </row>
    <row r="126" spans="23:24" x14ac:dyDescent="0.2">
      <c r="W126" s="256" t="s">
        <v>471</v>
      </c>
      <c r="X126" s="257" t="s">
        <v>470</v>
      </c>
    </row>
    <row r="127" spans="23:24" x14ac:dyDescent="0.2">
      <c r="W127" s="256" t="s">
        <v>473</v>
      </c>
      <c r="X127" s="257" t="s">
        <v>472</v>
      </c>
    </row>
    <row r="128" spans="23:24" x14ac:dyDescent="0.2">
      <c r="W128" s="256" t="s">
        <v>475</v>
      </c>
      <c r="X128" s="257" t="s">
        <v>474</v>
      </c>
    </row>
    <row r="129" spans="23:24" x14ac:dyDescent="0.2">
      <c r="W129" s="256" t="s">
        <v>477</v>
      </c>
      <c r="X129" s="257" t="s">
        <v>476</v>
      </c>
    </row>
    <row r="130" spans="23:24" x14ac:dyDescent="0.2">
      <c r="W130" s="256" t="s">
        <v>479</v>
      </c>
      <c r="X130" s="257" t="s">
        <v>478</v>
      </c>
    </row>
    <row r="131" spans="23:24" x14ac:dyDescent="0.2">
      <c r="W131" s="256" t="s">
        <v>481</v>
      </c>
      <c r="X131" s="257" t="s">
        <v>480</v>
      </c>
    </row>
    <row r="132" spans="23:24" x14ac:dyDescent="0.2">
      <c r="W132" s="256" t="s">
        <v>483</v>
      </c>
      <c r="X132" s="257" t="s">
        <v>482</v>
      </c>
    </row>
    <row r="133" spans="23:24" x14ac:dyDescent="0.2">
      <c r="W133" s="256" t="s">
        <v>485</v>
      </c>
      <c r="X133" s="257" t="s">
        <v>484</v>
      </c>
    </row>
    <row r="134" spans="23:24" x14ac:dyDescent="0.2">
      <c r="W134" s="256" t="s">
        <v>487</v>
      </c>
      <c r="X134" s="257" t="s">
        <v>486</v>
      </c>
    </row>
    <row r="135" spans="23:24" x14ac:dyDescent="0.2">
      <c r="W135" s="256" t="s">
        <v>489</v>
      </c>
      <c r="X135" s="257" t="s">
        <v>488</v>
      </c>
    </row>
    <row r="136" spans="23:24" x14ac:dyDescent="0.2">
      <c r="W136" s="256" t="s">
        <v>491</v>
      </c>
      <c r="X136" s="257" t="s">
        <v>490</v>
      </c>
    </row>
    <row r="137" spans="23:24" x14ac:dyDescent="0.2">
      <c r="W137" s="256" t="s">
        <v>493</v>
      </c>
      <c r="X137" s="257" t="s">
        <v>492</v>
      </c>
    </row>
    <row r="138" spans="23:24" x14ac:dyDescent="0.2">
      <c r="W138" s="256" t="s">
        <v>495</v>
      </c>
      <c r="X138" s="257" t="s">
        <v>494</v>
      </c>
    </row>
    <row r="139" spans="23:24" x14ac:dyDescent="0.2">
      <c r="W139" s="256" t="s">
        <v>497</v>
      </c>
      <c r="X139" s="257" t="s">
        <v>496</v>
      </c>
    </row>
    <row r="140" spans="23:24" x14ac:dyDescent="0.2">
      <c r="W140" s="256" t="s">
        <v>499</v>
      </c>
      <c r="X140" s="257" t="s">
        <v>498</v>
      </c>
    </row>
    <row r="141" spans="23:24" x14ac:dyDescent="0.2">
      <c r="W141" s="256" t="s">
        <v>501</v>
      </c>
      <c r="X141" s="257" t="s">
        <v>500</v>
      </c>
    </row>
    <row r="142" spans="23:24" x14ac:dyDescent="0.2">
      <c r="W142" s="256" t="s">
        <v>503</v>
      </c>
      <c r="X142" s="257" t="s">
        <v>502</v>
      </c>
    </row>
    <row r="143" spans="23:24" x14ac:dyDescent="0.2">
      <c r="W143" s="256" t="s">
        <v>505</v>
      </c>
      <c r="X143" s="257" t="s">
        <v>504</v>
      </c>
    </row>
    <row r="144" spans="23:24" x14ac:dyDescent="0.2">
      <c r="W144" s="256" t="s">
        <v>507</v>
      </c>
      <c r="X144" s="257" t="s">
        <v>506</v>
      </c>
    </row>
    <row r="145" spans="23:24" x14ac:dyDescent="0.2">
      <c r="W145" s="256" t="s">
        <v>509</v>
      </c>
      <c r="X145" s="257" t="s">
        <v>508</v>
      </c>
    </row>
    <row r="146" spans="23:24" x14ac:dyDescent="0.2">
      <c r="W146" s="256" t="s">
        <v>511</v>
      </c>
      <c r="X146" s="257" t="s">
        <v>510</v>
      </c>
    </row>
    <row r="147" spans="23:24" x14ac:dyDescent="0.2">
      <c r="W147" s="256" t="s">
        <v>513</v>
      </c>
      <c r="X147" s="257" t="s">
        <v>512</v>
      </c>
    </row>
    <row r="148" spans="23:24" x14ac:dyDescent="0.2">
      <c r="W148" s="256" t="s">
        <v>515</v>
      </c>
      <c r="X148" s="257" t="s">
        <v>514</v>
      </c>
    </row>
    <row r="149" spans="23:24" x14ac:dyDescent="0.2">
      <c r="W149" s="256" t="s">
        <v>517</v>
      </c>
      <c r="X149" s="257" t="s">
        <v>516</v>
      </c>
    </row>
    <row r="150" spans="23:24" x14ac:dyDescent="0.2">
      <c r="W150" s="256" t="s">
        <v>519</v>
      </c>
      <c r="X150" s="257" t="s">
        <v>518</v>
      </c>
    </row>
    <row r="151" spans="23:24" x14ac:dyDescent="0.2">
      <c r="W151" s="256" t="s">
        <v>521</v>
      </c>
      <c r="X151" s="257" t="s">
        <v>520</v>
      </c>
    </row>
    <row r="152" spans="23:24" x14ac:dyDescent="0.2">
      <c r="W152" s="256" t="s">
        <v>523</v>
      </c>
      <c r="X152" s="257" t="s">
        <v>522</v>
      </c>
    </row>
    <row r="153" spans="23:24" x14ac:dyDescent="0.2">
      <c r="W153" s="256" t="s">
        <v>525</v>
      </c>
      <c r="X153" s="257" t="s">
        <v>524</v>
      </c>
    </row>
    <row r="154" spans="23:24" x14ac:dyDescent="0.2">
      <c r="W154" s="256" t="s">
        <v>527</v>
      </c>
      <c r="X154" s="257" t="s">
        <v>526</v>
      </c>
    </row>
    <row r="155" spans="23:24" x14ac:dyDescent="0.2">
      <c r="W155" s="256" t="s">
        <v>529</v>
      </c>
      <c r="X155" s="257" t="s">
        <v>528</v>
      </c>
    </row>
    <row r="156" spans="23:24" x14ac:dyDescent="0.2">
      <c r="W156" s="256" t="s">
        <v>531</v>
      </c>
      <c r="X156" s="257" t="s">
        <v>530</v>
      </c>
    </row>
    <row r="157" spans="23:24" x14ac:dyDescent="0.2">
      <c r="W157" s="256" t="s">
        <v>533</v>
      </c>
      <c r="X157" s="257" t="s">
        <v>532</v>
      </c>
    </row>
    <row r="158" spans="23:24" x14ac:dyDescent="0.2">
      <c r="W158" s="256" t="s">
        <v>535</v>
      </c>
      <c r="X158" s="257" t="s">
        <v>534</v>
      </c>
    </row>
    <row r="159" spans="23:24" x14ac:dyDescent="0.2">
      <c r="W159" s="256" t="s">
        <v>537</v>
      </c>
      <c r="X159" s="257" t="s">
        <v>536</v>
      </c>
    </row>
    <row r="160" spans="23:24" x14ac:dyDescent="0.2">
      <c r="W160" s="256" t="s">
        <v>539</v>
      </c>
      <c r="X160" s="257" t="s">
        <v>538</v>
      </c>
    </row>
    <row r="161" spans="23:24" x14ac:dyDescent="0.2">
      <c r="W161" s="256" t="s">
        <v>541</v>
      </c>
      <c r="X161" s="257" t="s">
        <v>540</v>
      </c>
    </row>
    <row r="162" spans="23:24" x14ac:dyDescent="0.2">
      <c r="W162" s="256" t="s">
        <v>543</v>
      </c>
      <c r="X162" s="257" t="s">
        <v>542</v>
      </c>
    </row>
    <row r="163" spans="23:24" x14ac:dyDescent="0.2">
      <c r="W163" s="256" t="s">
        <v>545</v>
      </c>
      <c r="X163" s="257" t="s">
        <v>544</v>
      </c>
    </row>
    <row r="164" spans="23:24" x14ac:dyDescent="0.2">
      <c r="W164" s="256" t="s">
        <v>547</v>
      </c>
      <c r="X164" s="257" t="s">
        <v>546</v>
      </c>
    </row>
    <row r="165" spans="23:24" x14ac:dyDescent="0.2">
      <c r="W165" s="256" t="s">
        <v>549</v>
      </c>
      <c r="X165" s="257" t="s">
        <v>548</v>
      </c>
    </row>
    <row r="166" spans="23:24" x14ac:dyDescent="0.2">
      <c r="W166" s="256" t="s">
        <v>551</v>
      </c>
      <c r="X166" s="257" t="s">
        <v>550</v>
      </c>
    </row>
    <row r="167" spans="23:24" x14ac:dyDescent="0.2">
      <c r="W167" s="256" t="s">
        <v>553</v>
      </c>
      <c r="X167" s="257" t="s">
        <v>552</v>
      </c>
    </row>
    <row r="168" spans="23:24" x14ac:dyDescent="0.2">
      <c r="W168" s="256" t="s">
        <v>555</v>
      </c>
      <c r="X168" s="257" t="s">
        <v>554</v>
      </c>
    </row>
    <row r="169" spans="23:24" x14ac:dyDescent="0.2">
      <c r="W169" s="256" t="s">
        <v>557</v>
      </c>
      <c r="X169" s="257" t="s">
        <v>556</v>
      </c>
    </row>
    <row r="170" spans="23:24" x14ac:dyDescent="0.2">
      <c r="W170" s="256" t="s">
        <v>559</v>
      </c>
      <c r="X170" s="257" t="s">
        <v>558</v>
      </c>
    </row>
    <row r="171" spans="23:24" x14ac:dyDescent="0.2">
      <c r="W171" s="256" t="s">
        <v>561</v>
      </c>
      <c r="X171" s="257" t="s">
        <v>560</v>
      </c>
    </row>
    <row r="172" spans="23:24" x14ac:dyDescent="0.2">
      <c r="W172" s="256" t="s">
        <v>563</v>
      </c>
      <c r="X172" s="257" t="s">
        <v>562</v>
      </c>
    </row>
    <row r="173" spans="23:24" x14ac:dyDescent="0.2">
      <c r="W173" s="256" t="s">
        <v>565</v>
      </c>
      <c r="X173" s="257" t="s">
        <v>564</v>
      </c>
    </row>
    <row r="174" spans="23:24" x14ac:dyDescent="0.2">
      <c r="W174" s="256" t="s">
        <v>567</v>
      </c>
      <c r="X174" s="257" t="s">
        <v>566</v>
      </c>
    </row>
    <row r="175" spans="23:24" x14ac:dyDescent="0.2">
      <c r="W175" s="256" t="s">
        <v>569</v>
      </c>
      <c r="X175" s="257" t="s">
        <v>568</v>
      </c>
    </row>
    <row r="176" spans="23:24" x14ac:dyDescent="0.2">
      <c r="W176" s="256" t="s">
        <v>571</v>
      </c>
      <c r="X176" s="257" t="s">
        <v>570</v>
      </c>
    </row>
    <row r="177" spans="23:24" x14ac:dyDescent="0.2">
      <c r="W177" s="256" t="s">
        <v>573</v>
      </c>
      <c r="X177" s="257" t="s">
        <v>572</v>
      </c>
    </row>
    <row r="178" spans="23:24" x14ac:dyDescent="0.2">
      <c r="W178" s="256" t="s">
        <v>575</v>
      </c>
      <c r="X178" s="257" t="s">
        <v>574</v>
      </c>
    </row>
    <row r="179" spans="23:24" x14ac:dyDescent="0.2">
      <c r="W179" s="256" t="s">
        <v>577</v>
      </c>
      <c r="X179" s="257" t="s">
        <v>576</v>
      </c>
    </row>
    <row r="180" spans="23:24" x14ac:dyDescent="0.2">
      <c r="W180" s="256" t="s">
        <v>579</v>
      </c>
      <c r="X180" s="257" t="s">
        <v>578</v>
      </c>
    </row>
    <row r="181" spans="23:24" x14ac:dyDescent="0.2">
      <c r="W181" s="256" t="s">
        <v>581</v>
      </c>
      <c r="X181" s="257" t="s">
        <v>580</v>
      </c>
    </row>
    <row r="182" spans="23:24" x14ac:dyDescent="0.2">
      <c r="W182" s="256" t="s">
        <v>583</v>
      </c>
      <c r="X182" s="257" t="s">
        <v>582</v>
      </c>
    </row>
    <row r="183" spans="23:24" x14ac:dyDescent="0.2">
      <c r="W183" s="256" t="s">
        <v>585</v>
      </c>
      <c r="X183" s="257" t="s">
        <v>584</v>
      </c>
    </row>
    <row r="184" spans="23:24" x14ac:dyDescent="0.2">
      <c r="W184" s="256" t="s">
        <v>587</v>
      </c>
      <c r="X184" s="257" t="s">
        <v>586</v>
      </c>
    </row>
    <row r="185" spans="23:24" x14ac:dyDescent="0.2">
      <c r="W185" s="256" t="s">
        <v>589</v>
      </c>
      <c r="X185" s="257" t="s">
        <v>588</v>
      </c>
    </row>
    <row r="186" spans="23:24" x14ac:dyDescent="0.2">
      <c r="W186" s="256" t="s">
        <v>591</v>
      </c>
      <c r="X186" s="257" t="s">
        <v>590</v>
      </c>
    </row>
    <row r="187" spans="23:24" x14ac:dyDescent="0.2">
      <c r="W187" s="256" t="s">
        <v>593</v>
      </c>
      <c r="X187" s="257" t="s">
        <v>592</v>
      </c>
    </row>
    <row r="188" spans="23:24" x14ac:dyDescent="0.2">
      <c r="W188" s="256" t="s">
        <v>595</v>
      </c>
      <c r="X188" s="257" t="s">
        <v>594</v>
      </c>
    </row>
    <row r="189" spans="23:24" x14ac:dyDescent="0.2">
      <c r="W189" s="256" t="s">
        <v>597</v>
      </c>
      <c r="X189" s="257" t="s">
        <v>596</v>
      </c>
    </row>
    <row r="190" spans="23:24" x14ac:dyDescent="0.2">
      <c r="W190" s="256" t="s">
        <v>599</v>
      </c>
      <c r="X190" s="257" t="s">
        <v>598</v>
      </c>
    </row>
    <row r="191" spans="23:24" x14ac:dyDescent="0.2">
      <c r="W191" s="256" t="s">
        <v>601</v>
      </c>
      <c r="X191" s="257" t="s">
        <v>600</v>
      </c>
    </row>
    <row r="192" spans="23:24" x14ac:dyDescent="0.2">
      <c r="W192" s="256" t="s">
        <v>603</v>
      </c>
      <c r="X192" s="257" t="s">
        <v>602</v>
      </c>
    </row>
    <row r="193" spans="23:24" x14ac:dyDescent="0.2">
      <c r="W193" s="256" t="s">
        <v>605</v>
      </c>
      <c r="X193" s="257" t="s">
        <v>604</v>
      </c>
    </row>
    <row r="194" spans="23:24" x14ac:dyDescent="0.2">
      <c r="W194" s="256" t="s">
        <v>607</v>
      </c>
      <c r="X194" s="257" t="s">
        <v>606</v>
      </c>
    </row>
    <row r="195" spans="23:24" x14ac:dyDescent="0.2">
      <c r="W195" s="256" t="s">
        <v>609</v>
      </c>
      <c r="X195" s="257" t="s">
        <v>608</v>
      </c>
    </row>
    <row r="196" spans="23:24" x14ac:dyDescent="0.2">
      <c r="W196" s="256" t="s">
        <v>611</v>
      </c>
      <c r="X196" s="257" t="s">
        <v>610</v>
      </c>
    </row>
    <row r="197" spans="23:24" x14ac:dyDescent="0.2">
      <c r="W197" s="256" t="s">
        <v>613</v>
      </c>
      <c r="X197" s="257" t="s">
        <v>612</v>
      </c>
    </row>
    <row r="198" spans="23:24" x14ac:dyDescent="0.2">
      <c r="W198" s="256" t="s">
        <v>615</v>
      </c>
      <c r="X198" s="257" t="s">
        <v>614</v>
      </c>
    </row>
    <row r="199" spans="23:24" x14ac:dyDescent="0.2">
      <c r="W199" s="256" t="s">
        <v>617</v>
      </c>
      <c r="X199" s="257" t="s">
        <v>616</v>
      </c>
    </row>
    <row r="200" spans="23:24" x14ac:dyDescent="0.2">
      <c r="W200" s="256" t="s">
        <v>619</v>
      </c>
      <c r="X200" s="257" t="s">
        <v>618</v>
      </c>
    </row>
    <row r="201" spans="23:24" x14ac:dyDescent="0.2">
      <c r="W201" s="256" t="s">
        <v>621</v>
      </c>
      <c r="X201" s="257" t="s">
        <v>620</v>
      </c>
    </row>
    <row r="202" spans="23:24" x14ac:dyDescent="0.2">
      <c r="W202" s="256" t="s">
        <v>623</v>
      </c>
      <c r="X202" s="257" t="s">
        <v>622</v>
      </c>
    </row>
    <row r="203" spans="23:24" x14ac:dyDescent="0.2">
      <c r="W203" s="256" t="s">
        <v>625</v>
      </c>
      <c r="X203" s="257" t="s">
        <v>624</v>
      </c>
    </row>
    <row r="204" spans="23:24" x14ac:dyDescent="0.2">
      <c r="W204" s="256" t="s">
        <v>627</v>
      </c>
      <c r="X204" s="257" t="s">
        <v>626</v>
      </c>
    </row>
    <row r="205" spans="23:24" x14ac:dyDescent="0.2">
      <c r="W205" s="256" t="s">
        <v>629</v>
      </c>
      <c r="X205" s="257" t="s">
        <v>628</v>
      </c>
    </row>
    <row r="206" spans="23:24" x14ac:dyDescent="0.2">
      <c r="W206" s="256" t="s">
        <v>631</v>
      </c>
      <c r="X206" s="257" t="s">
        <v>630</v>
      </c>
    </row>
    <row r="207" spans="23:24" x14ac:dyDescent="0.2">
      <c r="W207" s="256" t="s">
        <v>633</v>
      </c>
      <c r="X207" s="257" t="s">
        <v>632</v>
      </c>
    </row>
    <row r="208" spans="23:24" x14ac:dyDescent="0.2">
      <c r="W208" s="256" t="s">
        <v>635</v>
      </c>
      <c r="X208" s="257" t="s">
        <v>634</v>
      </c>
    </row>
    <row r="209" spans="23:24" x14ac:dyDescent="0.2">
      <c r="W209" s="256" t="s">
        <v>637</v>
      </c>
      <c r="X209" s="257" t="s">
        <v>636</v>
      </c>
    </row>
    <row r="210" spans="23:24" x14ac:dyDescent="0.2">
      <c r="W210" s="256" t="s">
        <v>639</v>
      </c>
      <c r="X210" s="257" t="s">
        <v>638</v>
      </c>
    </row>
    <row r="211" spans="23:24" x14ac:dyDescent="0.2">
      <c r="W211" s="256" t="s">
        <v>641</v>
      </c>
      <c r="X211" s="257" t="s">
        <v>640</v>
      </c>
    </row>
    <row r="212" spans="23:24" x14ac:dyDescent="0.2">
      <c r="W212" s="256" t="s">
        <v>643</v>
      </c>
      <c r="X212" s="257" t="s">
        <v>642</v>
      </c>
    </row>
    <row r="213" spans="23:24" x14ac:dyDescent="0.2">
      <c r="W213" s="256" t="s">
        <v>645</v>
      </c>
      <c r="X213" s="257" t="s">
        <v>644</v>
      </c>
    </row>
    <row r="214" spans="23:24" x14ac:dyDescent="0.2">
      <c r="W214" s="256" t="s">
        <v>647</v>
      </c>
      <c r="X214" s="257" t="s">
        <v>646</v>
      </c>
    </row>
    <row r="215" spans="23:24" x14ac:dyDescent="0.2">
      <c r="W215" s="256" t="s">
        <v>649</v>
      </c>
      <c r="X215" s="257" t="s">
        <v>648</v>
      </c>
    </row>
    <row r="216" spans="23:24" x14ac:dyDescent="0.2">
      <c r="W216" s="256" t="s">
        <v>651</v>
      </c>
      <c r="X216" s="257" t="s">
        <v>650</v>
      </c>
    </row>
    <row r="217" spans="23:24" x14ac:dyDescent="0.2">
      <c r="W217" s="256" t="s">
        <v>653</v>
      </c>
      <c r="X217" s="257" t="s">
        <v>652</v>
      </c>
    </row>
    <row r="218" spans="23:24" x14ac:dyDescent="0.2">
      <c r="W218" s="256" t="s">
        <v>655</v>
      </c>
      <c r="X218" s="257" t="s">
        <v>654</v>
      </c>
    </row>
    <row r="219" spans="23:24" x14ac:dyDescent="0.2">
      <c r="W219" s="256" t="s">
        <v>657</v>
      </c>
      <c r="X219" s="257" t="s">
        <v>656</v>
      </c>
    </row>
    <row r="220" spans="23:24" x14ac:dyDescent="0.2">
      <c r="W220" s="256" t="s">
        <v>659</v>
      </c>
      <c r="X220" s="257" t="s">
        <v>658</v>
      </c>
    </row>
    <row r="221" spans="23:24" x14ac:dyDescent="0.2">
      <c r="W221" s="256" t="s">
        <v>661</v>
      </c>
      <c r="X221" s="257" t="s">
        <v>660</v>
      </c>
    </row>
    <row r="222" spans="23:24" x14ac:dyDescent="0.2">
      <c r="W222" s="256" t="s">
        <v>663</v>
      </c>
      <c r="X222" s="257" t="s">
        <v>662</v>
      </c>
    </row>
    <row r="223" spans="23:24" x14ac:dyDescent="0.2">
      <c r="W223" s="256" t="s">
        <v>665</v>
      </c>
      <c r="X223" s="257" t="s">
        <v>664</v>
      </c>
    </row>
    <row r="224" spans="23:24" x14ac:dyDescent="0.2">
      <c r="W224" s="256" t="s">
        <v>667</v>
      </c>
      <c r="X224" s="257" t="s">
        <v>666</v>
      </c>
    </row>
    <row r="225" spans="23:24" x14ac:dyDescent="0.2">
      <c r="W225" s="256" t="s">
        <v>669</v>
      </c>
      <c r="X225" s="257" t="s">
        <v>668</v>
      </c>
    </row>
    <row r="226" spans="23:24" x14ac:dyDescent="0.2">
      <c r="W226" s="256" t="s">
        <v>671</v>
      </c>
      <c r="X226" s="257" t="s">
        <v>670</v>
      </c>
    </row>
    <row r="227" spans="23:24" x14ac:dyDescent="0.2">
      <c r="W227" s="256" t="s">
        <v>673</v>
      </c>
      <c r="X227" s="257" t="s">
        <v>672</v>
      </c>
    </row>
    <row r="228" spans="23:24" x14ac:dyDescent="0.2">
      <c r="W228" s="256" t="s">
        <v>675</v>
      </c>
      <c r="X228" s="257" t="s">
        <v>674</v>
      </c>
    </row>
    <row r="229" spans="23:24" x14ac:dyDescent="0.2">
      <c r="W229" s="256" t="s">
        <v>677</v>
      </c>
      <c r="X229" s="257" t="s">
        <v>676</v>
      </c>
    </row>
    <row r="230" spans="23:24" x14ac:dyDescent="0.2">
      <c r="W230" s="256" t="s">
        <v>679</v>
      </c>
      <c r="X230" s="257" t="s">
        <v>678</v>
      </c>
    </row>
    <row r="231" spans="23:24" x14ac:dyDescent="0.2">
      <c r="W231" s="256" t="s">
        <v>681</v>
      </c>
      <c r="X231" s="257" t="s">
        <v>680</v>
      </c>
    </row>
    <row r="232" spans="23:24" x14ac:dyDescent="0.2">
      <c r="W232" s="256" t="s">
        <v>683</v>
      </c>
      <c r="X232" s="257" t="s">
        <v>682</v>
      </c>
    </row>
    <row r="233" spans="23:24" x14ac:dyDescent="0.2">
      <c r="W233" s="256" t="s">
        <v>685</v>
      </c>
      <c r="X233" s="257" t="s">
        <v>684</v>
      </c>
    </row>
    <row r="234" spans="23:24" x14ac:dyDescent="0.2">
      <c r="W234" s="256" t="s">
        <v>687</v>
      </c>
      <c r="X234" s="257" t="s">
        <v>686</v>
      </c>
    </row>
    <row r="235" spans="23:24" x14ac:dyDescent="0.2">
      <c r="W235" s="256" t="s">
        <v>689</v>
      </c>
      <c r="X235" s="257" t="s">
        <v>688</v>
      </c>
    </row>
    <row r="236" spans="23:24" x14ac:dyDescent="0.2">
      <c r="W236" s="256" t="s">
        <v>691</v>
      </c>
      <c r="X236" s="257" t="s">
        <v>690</v>
      </c>
    </row>
    <row r="237" spans="23:24" x14ac:dyDescent="0.2">
      <c r="W237" s="256" t="s">
        <v>693</v>
      </c>
      <c r="X237" s="257" t="s">
        <v>692</v>
      </c>
    </row>
    <row r="238" spans="23:24" x14ac:dyDescent="0.2">
      <c r="W238" s="256" t="s">
        <v>695</v>
      </c>
      <c r="X238" s="257" t="s">
        <v>694</v>
      </c>
    </row>
    <row r="239" spans="23:24" x14ac:dyDescent="0.2">
      <c r="W239" s="256" t="s">
        <v>697</v>
      </c>
      <c r="X239" s="257" t="s">
        <v>696</v>
      </c>
    </row>
    <row r="240" spans="23:24" x14ac:dyDescent="0.2">
      <c r="W240" s="256" t="s">
        <v>699</v>
      </c>
      <c r="X240" s="257" t="s">
        <v>698</v>
      </c>
    </row>
    <row r="241" spans="23:24" x14ac:dyDescent="0.2">
      <c r="W241" s="256" t="s">
        <v>701</v>
      </c>
      <c r="X241" s="257" t="s">
        <v>700</v>
      </c>
    </row>
    <row r="242" spans="23:24" x14ac:dyDescent="0.2">
      <c r="W242" s="256" t="s">
        <v>703</v>
      </c>
      <c r="X242" s="257" t="s">
        <v>702</v>
      </c>
    </row>
    <row r="243" spans="23:24" x14ac:dyDescent="0.2">
      <c r="W243" s="256" t="s">
        <v>705</v>
      </c>
      <c r="X243" s="257" t="s">
        <v>704</v>
      </c>
    </row>
    <row r="244" spans="23:24" x14ac:dyDescent="0.2">
      <c r="W244" s="256" t="s">
        <v>707</v>
      </c>
      <c r="X244" s="257" t="s">
        <v>706</v>
      </c>
    </row>
    <row r="245" spans="23:24" x14ac:dyDescent="0.2">
      <c r="W245" s="256" t="s">
        <v>709</v>
      </c>
      <c r="X245" s="257" t="s">
        <v>708</v>
      </c>
    </row>
    <row r="246" spans="23:24" x14ac:dyDescent="0.2">
      <c r="W246" s="256" t="s">
        <v>711</v>
      </c>
      <c r="X246" s="257" t="s">
        <v>710</v>
      </c>
    </row>
    <row r="247" spans="23:24" x14ac:dyDescent="0.2">
      <c r="W247" s="256" t="s">
        <v>713</v>
      </c>
      <c r="X247" s="257" t="s">
        <v>712</v>
      </c>
    </row>
    <row r="248" spans="23:24" x14ac:dyDescent="0.2">
      <c r="W248" s="256" t="s">
        <v>715</v>
      </c>
      <c r="X248" s="257" t="s">
        <v>714</v>
      </c>
    </row>
    <row r="249" spans="23:24" x14ac:dyDescent="0.2">
      <c r="W249" s="256" t="s">
        <v>717</v>
      </c>
      <c r="X249" s="257" t="s">
        <v>716</v>
      </c>
    </row>
    <row r="250" spans="23:24" x14ac:dyDescent="0.2">
      <c r="W250" s="256" t="s">
        <v>719</v>
      </c>
      <c r="X250" s="257" t="s">
        <v>718</v>
      </c>
    </row>
    <row r="251" spans="23:24" x14ac:dyDescent="0.2">
      <c r="W251" s="256" t="s">
        <v>721</v>
      </c>
      <c r="X251" s="257" t="s">
        <v>720</v>
      </c>
    </row>
    <row r="252" spans="23:24" x14ac:dyDescent="0.2">
      <c r="W252" s="256" t="s">
        <v>723</v>
      </c>
      <c r="X252" s="257" t="s">
        <v>722</v>
      </c>
    </row>
    <row r="253" spans="23:24" x14ac:dyDescent="0.2">
      <c r="W253" s="256" t="s">
        <v>725</v>
      </c>
      <c r="X253" s="257" t="s">
        <v>724</v>
      </c>
    </row>
    <row r="254" spans="23:24" x14ac:dyDescent="0.2">
      <c r="W254" s="256" t="s">
        <v>727</v>
      </c>
      <c r="X254" s="257" t="s">
        <v>726</v>
      </c>
    </row>
    <row r="255" spans="23:24" x14ac:dyDescent="0.2">
      <c r="W255" s="256" t="s">
        <v>729</v>
      </c>
      <c r="X255" s="257" t="s">
        <v>728</v>
      </c>
    </row>
    <row r="256" spans="23:24" x14ac:dyDescent="0.2">
      <c r="W256" s="256" t="s">
        <v>731</v>
      </c>
      <c r="X256" s="257" t="s">
        <v>730</v>
      </c>
    </row>
    <row r="257" spans="23:24" x14ac:dyDescent="0.2">
      <c r="W257" s="256" t="s">
        <v>733</v>
      </c>
      <c r="X257" s="257" t="s">
        <v>732</v>
      </c>
    </row>
    <row r="258" spans="23:24" x14ac:dyDescent="0.2">
      <c r="W258" s="256" t="s">
        <v>735</v>
      </c>
      <c r="X258" s="257" t="s">
        <v>734</v>
      </c>
    </row>
    <row r="259" spans="23:24" x14ac:dyDescent="0.2">
      <c r="W259" s="256" t="s">
        <v>737</v>
      </c>
      <c r="X259" s="257" t="s">
        <v>736</v>
      </c>
    </row>
    <row r="260" spans="23:24" x14ac:dyDescent="0.2">
      <c r="W260" s="256" t="s">
        <v>739</v>
      </c>
      <c r="X260" s="257" t="s">
        <v>738</v>
      </c>
    </row>
    <row r="261" spans="23:24" x14ac:dyDescent="0.2">
      <c r="W261" s="256" t="s">
        <v>741</v>
      </c>
      <c r="X261" s="257" t="s">
        <v>740</v>
      </c>
    </row>
    <row r="262" spans="23:24" x14ac:dyDescent="0.2">
      <c r="W262" s="256" t="s">
        <v>743</v>
      </c>
      <c r="X262" s="257" t="s">
        <v>742</v>
      </c>
    </row>
    <row r="263" spans="23:24" x14ac:dyDescent="0.2">
      <c r="W263" s="256" t="s">
        <v>745</v>
      </c>
      <c r="X263" s="257" t="s">
        <v>744</v>
      </c>
    </row>
    <row r="264" spans="23:24" x14ac:dyDescent="0.2">
      <c r="W264" s="256" t="s">
        <v>747</v>
      </c>
      <c r="X264" s="257" t="s">
        <v>746</v>
      </c>
    </row>
    <row r="265" spans="23:24" x14ac:dyDescent="0.2">
      <c r="W265" s="256" t="s">
        <v>749</v>
      </c>
      <c r="X265" s="257" t="s">
        <v>748</v>
      </c>
    </row>
    <row r="266" spans="23:24" x14ac:dyDescent="0.2">
      <c r="W266" s="256" t="s">
        <v>751</v>
      </c>
      <c r="X266" s="257" t="s">
        <v>750</v>
      </c>
    </row>
    <row r="267" spans="23:24" x14ac:dyDescent="0.2">
      <c r="W267" s="256" t="s">
        <v>753</v>
      </c>
      <c r="X267" s="257" t="s">
        <v>752</v>
      </c>
    </row>
    <row r="268" spans="23:24" x14ac:dyDescent="0.2">
      <c r="W268" s="256" t="s">
        <v>755</v>
      </c>
      <c r="X268" s="257" t="s">
        <v>754</v>
      </c>
    </row>
    <row r="269" spans="23:24" x14ac:dyDescent="0.2">
      <c r="W269" s="256" t="s">
        <v>757</v>
      </c>
      <c r="X269" s="257" t="s">
        <v>756</v>
      </c>
    </row>
    <row r="270" spans="23:24" x14ac:dyDescent="0.2">
      <c r="W270" s="256" t="s">
        <v>759</v>
      </c>
      <c r="X270" s="257" t="s">
        <v>758</v>
      </c>
    </row>
    <row r="271" spans="23:24" x14ac:dyDescent="0.2">
      <c r="W271" s="256" t="s">
        <v>761</v>
      </c>
      <c r="X271" s="257" t="s">
        <v>760</v>
      </c>
    </row>
    <row r="272" spans="23:24" x14ac:dyDescent="0.2">
      <c r="W272" s="256" t="s">
        <v>763</v>
      </c>
      <c r="X272" s="257" t="s">
        <v>762</v>
      </c>
    </row>
    <row r="273" spans="23:24" x14ac:dyDescent="0.2">
      <c r="W273" s="256" t="s">
        <v>765</v>
      </c>
      <c r="X273" s="257" t="s">
        <v>764</v>
      </c>
    </row>
    <row r="274" spans="23:24" x14ac:dyDescent="0.2">
      <c r="W274" s="256" t="s">
        <v>767</v>
      </c>
      <c r="X274" s="257" t="s">
        <v>766</v>
      </c>
    </row>
    <row r="275" spans="23:24" x14ac:dyDescent="0.2">
      <c r="W275" s="256" t="s">
        <v>769</v>
      </c>
      <c r="X275" s="257" t="s">
        <v>768</v>
      </c>
    </row>
    <row r="276" spans="23:24" x14ac:dyDescent="0.2">
      <c r="W276" s="256" t="s">
        <v>771</v>
      </c>
      <c r="X276" s="257" t="s">
        <v>770</v>
      </c>
    </row>
    <row r="277" spans="23:24" x14ac:dyDescent="0.2">
      <c r="W277" s="256" t="s">
        <v>773</v>
      </c>
      <c r="X277" s="257" t="s">
        <v>772</v>
      </c>
    </row>
    <row r="278" spans="23:24" x14ac:dyDescent="0.2">
      <c r="W278" s="256" t="s">
        <v>775</v>
      </c>
      <c r="X278" s="257" t="s">
        <v>774</v>
      </c>
    </row>
    <row r="279" spans="23:24" x14ac:dyDescent="0.2">
      <c r="W279" s="256" t="s">
        <v>777</v>
      </c>
      <c r="X279" s="257" t="s">
        <v>776</v>
      </c>
    </row>
    <row r="280" spans="23:24" x14ac:dyDescent="0.2">
      <c r="W280" s="256" t="s">
        <v>779</v>
      </c>
      <c r="X280" s="257" t="s">
        <v>778</v>
      </c>
    </row>
    <row r="281" spans="23:24" x14ac:dyDescent="0.2">
      <c r="W281" s="256" t="s">
        <v>781</v>
      </c>
      <c r="X281" s="257" t="s">
        <v>780</v>
      </c>
    </row>
    <row r="282" spans="23:24" x14ac:dyDescent="0.2">
      <c r="W282" s="256" t="s">
        <v>783</v>
      </c>
      <c r="X282" s="257" t="s">
        <v>782</v>
      </c>
    </row>
    <row r="283" spans="23:24" x14ac:dyDescent="0.2">
      <c r="W283" s="256" t="s">
        <v>785</v>
      </c>
      <c r="X283" s="257" t="s">
        <v>784</v>
      </c>
    </row>
    <row r="284" spans="23:24" x14ac:dyDescent="0.2">
      <c r="W284" s="256" t="s">
        <v>787</v>
      </c>
      <c r="X284" s="257" t="s">
        <v>786</v>
      </c>
    </row>
    <row r="285" spans="23:24" x14ac:dyDescent="0.2">
      <c r="W285" s="256" t="s">
        <v>789</v>
      </c>
      <c r="X285" s="257" t="s">
        <v>788</v>
      </c>
    </row>
    <row r="286" spans="23:24" x14ac:dyDescent="0.2">
      <c r="W286" s="256" t="s">
        <v>791</v>
      </c>
      <c r="X286" s="257" t="s">
        <v>790</v>
      </c>
    </row>
    <row r="287" spans="23:24" x14ac:dyDescent="0.2">
      <c r="W287" s="256" t="s">
        <v>793</v>
      </c>
      <c r="X287" s="257" t="s">
        <v>792</v>
      </c>
    </row>
    <row r="288" spans="23:24" x14ac:dyDescent="0.2">
      <c r="W288" s="256" t="s">
        <v>795</v>
      </c>
      <c r="X288" s="257" t="s">
        <v>794</v>
      </c>
    </row>
    <row r="289" spans="23:24" x14ac:dyDescent="0.2">
      <c r="W289" s="256" t="s">
        <v>797</v>
      </c>
      <c r="X289" s="257" t="s">
        <v>796</v>
      </c>
    </row>
    <row r="290" spans="23:24" x14ac:dyDescent="0.2">
      <c r="W290" s="256" t="s">
        <v>799</v>
      </c>
      <c r="X290" s="257" t="s">
        <v>798</v>
      </c>
    </row>
    <row r="291" spans="23:24" x14ac:dyDescent="0.2">
      <c r="W291" s="256" t="s">
        <v>801</v>
      </c>
      <c r="X291" s="257" t="s">
        <v>800</v>
      </c>
    </row>
    <row r="292" spans="23:24" x14ac:dyDescent="0.2">
      <c r="W292" s="256" t="s">
        <v>803</v>
      </c>
      <c r="X292" s="257" t="s">
        <v>802</v>
      </c>
    </row>
    <row r="293" spans="23:24" x14ac:dyDescent="0.2">
      <c r="W293" s="256" t="s">
        <v>805</v>
      </c>
      <c r="X293" s="257" t="s">
        <v>804</v>
      </c>
    </row>
    <row r="294" spans="23:24" x14ac:dyDescent="0.2">
      <c r="W294" s="256" t="s">
        <v>807</v>
      </c>
      <c r="X294" s="257" t="s">
        <v>806</v>
      </c>
    </row>
    <row r="295" spans="23:24" x14ac:dyDescent="0.2">
      <c r="W295" s="256" t="s">
        <v>809</v>
      </c>
      <c r="X295" s="257" t="s">
        <v>808</v>
      </c>
    </row>
    <row r="296" spans="23:24" x14ac:dyDescent="0.2">
      <c r="W296" s="256" t="s">
        <v>811</v>
      </c>
      <c r="X296" s="257" t="s">
        <v>810</v>
      </c>
    </row>
    <row r="297" spans="23:24" x14ac:dyDescent="0.2">
      <c r="W297" s="256" t="s">
        <v>813</v>
      </c>
      <c r="X297" s="257" t="s">
        <v>812</v>
      </c>
    </row>
    <row r="298" spans="23:24" x14ac:dyDescent="0.2">
      <c r="W298" s="256" t="s">
        <v>815</v>
      </c>
      <c r="X298" s="257" t="s">
        <v>814</v>
      </c>
    </row>
    <row r="299" spans="23:24" x14ac:dyDescent="0.2">
      <c r="W299" s="256" t="s">
        <v>817</v>
      </c>
      <c r="X299" s="257" t="s">
        <v>816</v>
      </c>
    </row>
    <row r="300" spans="23:24" x14ac:dyDescent="0.2">
      <c r="W300" s="256" t="s">
        <v>819</v>
      </c>
      <c r="X300" s="257" t="s">
        <v>818</v>
      </c>
    </row>
    <row r="301" spans="23:24" x14ac:dyDescent="0.2">
      <c r="W301" s="256" t="s">
        <v>821</v>
      </c>
      <c r="X301" s="257" t="s">
        <v>820</v>
      </c>
    </row>
    <row r="302" spans="23:24" x14ac:dyDescent="0.2">
      <c r="W302" s="256" t="s">
        <v>823</v>
      </c>
      <c r="X302" s="257" t="s">
        <v>822</v>
      </c>
    </row>
    <row r="303" spans="23:24" x14ac:dyDescent="0.2">
      <c r="W303" s="256" t="s">
        <v>825</v>
      </c>
      <c r="X303" s="257" t="s">
        <v>824</v>
      </c>
    </row>
    <row r="304" spans="23:24" x14ac:dyDescent="0.2">
      <c r="W304" s="256" t="s">
        <v>827</v>
      </c>
      <c r="X304" s="257" t="s">
        <v>826</v>
      </c>
    </row>
    <row r="305" spans="23:24" x14ac:dyDescent="0.2">
      <c r="W305" s="256" t="s">
        <v>829</v>
      </c>
      <c r="X305" s="257" t="s">
        <v>828</v>
      </c>
    </row>
    <row r="306" spans="23:24" x14ac:dyDescent="0.2">
      <c r="W306" s="256" t="s">
        <v>831</v>
      </c>
      <c r="X306" s="257" t="s">
        <v>830</v>
      </c>
    </row>
    <row r="307" spans="23:24" x14ac:dyDescent="0.2">
      <c r="W307" s="256" t="s">
        <v>833</v>
      </c>
      <c r="X307" s="257" t="s">
        <v>832</v>
      </c>
    </row>
    <row r="308" spans="23:24" x14ac:dyDescent="0.2">
      <c r="W308" s="256" t="s">
        <v>835</v>
      </c>
      <c r="X308" s="257" t="s">
        <v>834</v>
      </c>
    </row>
    <row r="309" spans="23:24" x14ac:dyDescent="0.2">
      <c r="W309" s="256" t="s">
        <v>837</v>
      </c>
      <c r="X309" s="257" t="s">
        <v>836</v>
      </c>
    </row>
    <row r="310" spans="23:24" x14ac:dyDescent="0.2">
      <c r="W310" s="256" t="s">
        <v>839</v>
      </c>
      <c r="X310" s="257" t="s">
        <v>838</v>
      </c>
    </row>
    <row r="311" spans="23:24" x14ac:dyDescent="0.2">
      <c r="W311" s="256" t="s">
        <v>841</v>
      </c>
      <c r="X311" s="257" t="s">
        <v>840</v>
      </c>
    </row>
    <row r="312" spans="23:24" x14ac:dyDescent="0.2">
      <c r="W312" s="256" t="s">
        <v>843</v>
      </c>
      <c r="X312" s="257" t="s">
        <v>842</v>
      </c>
    </row>
    <row r="313" spans="23:24" x14ac:dyDescent="0.2">
      <c r="W313" s="256" t="s">
        <v>845</v>
      </c>
      <c r="X313" s="257" t="s">
        <v>844</v>
      </c>
    </row>
    <row r="314" spans="23:24" x14ac:dyDescent="0.2">
      <c r="W314" s="256" t="s">
        <v>847</v>
      </c>
      <c r="X314" s="257" t="s">
        <v>846</v>
      </c>
    </row>
    <row r="315" spans="23:24" x14ac:dyDescent="0.2">
      <c r="W315" s="256" t="s">
        <v>849</v>
      </c>
      <c r="X315" s="257" t="s">
        <v>848</v>
      </c>
    </row>
    <row r="316" spans="23:24" x14ac:dyDescent="0.2">
      <c r="W316" s="256" t="s">
        <v>851</v>
      </c>
      <c r="X316" s="257" t="s">
        <v>850</v>
      </c>
    </row>
    <row r="317" spans="23:24" x14ac:dyDescent="0.2">
      <c r="W317" s="256" t="s">
        <v>853</v>
      </c>
      <c r="X317" s="257" t="s">
        <v>852</v>
      </c>
    </row>
    <row r="318" spans="23:24" x14ac:dyDescent="0.2">
      <c r="W318" s="256" t="s">
        <v>855</v>
      </c>
      <c r="X318" s="257" t="s">
        <v>854</v>
      </c>
    </row>
    <row r="319" spans="23:24" x14ac:dyDescent="0.2">
      <c r="W319" s="256" t="s">
        <v>857</v>
      </c>
      <c r="X319" s="257" t="s">
        <v>856</v>
      </c>
    </row>
    <row r="320" spans="23:24" x14ac:dyDescent="0.2">
      <c r="W320" s="256" t="s">
        <v>859</v>
      </c>
      <c r="X320" s="257" t="s">
        <v>858</v>
      </c>
    </row>
    <row r="321" spans="23:24" x14ac:dyDescent="0.2">
      <c r="W321" s="256" t="s">
        <v>861</v>
      </c>
      <c r="X321" s="257" t="s">
        <v>860</v>
      </c>
    </row>
    <row r="322" spans="23:24" x14ac:dyDescent="0.2">
      <c r="W322" s="256" t="s">
        <v>863</v>
      </c>
      <c r="X322" s="257" t="s">
        <v>862</v>
      </c>
    </row>
    <row r="323" spans="23:24" x14ac:dyDescent="0.2">
      <c r="W323" s="256" t="s">
        <v>865</v>
      </c>
      <c r="X323" s="257" t="s">
        <v>864</v>
      </c>
    </row>
    <row r="324" spans="23:24" x14ac:dyDescent="0.2">
      <c r="W324" s="256" t="s">
        <v>867</v>
      </c>
      <c r="X324" s="257" t="s">
        <v>866</v>
      </c>
    </row>
    <row r="325" spans="23:24" x14ac:dyDescent="0.2">
      <c r="W325" s="256" t="s">
        <v>869</v>
      </c>
      <c r="X325" s="257" t="s">
        <v>868</v>
      </c>
    </row>
    <row r="326" spans="23:24" x14ac:dyDescent="0.2">
      <c r="W326" s="256" t="s">
        <v>871</v>
      </c>
      <c r="X326" s="257" t="s">
        <v>870</v>
      </c>
    </row>
    <row r="327" spans="23:24" x14ac:dyDescent="0.2">
      <c r="W327" s="256" t="s">
        <v>873</v>
      </c>
      <c r="X327" s="257" t="s">
        <v>872</v>
      </c>
    </row>
    <row r="328" spans="23:24" x14ac:dyDescent="0.2">
      <c r="W328" s="256" t="s">
        <v>875</v>
      </c>
      <c r="X328" s="257" t="s">
        <v>874</v>
      </c>
    </row>
    <row r="329" spans="23:24" x14ac:dyDescent="0.2">
      <c r="W329" s="256" t="s">
        <v>877</v>
      </c>
      <c r="X329" s="257" t="s">
        <v>876</v>
      </c>
    </row>
    <row r="330" spans="23:24" x14ac:dyDescent="0.2">
      <c r="W330" s="256" t="s">
        <v>879</v>
      </c>
      <c r="X330" s="257" t="s">
        <v>878</v>
      </c>
    </row>
    <row r="331" spans="23:24" x14ac:dyDescent="0.2">
      <c r="W331" s="256" t="s">
        <v>881</v>
      </c>
      <c r="X331" s="257" t="s">
        <v>880</v>
      </c>
    </row>
    <row r="332" spans="23:24" x14ac:dyDescent="0.2">
      <c r="W332" s="256" t="s">
        <v>883</v>
      </c>
      <c r="X332" s="257" t="s">
        <v>882</v>
      </c>
    </row>
    <row r="333" spans="23:24" x14ac:dyDescent="0.2">
      <c r="W333" s="256" t="s">
        <v>885</v>
      </c>
      <c r="X333" s="257" t="s">
        <v>884</v>
      </c>
    </row>
    <row r="334" spans="23:24" x14ac:dyDescent="0.2">
      <c r="W334" s="256" t="s">
        <v>887</v>
      </c>
      <c r="X334" s="257" t="s">
        <v>886</v>
      </c>
    </row>
    <row r="335" spans="23:24" x14ac:dyDescent="0.2">
      <c r="W335" s="256" t="s">
        <v>889</v>
      </c>
      <c r="X335" s="257" t="s">
        <v>888</v>
      </c>
    </row>
    <row r="336" spans="23:24" x14ac:dyDescent="0.2">
      <c r="W336" s="256" t="s">
        <v>890</v>
      </c>
      <c r="X336" s="257" t="s">
        <v>888</v>
      </c>
    </row>
    <row r="337" spans="23:24" x14ac:dyDescent="0.2">
      <c r="W337" s="256" t="s">
        <v>892</v>
      </c>
      <c r="X337" s="257" t="s">
        <v>891</v>
      </c>
    </row>
    <row r="338" spans="23:24" x14ac:dyDescent="0.2">
      <c r="W338" s="256" t="s">
        <v>894</v>
      </c>
      <c r="X338" s="257" t="s">
        <v>893</v>
      </c>
    </row>
    <row r="339" spans="23:24" x14ac:dyDescent="0.2">
      <c r="W339" s="256" t="s">
        <v>896</v>
      </c>
      <c r="X339" s="257" t="s">
        <v>895</v>
      </c>
    </row>
    <row r="340" spans="23:24" x14ac:dyDescent="0.2">
      <c r="W340" s="256" t="s">
        <v>898</v>
      </c>
      <c r="X340" s="257" t="s">
        <v>897</v>
      </c>
    </row>
    <row r="341" spans="23:24" x14ac:dyDescent="0.2">
      <c r="W341" s="256" t="s">
        <v>900</v>
      </c>
      <c r="X341" s="257" t="s">
        <v>899</v>
      </c>
    </row>
    <row r="342" spans="23:24" x14ac:dyDescent="0.2">
      <c r="W342" s="256" t="s">
        <v>902</v>
      </c>
      <c r="X342" s="257" t="s">
        <v>901</v>
      </c>
    </row>
    <row r="343" spans="23:24" x14ac:dyDescent="0.2">
      <c r="W343" s="256" t="s">
        <v>904</v>
      </c>
      <c r="X343" s="257" t="s">
        <v>903</v>
      </c>
    </row>
    <row r="344" spans="23:24" x14ac:dyDescent="0.2">
      <c r="W344" s="256" t="s">
        <v>906</v>
      </c>
      <c r="X344" s="257" t="s">
        <v>905</v>
      </c>
    </row>
    <row r="345" spans="23:24" x14ac:dyDescent="0.2">
      <c r="W345" s="256" t="s">
        <v>908</v>
      </c>
      <c r="X345" s="257" t="s">
        <v>907</v>
      </c>
    </row>
    <row r="346" spans="23:24" x14ac:dyDescent="0.2">
      <c r="W346" s="256" t="s">
        <v>910</v>
      </c>
      <c r="X346" s="257" t="s">
        <v>909</v>
      </c>
    </row>
    <row r="347" spans="23:24" x14ac:dyDescent="0.2">
      <c r="W347" s="256" t="s">
        <v>912</v>
      </c>
      <c r="X347" s="257" t="s">
        <v>911</v>
      </c>
    </row>
    <row r="348" spans="23:24" x14ac:dyDescent="0.2">
      <c r="W348" s="256" t="s">
        <v>914</v>
      </c>
      <c r="X348" s="257" t="s">
        <v>913</v>
      </c>
    </row>
    <row r="349" spans="23:24" x14ac:dyDescent="0.2">
      <c r="W349" s="256" t="s">
        <v>916</v>
      </c>
      <c r="X349" s="257" t="s">
        <v>915</v>
      </c>
    </row>
    <row r="350" spans="23:24" x14ac:dyDescent="0.2">
      <c r="W350" s="256" t="s">
        <v>918</v>
      </c>
      <c r="X350" s="257" t="s">
        <v>917</v>
      </c>
    </row>
    <row r="351" spans="23:24" x14ac:dyDescent="0.2">
      <c r="W351" s="256" t="s">
        <v>920</v>
      </c>
      <c r="X351" s="257" t="s">
        <v>919</v>
      </c>
    </row>
    <row r="352" spans="23:24" x14ac:dyDescent="0.2">
      <c r="W352" s="256" t="s">
        <v>922</v>
      </c>
      <c r="X352" s="257" t="s">
        <v>921</v>
      </c>
    </row>
    <row r="353" spans="23:24" x14ac:dyDescent="0.2">
      <c r="W353" s="256" t="s">
        <v>924</v>
      </c>
      <c r="X353" s="257" t="s">
        <v>923</v>
      </c>
    </row>
    <row r="354" spans="23:24" x14ac:dyDescent="0.2">
      <c r="W354" s="256" t="s">
        <v>926</v>
      </c>
      <c r="X354" s="257" t="s">
        <v>925</v>
      </c>
    </row>
    <row r="355" spans="23:24" x14ac:dyDescent="0.2">
      <c r="W355" s="256" t="s">
        <v>928</v>
      </c>
      <c r="X355" s="257" t="s">
        <v>927</v>
      </c>
    </row>
    <row r="356" spans="23:24" x14ac:dyDescent="0.2">
      <c r="W356" s="256" t="s">
        <v>930</v>
      </c>
      <c r="X356" s="257" t="s">
        <v>929</v>
      </c>
    </row>
    <row r="357" spans="23:24" x14ac:dyDescent="0.2">
      <c r="W357" s="256" t="s">
        <v>932</v>
      </c>
      <c r="X357" s="257" t="s">
        <v>931</v>
      </c>
    </row>
    <row r="358" spans="23:24" x14ac:dyDescent="0.2">
      <c r="W358" s="256" t="s">
        <v>934</v>
      </c>
      <c r="X358" s="257" t="s">
        <v>933</v>
      </c>
    </row>
    <row r="359" spans="23:24" x14ac:dyDescent="0.2">
      <c r="W359" s="256" t="s">
        <v>936</v>
      </c>
      <c r="X359" s="257" t="s">
        <v>935</v>
      </c>
    </row>
    <row r="360" spans="23:24" x14ac:dyDescent="0.2">
      <c r="W360" s="256" t="s">
        <v>938</v>
      </c>
      <c r="X360" s="257" t="s">
        <v>937</v>
      </c>
    </row>
    <row r="361" spans="23:24" x14ac:dyDescent="0.2">
      <c r="W361" s="256" t="s">
        <v>940</v>
      </c>
      <c r="X361" s="257" t="s">
        <v>939</v>
      </c>
    </row>
    <row r="362" spans="23:24" x14ac:dyDescent="0.2">
      <c r="W362" s="256" t="s">
        <v>942</v>
      </c>
      <c r="X362" s="257" t="s">
        <v>941</v>
      </c>
    </row>
    <row r="363" spans="23:24" x14ac:dyDescent="0.2">
      <c r="W363" s="256" t="s">
        <v>944</v>
      </c>
      <c r="X363" s="257" t="s">
        <v>943</v>
      </c>
    </row>
    <row r="364" spans="23:24" x14ac:dyDescent="0.2">
      <c r="W364" s="256" t="s">
        <v>946</v>
      </c>
      <c r="X364" s="257" t="s">
        <v>945</v>
      </c>
    </row>
    <row r="365" spans="23:24" x14ac:dyDescent="0.2">
      <c r="W365" s="256" t="s">
        <v>948</v>
      </c>
      <c r="X365" s="257" t="s">
        <v>947</v>
      </c>
    </row>
    <row r="366" spans="23:24" x14ac:dyDescent="0.2">
      <c r="W366" s="256" t="s">
        <v>950</v>
      </c>
      <c r="X366" s="257" t="s">
        <v>949</v>
      </c>
    </row>
    <row r="367" spans="23:24" x14ac:dyDescent="0.2">
      <c r="W367" s="256" t="s">
        <v>952</v>
      </c>
      <c r="X367" s="257" t="s">
        <v>951</v>
      </c>
    </row>
    <row r="368" spans="23:24" x14ac:dyDescent="0.2">
      <c r="W368" s="256" t="s">
        <v>954</v>
      </c>
      <c r="X368" s="257" t="s">
        <v>953</v>
      </c>
    </row>
    <row r="369" spans="23:24" x14ac:dyDescent="0.2">
      <c r="W369" s="256" t="s">
        <v>956</v>
      </c>
      <c r="X369" s="257" t="s">
        <v>955</v>
      </c>
    </row>
    <row r="370" spans="23:24" x14ac:dyDescent="0.2">
      <c r="W370" s="256" t="s">
        <v>958</v>
      </c>
      <c r="X370" s="257" t="s">
        <v>957</v>
      </c>
    </row>
    <row r="371" spans="23:24" x14ac:dyDescent="0.2">
      <c r="W371" s="256" t="s">
        <v>960</v>
      </c>
      <c r="X371" s="257" t="s">
        <v>959</v>
      </c>
    </row>
    <row r="372" spans="23:24" x14ac:dyDescent="0.2">
      <c r="W372" s="256" t="s">
        <v>962</v>
      </c>
      <c r="X372" s="257" t="s">
        <v>961</v>
      </c>
    </row>
    <row r="373" spans="23:24" x14ac:dyDescent="0.2">
      <c r="W373" s="256" t="s">
        <v>964</v>
      </c>
      <c r="X373" s="257" t="s">
        <v>963</v>
      </c>
    </row>
    <row r="374" spans="23:24" x14ac:dyDescent="0.2">
      <c r="W374" s="256" t="s">
        <v>966</v>
      </c>
      <c r="X374" s="257" t="s">
        <v>965</v>
      </c>
    </row>
    <row r="375" spans="23:24" x14ac:dyDescent="0.2">
      <c r="W375" s="256" t="s">
        <v>968</v>
      </c>
      <c r="X375" s="257" t="s">
        <v>967</v>
      </c>
    </row>
    <row r="376" spans="23:24" x14ac:dyDescent="0.2">
      <c r="W376" s="256" t="s">
        <v>970</v>
      </c>
      <c r="X376" s="257" t="s">
        <v>969</v>
      </c>
    </row>
    <row r="377" spans="23:24" x14ac:dyDescent="0.2">
      <c r="W377" s="256" t="s">
        <v>972</v>
      </c>
      <c r="X377" s="257" t="s">
        <v>971</v>
      </c>
    </row>
    <row r="378" spans="23:24" x14ac:dyDescent="0.2">
      <c r="W378" s="256" t="s">
        <v>974</v>
      </c>
      <c r="X378" s="257" t="s">
        <v>973</v>
      </c>
    </row>
    <row r="379" spans="23:24" x14ac:dyDescent="0.2">
      <c r="W379" s="256" t="s">
        <v>976</v>
      </c>
      <c r="X379" s="257" t="s">
        <v>975</v>
      </c>
    </row>
    <row r="380" spans="23:24" x14ac:dyDescent="0.2">
      <c r="W380" s="256" t="s">
        <v>978</v>
      </c>
      <c r="X380" s="257" t="s">
        <v>977</v>
      </c>
    </row>
    <row r="381" spans="23:24" x14ac:dyDescent="0.2">
      <c r="W381" s="256" t="s">
        <v>980</v>
      </c>
      <c r="X381" s="257" t="s">
        <v>979</v>
      </c>
    </row>
    <row r="382" spans="23:24" x14ac:dyDescent="0.2">
      <c r="W382" s="256" t="s">
        <v>982</v>
      </c>
      <c r="X382" s="257" t="s">
        <v>981</v>
      </c>
    </row>
    <row r="383" spans="23:24" x14ac:dyDescent="0.2">
      <c r="W383" s="256" t="s">
        <v>984</v>
      </c>
      <c r="X383" s="257" t="s">
        <v>983</v>
      </c>
    </row>
    <row r="384" spans="23:24" x14ac:dyDescent="0.2">
      <c r="W384" s="256" t="s">
        <v>986</v>
      </c>
      <c r="X384" s="257" t="s">
        <v>985</v>
      </c>
    </row>
    <row r="385" spans="23:24" x14ac:dyDescent="0.2">
      <c r="W385" s="256" t="s">
        <v>988</v>
      </c>
      <c r="X385" s="257" t="s">
        <v>987</v>
      </c>
    </row>
    <row r="386" spans="23:24" x14ac:dyDescent="0.2">
      <c r="W386" s="256" t="s">
        <v>990</v>
      </c>
      <c r="X386" s="257" t="s">
        <v>989</v>
      </c>
    </row>
    <row r="387" spans="23:24" x14ac:dyDescent="0.2">
      <c r="W387" s="256" t="s">
        <v>992</v>
      </c>
      <c r="X387" s="257" t="s">
        <v>991</v>
      </c>
    </row>
    <row r="388" spans="23:24" x14ac:dyDescent="0.2">
      <c r="W388" s="256" t="s">
        <v>994</v>
      </c>
      <c r="X388" s="257" t="s">
        <v>993</v>
      </c>
    </row>
    <row r="389" spans="23:24" x14ac:dyDescent="0.2">
      <c r="W389" s="256" t="s">
        <v>996</v>
      </c>
      <c r="X389" s="257" t="s">
        <v>995</v>
      </c>
    </row>
    <row r="390" spans="23:24" x14ac:dyDescent="0.2">
      <c r="W390" s="256" t="s">
        <v>998</v>
      </c>
      <c r="X390" s="257" t="s">
        <v>997</v>
      </c>
    </row>
    <row r="391" spans="23:24" x14ac:dyDescent="0.2">
      <c r="W391" s="256" t="s">
        <v>1000</v>
      </c>
      <c r="X391" s="257" t="s">
        <v>999</v>
      </c>
    </row>
    <row r="392" spans="23:24" x14ac:dyDescent="0.2">
      <c r="W392" s="256" t="s">
        <v>1002</v>
      </c>
      <c r="X392" s="257" t="s">
        <v>1001</v>
      </c>
    </row>
    <row r="393" spans="23:24" x14ac:dyDescent="0.2">
      <c r="W393" s="256" t="s">
        <v>1004</v>
      </c>
      <c r="X393" s="257" t="s">
        <v>1003</v>
      </c>
    </row>
    <row r="394" spans="23:24" x14ac:dyDescent="0.2">
      <c r="W394" s="256" t="s">
        <v>1006</v>
      </c>
      <c r="X394" s="257" t="s">
        <v>1005</v>
      </c>
    </row>
    <row r="395" spans="23:24" x14ac:dyDescent="0.2">
      <c r="W395" s="256" t="s">
        <v>1008</v>
      </c>
      <c r="X395" s="257" t="s">
        <v>1007</v>
      </c>
    </row>
    <row r="396" spans="23:24" x14ac:dyDescent="0.2">
      <c r="W396" s="256" t="s">
        <v>1010</v>
      </c>
      <c r="X396" s="257" t="s">
        <v>1009</v>
      </c>
    </row>
    <row r="397" spans="23:24" x14ac:dyDescent="0.2">
      <c r="W397" s="256" t="s">
        <v>1012</v>
      </c>
      <c r="X397" s="257" t="s">
        <v>1011</v>
      </c>
    </row>
    <row r="398" spans="23:24" x14ac:dyDescent="0.2">
      <c r="W398" s="256" t="s">
        <v>1014</v>
      </c>
      <c r="X398" s="257" t="s">
        <v>1013</v>
      </c>
    </row>
    <row r="399" spans="23:24" x14ac:dyDescent="0.2">
      <c r="W399" s="256" t="s">
        <v>1016</v>
      </c>
      <c r="X399" s="257" t="s">
        <v>1015</v>
      </c>
    </row>
    <row r="400" spans="23:24" x14ac:dyDescent="0.2">
      <c r="W400" s="256" t="s">
        <v>1018</v>
      </c>
      <c r="X400" s="257" t="s">
        <v>1017</v>
      </c>
    </row>
    <row r="401" spans="23:24" x14ac:dyDescent="0.2">
      <c r="W401" s="256" t="s">
        <v>1020</v>
      </c>
      <c r="X401" s="257" t="s">
        <v>1019</v>
      </c>
    </row>
    <row r="402" spans="23:24" x14ac:dyDescent="0.2">
      <c r="W402" s="256" t="s">
        <v>1022</v>
      </c>
      <c r="X402" s="257" t="s">
        <v>1021</v>
      </c>
    </row>
    <row r="403" spans="23:24" x14ac:dyDescent="0.2">
      <c r="W403" s="256" t="s">
        <v>1024</v>
      </c>
      <c r="X403" s="257" t="s">
        <v>1023</v>
      </c>
    </row>
    <row r="404" spans="23:24" x14ac:dyDescent="0.2">
      <c r="W404" s="256" t="s">
        <v>1026</v>
      </c>
      <c r="X404" s="257" t="s">
        <v>1025</v>
      </c>
    </row>
    <row r="405" spans="23:24" x14ac:dyDescent="0.2">
      <c r="W405" s="256" t="s">
        <v>1028</v>
      </c>
      <c r="X405" s="257" t="s">
        <v>1027</v>
      </c>
    </row>
    <row r="406" spans="23:24" x14ac:dyDescent="0.2">
      <c r="W406" s="256" t="s">
        <v>1030</v>
      </c>
      <c r="X406" s="257" t="s">
        <v>1029</v>
      </c>
    </row>
    <row r="407" spans="23:24" x14ac:dyDescent="0.2">
      <c r="W407" s="256" t="s">
        <v>1032</v>
      </c>
      <c r="X407" s="257" t="s">
        <v>1031</v>
      </c>
    </row>
    <row r="408" spans="23:24" x14ac:dyDescent="0.2">
      <c r="W408" s="256" t="s">
        <v>1034</v>
      </c>
      <c r="X408" s="257" t="s">
        <v>1033</v>
      </c>
    </row>
    <row r="409" spans="23:24" x14ac:dyDescent="0.2">
      <c r="W409" s="256" t="s">
        <v>1036</v>
      </c>
      <c r="X409" s="257" t="s">
        <v>1035</v>
      </c>
    </row>
    <row r="410" spans="23:24" x14ac:dyDescent="0.2">
      <c r="W410" s="256" t="s">
        <v>1038</v>
      </c>
      <c r="X410" s="257" t="s">
        <v>1037</v>
      </c>
    </row>
    <row r="411" spans="23:24" x14ac:dyDescent="0.2">
      <c r="W411" s="256" t="s">
        <v>1040</v>
      </c>
      <c r="X411" s="257" t="s">
        <v>1039</v>
      </c>
    </row>
    <row r="412" spans="23:24" x14ac:dyDescent="0.2">
      <c r="W412" s="256" t="s">
        <v>1042</v>
      </c>
      <c r="X412" s="257" t="s">
        <v>1041</v>
      </c>
    </row>
    <row r="413" spans="23:24" x14ac:dyDescent="0.2">
      <c r="W413" s="256" t="s">
        <v>1044</v>
      </c>
      <c r="X413" s="257" t="s">
        <v>1043</v>
      </c>
    </row>
    <row r="414" spans="23:24" x14ac:dyDescent="0.2">
      <c r="W414" s="256" t="s">
        <v>1046</v>
      </c>
      <c r="X414" s="257" t="s">
        <v>1045</v>
      </c>
    </row>
    <row r="415" spans="23:24" x14ac:dyDescent="0.2">
      <c r="W415" s="256" t="s">
        <v>1048</v>
      </c>
      <c r="X415" s="257" t="s">
        <v>1047</v>
      </c>
    </row>
    <row r="416" spans="23:24" x14ac:dyDescent="0.2">
      <c r="W416" s="256" t="s">
        <v>1050</v>
      </c>
      <c r="X416" s="257" t="s">
        <v>1049</v>
      </c>
    </row>
    <row r="417" spans="23:24" x14ac:dyDescent="0.2">
      <c r="W417" s="256" t="s">
        <v>1052</v>
      </c>
      <c r="X417" s="257" t="s">
        <v>1051</v>
      </c>
    </row>
    <row r="418" spans="23:24" x14ac:dyDescent="0.2">
      <c r="W418" s="256" t="s">
        <v>1054</v>
      </c>
      <c r="X418" s="257" t="s">
        <v>1053</v>
      </c>
    </row>
    <row r="419" spans="23:24" x14ac:dyDescent="0.2">
      <c r="W419" s="256" t="s">
        <v>1056</v>
      </c>
      <c r="X419" s="257" t="s">
        <v>1055</v>
      </c>
    </row>
    <row r="420" spans="23:24" x14ac:dyDescent="0.2">
      <c r="W420" s="256" t="s">
        <v>1058</v>
      </c>
      <c r="X420" s="257" t="s">
        <v>1057</v>
      </c>
    </row>
    <row r="421" spans="23:24" x14ac:dyDescent="0.2">
      <c r="W421" s="256" t="s">
        <v>1060</v>
      </c>
      <c r="X421" s="257" t="s">
        <v>1059</v>
      </c>
    </row>
    <row r="422" spans="23:24" x14ac:dyDescent="0.2">
      <c r="W422" s="256" t="s">
        <v>1062</v>
      </c>
      <c r="X422" s="257" t="s">
        <v>1061</v>
      </c>
    </row>
    <row r="423" spans="23:24" x14ac:dyDescent="0.2">
      <c r="W423" s="256" t="s">
        <v>1064</v>
      </c>
      <c r="X423" s="257" t="s">
        <v>1063</v>
      </c>
    </row>
    <row r="424" spans="23:24" x14ac:dyDescent="0.2">
      <c r="W424" s="256" t="s">
        <v>1066</v>
      </c>
      <c r="X424" s="257" t="s">
        <v>1065</v>
      </c>
    </row>
    <row r="425" spans="23:24" x14ac:dyDescent="0.2">
      <c r="W425" s="256" t="s">
        <v>1068</v>
      </c>
      <c r="X425" s="257" t="s">
        <v>1067</v>
      </c>
    </row>
    <row r="426" spans="23:24" x14ac:dyDescent="0.2">
      <c r="W426" s="256" t="s">
        <v>1070</v>
      </c>
      <c r="X426" s="257" t="s">
        <v>1069</v>
      </c>
    </row>
    <row r="427" spans="23:24" x14ac:dyDescent="0.2">
      <c r="W427" s="256" t="s">
        <v>1072</v>
      </c>
      <c r="X427" s="257" t="s">
        <v>1071</v>
      </c>
    </row>
    <row r="428" spans="23:24" x14ac:dyDescent="0.2">
      <c r="W428" s="256" t="s">
        <v>1074</v>
      </c>
      <c r="X428" s="257" t="s">
        <v>1073</v>
      </c>
    </row>
    <row r="429" spans="23:24" x14ac:dyDescent="0.2">
      <c r="W429" s="256" t="s">
        <v>1076</v>
      </c>
      <c r="X429" s="257" t="s">
        <v>1075</v>
      </c>
    </row>
    <row r="430" spans="23:24" x14ac:dyDescent="0.2">
      <c r="W430" s="256" t="s">
        <v>1078</v>
      </c>
      <c r="X430" s="257" t="s">
        <v>1077</v>
      </c>
    </row>
    <row r="431" spans="23:24" x14ac:dyDescent="0.2">
      <c r="W431" s="256" t="s">
        <v>1080</v>
      </c>
      <c r="X431" s="257" t="s">
        <v>1079</v>
      </c>
    </row>
    <row r="432" spans="23:24" x14ac:dyDescent="0.2">
      <c r="W432" s="256" t="s">
        <v>1082</v>
      </c>
      <c r="X432" s="257" t="s">
        <v>1081</v>
      </c>
    </row>
    <row r="433" spans="23:24" x14ac:dyDescent="0.2">
      <c r="W433" s="256" t="s">
        <v>1084</v>
      </c>
      <c r="X433" s="257" t="s">
        <v>1083</v>
      </c>
    </row>
    <row r="434" spans="23:24" x14ac:dyDescent="0.2">
      <c r="W434" s="256" t="s">
        <v>1086</v>
      </c>
      <c r="X434" s="257" t="s">
        <v>1085</v>
      </c>
    </row>
    <row r="435" spans="23:24" x14ac:dyDescent="0.2">
      <c r="W435" s="256" t="s">
        <v>1088</v>
      </c>
      <c r="X435" s="257" t="s">
        <v>1087</v>
      </c>
    </row>
    <row r="436" spans="23:24" x14ac:dyDescent="0.2">
      <c r="W436" s="256" t="s">
        <v>1090</v>
      </c>
      <c r="X436" s="257" t="s">
        <v>1089</v>
      </c>
    </row>
    <row r="437" spans="23:24" x14ac:dyDescent="0.2">
      <c r="W437" s="256" t="s">
        <v>1092</v>
      </c>
      <c r="X437" s="257" t="s">
        <v>1091</v>
      </c>
    </row>
    <row r="438" spans="23:24" x14ac:dyDescent="0.2">
      <c r="W438" s="256" t="s">
        <v>1094</v>
      </c>
      <c r="X438" s="257" t="s">
        <v>1093</v>
      </c>
    </row>
    <row r="439" spans="23:24" x14ac:dyDescent="0.2">
      <c r="W439" s="256" t="s">
        <v>1096</v>
      </c>
      <c r="X439" s="257" t="s">
        <v>1095</v>
      </c>
    </row>
    <row r="440" spans="23:24" x14ac:dyDescent="0.2">
      <c r="W440" s="256" t="s">
        <v>1098</v>
      </c>
      <c r="X440" s="257" t="s">
        <v>1097</v>
      </c>
    </row>
    <row r="441" spans="23:24" x14ac:dyDescent="0.2">
      <c r="W441" s="256" t="s">
        <v>1100</v>
      </c>
      <c r="X441" s="257" t="s">
        <v>1099</v>
      </c>
    </row>
    <row r="442" spans="23:24" x14ac:dyDescent="0.2">
      <c r="W442" s="256" t="s">
        <v>1102</v>
      </c>
      <c r="X442" s="257" t="s">
        <v>1101</v>
      </c>
    </row>
    <row r="443" spans="23:24" x14ac:dyDescent="0.2">
      <c r="W443" s="256" t="s">
        <v>1104</v>
      </c>
      <c r="X443" s="257" t="s">
        <v>1103</v>
      </c>
    </row>
    <row r="444" spans="23:24" x14ac:dyDescent="0.2">
      <c r="W444" s="256" t="s">
        <v>1106</v>
      </c>
      <c r="X444" s="257" t="s">
        <v>1105</v>
      </c>
    </row>
    <row r="445" spans="23:24" x14ac:dyDescent="0.2">
      <c r="W445" s="256" t="s">
        <v>1108</v>
      </c>
      <c r="X445" s="257" t="s">
        <v>1107</v>
      </c>
    </row>
    <row r="446" spans="23:24" x14ac:dyDescent="0.2">
      <c r="W446" s="256" t="s">
        <v>1110</v>
      </c>
      <c r="X446" s="257" t="s">
        <v>1109</v>
      </c>
    </row>
    <row r="447" spans="23:24" x14ac:dyDescent="0.2">
      <c r="W447" s="256" t="s">
        <v>1112</v>
      </c>
      <c r="X447" s="257" t="s">
        <v>1111</v>
      </c>
    </row>
    <row r="448" spans="23:24" x14ac:dyDescent="0.2">
      <c r="W448" s="256" t="s">
        <v>1114</v>
      </c>
      <c r="X448" s="257" t="s">
        <v>1113</v>
      </c>
    </row>
    <row r="449" spans="23:24" x14ac:dyDescent="0.2">
      <c r="W449" s="256" t="s">
        <v>1116</v>
      </c>
      <c r="X449" s="257" t="s">
        <v>1115</v>
      </c>
    </row>
    <row r="450" spans="23:24" x14ac:dyDescent="0.2">
      <c r="W450" s="256" t="s">
        <v>1118</v>
      </c>
      <c r="X450" s="257" t="s">
        <v>1117</v>
      </c>
    </row>
    <row r="451" spans="23:24" x14ac:dyDescent="0.2">
      <c r="W451" s="256" t="s">
        <v>1120</v>
      </c>
      <c r="X451" s="257" t="s">
        <v>1119</v>
      </c>
    </row>
    <row r="452" spans="23:24" x14ac:dyDescent="0.2">
      <c r="W452" s="256" t="s">
        <v>1122</v>
      </c>
      <c r="X452" s="257" t="s">
        <v>1121</v>
      </c>
    </row>
    <row r="453" spans="23:24" x14ac:dyDescent="0.2">
      <c r="W453" s="256" t="s">
        <v>1124</v>
      </c>
      <c r="X453" s="257" t="s">
        <v>1123</v>
      </c>
    </row>
    <row r="454" spans="23:24" x14ac:dyDescent="0.2">
      <c r="W454" s="256" t="s">
        <v>1126</v>
      </c>
      <c r="X454" s="257" t="s">
        <v>1125</v>
      </c>
    </row>
    <row r="455" spans="23:24" x14ac:dyDescent="0.2">
      <c r="W455" s="256" t="s">
        <v>1128</v>
      </c>
      <c r="X455" s="257" t="s">
        <v>1127</v>
      </c>
    </row>
    <row r="456" spans="23:24" x14ac:dyDescent="0.2">
      <c r="W456" s="256" t="s">
        <v>1130</v>
      </c>
      <c r="X456" s="257" t="s">
        <v>1129</v>
      </c>
    </row>
    <row r="457" spans="23:24" x14ac:dyDescent="0.2">
      <c r="W457" s="256" t="s">
        <v>1132</v>
      </c>
      <c r="X457" s="257" t="s">
        <v>1131</v>
      </c>
    </row>
    <row r="458" spans="23:24" x14ac:dyDescent="0.2">
      <c r="W458" s="256" t="s">
        <v>1134</v>
      </c>
      <c r="X458" s="257" t="s">
        <v>1133</v>
      </c>
    </row>
    <row r="459" spans="23:24" x14ac:dyDescent="0.2">
      <c r="W459" s="256" t="s">
        <v>1136</v>
      </c>
      <c r="X459" s="257" t="s">
        <v>1135</v>
      </c>
    </row>
    <row r="460" spans="23:24" x14ac:dyDescent="0.2">
      <c r="W460" s="256" t="s">
        <v>1138</v>
      </c>
      <c r="X460" s="257" t="s">
        <v>1137</v>
      </c>
    </row>
    <row r="461" spans="23:24" x14ac:dyDescent="0.2">
      <c r="W461" s="256" t="s">
        <v>1140</v>
      </c>
      <c r="X461" s="257" t="s">
        <v>1139</v>
      </c>
    </row>
    <row r="462" spans="23:24" x14ac:dyDescent="0.2">
      <c r="W462" s="256" t="s">
        <v>1142</v>
      </c>
      <c r="X462" s="257" t="s">
        <v>1141</v>
      </c>
    </row>
    <row r="463" spans="23:24" x14ac:dyDescent="0.2">
      <c r="W463" s="256" t="s">
        <v>1144</v>
      </c>
      <c r="X463" s="257" t="s">
        <v>1143</v>
      </c>
    </row>
    <row r="464" spans="23:24" x14ac:dyDescent="0.2">
      <c r="W464" s="256" t="s">
        <v>1146</v>
      </c>
      <c r="X464" s="257" t="s">
        <v>1145</v>
      </c>
    </row>
    <row r="465" spans="23:24" x14ac:dyDescent="0.2">
      <c r="W465" s="256" t="s">
        <v>1148</v>
      </c>
      <c r="X465" s="257" t="s">
        <v>1147</v>
      </c>
    </row>
    <row r="466" spans="23:24" x14ac:dyDescent="0.2">
      <c r="W466" s="256" t="s">
        <v>1150</v>
      </c>
      <c r="X466" s="257" t="s">
        <v>1149</v>
      </c>
    </row>
    <row r="467" spans="23:24" x14ac:dyDescent="0.2">
      <c r="W467" s="256" t="s">
        <v>1152</v>
      </c>
      <c r="X467" s="257" t="s">
        <v>1151</v>
      </c>
    </row>
    <row r="468" spans="23:24" x14ac:dyDescent="0.2">
      <c r="W468" s="256" t="s">
        <v>1154</v>
      </c>
      <c r="X468" s="257" t="s">
        <v>1153</v>
      </c>
    </row>
    <row r="469" spans="23:24" x14ac:dyDescent="0.2">
      <c r="W469" s="256" t="s">
        <v>1156</v>
      </c>
      <c r="X469" s="257" t="s">
        <v>1155</v>
      </c>
    </row>
    <row r="470" spans="23:24" x14ac:dyDescent="0.2">
      <c r="W470" s="256" t="s">
        <v>1158</v>
      </c>
      <c r="X470" s="257" t="s">
        <v>1157</v>
      </c>
    </row>
    <row r="471" spans="23:24" x14ac:dyDescent="0.2">
      <c r="W471" s="256" t="s">
        <v>1160</v>
      </c>
      <c r="X471" s="257" t="s">
        <v>1159</v>
      </c>
    </row>
    <row r="472" spans="23:24" x14ac:dyDescent="0.2">
      <c r="W472" s="256" t="s">
        <v>1162</v>
      </c>
      <c r="X472" s="257" t="s">
        <v>1161</v>
      </c>
    </row>
    <row r="473" spans="23:24" x14ac:dyDescent="0.2">
      <c r="W473" s="256" t="s">
        <v>1164</v>
      </c>
      <c r="X473" s="257" t="s">
        <v>1163</v>
      </c>
    </row>
    <row r="474" spans="23:24" x14ac:dyDescent="0.2">
      <c r="W474" s="256" t="s">
        <v>1166</v>
      </c>
      <c r="X474" s="257" t="s">
        <v>1165</v>
      </c>
    </row>
    <row r="475" spans="23:24" x14ac:dyDescent="0.2">
      <c r="W475" s="256" t="s">
        <v>1168</v>
      </c>
      <c r="X475" s="257" t="s">
        <v>1167</v>
      </c>
    </row>
    <row r="476" spans="23:24" x14ac:dyDescent="0.2">
      <c r="W476" s="256" t="s">
        <v>1170</v>
      </c>
      <c r="X476" s="257" t="s">
        <v>1169</v>
      </c>
    </row>
    <row r="477" spans="23:24" x14ac:dyDescent="0.2">
      <c r="W477" s="256" t="s">
        <v>1172</v>
      </c>
      <c r="X477" s="257" t="s">
        <v>1171</v>
      </c>
    </row>
    <row r="478" spans="23:24" x14ac:dyDescent="0.2">
      <c r="W478" s="256" t="s">
        <v>1174</v>
      </c>
      <c r="X478" s="257" t="s">
        <v>1173</v>
      </c>
    </row>
    <row r="479" spans="23:24" x14ac:dyDescent="0.2">
      <c r="W479" s="256" t="s">
        <v>1176</v>
      </c>
      <c r="X479" s="257" t="s">
        <v>1175</v>
      </c>
    </row>
    <row r="480" spans="23:24" x14ac:dyDescent="0.2">
      <c r="W480" s="256" t="s">
        <v>1178</v>
      </c>
      <c r="X480" s="257" t="s">
        <v>1177</v>
      </c>
    </row>
    <row r="481" spans="23:24" x14ac:dyDescent="0.2">
      <c r="W481" s="256" t="s">
        <v>1180</v>
      </c>
      <c r="X481" s="257" t="s">
        <v>1179</v>
      </c>
    </row>
    <row r="482" spans="23:24" x14ac:dyDescent="0.2">
      <c r="W482" s="256" t="s">
        <v>1182</v>
      </c>
      <c r="X482" s="257" t="s">
        <v>1181</v>
      </c>
    </row>
    <row r="483" spans="23:24" x14ac:dyDescent="0.2">
      <c r="W483" s="256" t="s">
        <v>1184</v>
      </c>
      <c r="X483" s="257" t="s">
        <v>1183</v>
      </c>
    </row>
    <row r="484" spans="23:24" x14ac:dyDescent="0.2">
      <c r="W484" s="256" t="s">
        <v>1186</v>
      </c>
      <c r="X484" s="257" t="s">
        <v>1185</v>
      </c>
    </row>
    <row r="485" spans="23:24" x14ac:dyDescent="0.2">
      <c r="W485" s="256" t="s">
        <v>1188</v>
      </c>
      <c r="X485" s="257" t="s">
        <v>1187</v>
      </c>
    </row>
    <row r="486" spans="23:24" x14ac:dyDescent="0.2">
      <c r="W486" s="256" t="s">
        <v>1190</v>
      </c>
      <c r="X486" s="257" t="s">
        <v>1189</v>
      </c>
    </row>
    <row r="487" spans="23:24" x14ac:dyDescent="0.2">
      <c r="W487" s="256" t="s">
        <v>1192</v>
      </c>
      <c r="X487" s="257" t="s">
        <v>1191</v>
      </c>
    </row>
    <row r="488" spans="23:24" x14ac:dyDescent="0.2">
      <c r="W488" s="256" t="s">
        <v>1194</v>
      </c>
      <c r="X488" s="257" t="s">
        <v>1193</v>
      </c>
    </row>
    <row r="489" spans="23:24" x14ac:dyDescent="0.2">
      <c r="W489" s="256" t="s">
        <v>1196</v>
      </c>
      <c r="X489" s="257" t="s">
        <v>1195</v>
      </c>
    </row>
    <row r="490" spans="23:24" x14ac:dyDescent="0.2">
      <c r="W490" s="256" t="s">
        <v>1198</v>
      </c>
      <c r="X490" s="257" t="s">
        <v>1197</v>
      </c>
    </row>
    <row r="491" spans="23:24" x14ac:dyDescent="0.2">
      <c r="W491" s="256" t="s">
        <v>1200</v>
      </c>
      <c r="X491" s="257" t="s">
        <v>1199</v>
      </c>
    </row>
    <row r="492" spans="23:24" x14ac:dyDescent="0.2">
      <c r="W492" s="256" t="s">
        <v>1202</v>
      </c>
      <c r="X492" s="257" t="s">
        <v>1201</v>
      </c>
    </row>
    <row r="493" spans="23:24" x14ac:dyDescent="0.2">
      <c r="W493" s="256" t="s">
        <v>1204</v>
      </c>
      <c r="X493" s="257" t="s">
        <v>1203</v>
      </c>
    </row>
    <row r="494" spans="23:24" x14ac:dyDescent="0.2">
      <c r="W494" s="256" t="s">
        <v>1206</v>
      </c>
      <c r="X494" s="257" t="s">
        <v>1205</v>
      </c>
    </row>
    <row r="495" spans="23:24" x14ac:dyDescent="0.2">
      <c r="W495" s="256" t="s">
        <v>1208</v>
      </c>
      <c r="X495" s="257" t="s">
        <v>1207</v>
      </c>
    </row>
    <row r="496" spans="23:24" x14ac:dyDescent="0.2">
      <c r="W496" s="256" t="s">
        <v>1210</v>
      </c>
      <c r="X496" s="257" t="s">
        <v>1209</v>
      </c>
    </row>
    <row r="497" spans="23:24" x14ac:dyDescent="0.2">
      <c r="W497" s="256" t="s">
        <v>1212</v>
      </c>
      <c r="X497" s="257" t="s">
        <v>1211</v>
      </c>
    </row>
    <row r="498" spans="23:24" x14ac:dyDescent="0.2">
      <c r="W498" s="256" t="s">
        <v>1214</v>
      </c>
      <c r="X498" s="257" t="s">
        <v>1213</v>
      </c>
    </row>
    <row r="499" spans="23:24" x14ac:dyDescent="0.2">
      <c r="W499" s="256" t="s">
        <v>1216</v>
      </c>
      <c r="X499" s="257" t="s">
        <v>1215</v>
      </c>
    </row>
    <row r="500" spans="23:24" x14ac:dyDescent="0.2">
      <c r="W500" s="256" t="s">
        <v>1218</v>
      </c>
      <c r="X500" s="257" t="s">
        <v>1217</v>
      </c>
    </row>
    <row r="501" spans="23:24" x14ac:dyDescent="0.2">
      <c r="W501" s="256" t="s">
        <v>1220</v>
      </c>
      <c r="X501" s="257" t="s">
        <v>1219</v>
      </c>
    </row>
    <row r="502" spans="23:24" x14ac:dyDescent="0.2">
      <c r="W502" s="256" t="s">
        <v>1222</v>
      </c>
      <c r="X502" s="257" t="s">
        <v>1221</v>
      </c>
    </row>
    <row r="503" spans="23:24" x14ac:dyDescent="0.2">
      <c r="W503" s="256" t="s">
        <v>1224</v>
      </c>
      <c r="X503" s="257" t="s">
        <v>1223</v>
      </c>
    </row>
    <row r="504" spans="23:24" x14ac:dyDescent="0.2">
      <c r="W504" s="256" t="s">
        <v>1226</v>
      </c>
      <c r="X504" s="257" t="s">
        <v>1225</v>
      </c>
    </row>
    <row r="505" spans="23:24" x14ac:dyDescent="0.2">
      <c r="W505" s="256" t="s">
        <v>1228</v>
      </c>
      <c r="X505" s="257" t="s">
        <v>1227</v>
      </c>
    </row>
    <row r="506" spans="23:24" x14ac:dyDescent="0.2">
      <c r="W506" s="256" t="s">
        <v>1230</v>
      </c>
      <c r="X506" s="257" t="s">
        <v>1229</v>
      </c>
    </row>
    <row r="507" spans="23:24" x14ac:dyDescent="0.2">
      <c r="W507" s="256" t="s">
        <v>1232</v>
      </c>
      <c r="X507" s="257" t="s">
        <v>1231</v>
      </c>
    </row>
    <row r="508" spans="23:24" x14ac:dyDescent="0.2">
      <c r="W508" s="256" t="s">
        <v>1234</v>
      </c>
      <c r="X508" s="257" t="s">
        <v>1233</v>
      </c>
    </row>
    <row r="509" spans="23:24" x14ac:dyDescent="0.2">
      <c r="W509" s="256" t="s">
        <v>1236</v>
      </c>
      <c r="X509" s="257" t="s">
        <v>1235</v>
      </c>
    </row>
    <row r="510" spans="23:24" x14ac:dyDescent="0.2">
      <c r="W510" s="256" t="s">
        <v>1238</v>
      </c>
      <c r="X510" s="257" t="s">
        <v>1237</v>
      </c>
    </row>
    <row r="511" spans="23:24" x14ac:dyDescent="0.2">
      <c r="W511" s="256" t="s">
        <v>1240</v>
      </c>
      <c r="X511" s="257" t="s">
        <v>1239</v>
      </c>
    </row>
    <row r="512" spans="23:24" x14ac:dyDescent="0.2">
      <c r="W512" s="256" t="s">
        <v>1242</v>
      </c>
      <c r="X512" s="257" t="s">
        <v>1241</v>
      </c>
    </row>
    <row r="513" spans="23:24" x14ac:dyDescent="0.2">
      <c r="W513" s="256" t="s">
        <v>1244</v>
      </c>
      <c r="X513" s="257" t="s">
        <v>1243</v>
      </c>
    </row>
    <row r="514" spans="23:24" x14ac:dyDescent="0.2">
      <c r="W514" s="256" t="s">
        <v>1246</v>
      </c>
      <c r="X514" s="257" t="s">
        <v>1245</v>
      </c>
    </row>
    <row r="515" spans="23:24" x14ac:dyDescent="0.2">
      <c r="W515" s="256" t="s">
        <v>1248</v>
      </c>
      <c r="X515" s="257" t="s">
        <v>1247</v>
      </c>
    </row>
    <row r="516" spans="23:24" x14ac:dyDescent="0.2">
      <c r="W516" s="256" t="s">
        <v>1250</v>
      </c>
      <c r="X516" s="257" t="s">
        <v>1249</v>
      </c>
    </row>
    <row r="517" spans="23:24" x14ac:dyDescent="0.2">
      <c r="W517" s="256" t="s">
        <v>1252</v>
      </c>
      <c r="X517" s="257" t="s">
        <v>1251</v>
      </c>
    </row>
    <row r="518" spans="23:24" x14ac:dyDescent="0.2">
      <c r="W518" s="256" t="s">
        <v>1254</v>
      </c>
      <c r="X518" s="257" t="s">
        <v>1253</v>
      </c>
    </row>
    <row r="519" spans="23:24" x14ac:dyDescent="0.2">
      <c r="W519" s="256" t="s">
        <v>1256</v>
      </c>
      <c r="X519" s="257" t="s">
        <v>1255</v>
      </c>
    </row>
    <row r="520" spans="23:24" x14ac:dyDescent="0.2">
      <c r="W520" s="256" t="s">
        <v>1258</v>
      </c>
      <c r="X520" s="257" t="s">
        <v>1257</v>
      </c>
    </row>
    <row r="521" spans="23:24" x14ac:dyDescent="0.2">
      <c r="W521" s="256" t="s">
        <v>1260</v>
      </c>
      <c r="X521" s="257" t="s">
        <v>1259</v>
      </c>
    </row>
    <row r="522" spans="23:24" x14ac:dyDescent="0.2">
      <c r="W522" s="256" t="s">
        <v>1262</v>
      </c>
      <c r="X522" s="257" t="s">
        <v>1261</v>
      </c>
    </row>
    <row r="523" spans="23:24" x14ac:dyDescent="0.2">
      <c r="W523" s="256" t="s">
        <v>1264</v>
      </c>
      <c r="X523" s="257" t="s">
        <v>1263</v>
      </c>
    </row>
    <row r="524" spans="23:24" x14ac:dyDescent="0.2">
      <c r="W524" s="256" t="s">
        <v>1266</v>
      </c>
      <c r="X524" s="257" t="s">
        <v>1265</v>
      </c>
    </row>
    <row r="525" spans="23:24" x14ac:dyDescent="0.2">
      <c r="W525" s="256" t="s">
        <v>1268</v>
      </c>
      <c r="X525" s="257" t="s">
        <v>1267</v>
      </c>
    </row>
    <row r="526" spans="23:24" x14ac:dyDescent="0.2">
      <c r="W526" s="256" t="s">
        <v>1270</v>
      </c>
      <c r="X526" s="257" t="s">
        <v>1269</v>
      </c>
    </row>
    <row r="527" spans="23:24" x14ac:dyDescent="0.2">
      <c r="W527" s="256" t="s">
        <v>1272</v>
      </c>
      <c r="X527" s="257" t="s">
        <v>1271</v>
      </c>
    </row>
    <row r="528" spans="23:24" x14ac:dyDescent="0.2">
      <c r="W528" s="256" t="s">
        <v>1274</v>
      </c>
      <c r="X528" s="257" t="s">
        <v>1273</v>
      </c>
    </row>
    <row r="529" spans="23:24" x14ac:dyDescent="0.2">
      <c r="W529" s="256" t="s">
        <v>1276</v>
      </c>
      <c r="X529" s="257" t="s">
        <v>1275</v>
      </c>
    </row>
    <row r="530" spans="23:24" x14ac:dyDescent="0.2">
      <c r="W530" s="256" t="s">
        <v>1278</v>
      </c>
      <c r="X530" s="257" t="s">
        <v>1277</v>
      </c>
    </row>
    <row r="531" spans="23:24" x14ac:dyDescent="0.2">
      <c r="W531" s="256" t="s">
        <v>1280</v>
      </c>
      <c r="X531" s="257" t="s">
        <v>1279</v>
      </c>
    </row>
    <row r="532" spans="23:24" x14ac:dyDescent="0.2">
      <c r="W532" s="256" t="s">
        <v>1282</v>
      </c>
      <c r="X532" s="257" t="s">
        <v>1281</v>
      </c>
    </row>
    <row r="533" spans="23:24" x14ac:dyDescent="0.2">
      <c r="W533" s="256" t="s">
        <v>1284</v>
      </c>
      <c r="X533" s="257" t="s">
        <v>1283</v>
      </c>
    </row>
    <row r="534" spans="23:24" x14ac:dyDescent="0.2">
      <c r="W534" s="256" t="s">
        <v>1286</v>
      </c>
      <c r="X534" s="257" t="s">
        <v>1285</v>
      </c>
    </row>
    <row r="535" spans="23:24" x14ac:dyDescent="0.2">
      <c r="W535" s="256" t="s">
        <v>1288</v>
      </c>
      <c r="X535" s="257" t="s">
        <v>1287</v>
      </c>
    </row>
    <row r="536" spans="23:24" x14ac:dyDescent="0.2">
      <c r="W536" s="256" t="s">
        <v>1290</v>
      </c>
      <c r="X536" s="257" t="s">
        <v>1289</v>
      </c>
    </row>
    <row r="537" spans="23:24" x14ac:dyDescent="0.2">
      <c r="W537" s="256" t="s">
        <v>1292</v>
      </c>
      <c r="X537" s="257" t="s">
        <v>1291</v>
      </c>
    </row>
    <row r="538" spans="23:24" x14ac:dyDescent="0.2">
      <c r="W538" s="256" t="s">
        <v>1294</v>
      </c>
      <c r="X538" s="257" t="s">
        <v>1293</v>
      </c>
    </row>
    <row r="539" spans="23:24" x14ac:dyDescent="0.2">
      <c r="W539" s="256" t="s">
        <v>1296</v>
      </c>
      <c r="X539" s="257" t="s">
        <v>1295</v>
      </c>
    </row>
    <row r="540" spans="23:24" x14ac:dyDescent="0.2">
      <c r="W540" s="256" t="s">
        <v>1298</v>
      </c>
      <c r="X540" s="257" t="s">
        <v>1297</v>
      </c>
    </row>
    <row r="541" spans="23:24" x14ac:dyDescent="0.2">
      <c r="W541" s="256" t="s">
        <v>1300</v>
      </c>
      <c r="X541" s="257" t="s">
        <v>1299</v>
      </c>
    </row>
    <row r="542" spans="23:24" x14ac:dyDescent="0.2">
      <c r="W542" s="256" t="s">
        <v>1302</v>
      </c>
      <c r="X542" s="257" t="s">
        <v>1301</v>
      </c>
    </row>
    <row r="543" spans="23:24" x14ac:dyDescent="0.2">
      <c r="W543" s="256" t="s">
        <v>1304</v>
      </c>
      <c r="X543" s="257" t="s">
        <v>1303</v>
      </c>
    </row>
    <row r="544" spans="23:24" x14ac:dyDescent="0.2">
      <c r="W544" s="256" t="s">
        <v>1306</v>
      </c>
      <c r="X544" s="257" t="s">
        <v>1305</v>
      </c>
    </row>
    <row r="545" spans="23:24" x14ac:dyDescent="0.2">
      <c r="W545" s="256" t="s">
        <v>1308</v>
      </c>
      <c r="X545" s="257" t="s">
        <v>1307</v>
      </c>
    </row>
    <row r="546" spans="23:24" x14ac:dyDescent="0.2">
      <c r="W546" s="256" t="s">
        <v>1310</v>
      </c>
      <c r="X546" s="257" t="s">
        <v>1309</v>
      </c>
    </row>
    <row r="547" spans="23:24" x14ac:dyDescent="0.2">
      <c r="W547" s="256" t="s">
        <v>1312</v>
      </c>
      <c r="X547" s="257" t="s">
        <v>1311</v>
      </c>
    </row>
    <row r="548" spans="23:24" x14ac:dyDescent="0.2">
      <c r="W548" s="256" t="s">
        <v>1314</v>
      </c>
      <c r="X548" s="257" t="s">
        <v>1313</v>
      </c>
    </row>
    <row r="549" spans="23:24" x14ac:dyDescent="0.2">
      <c r="W549" s="256" t="s">
        <v>1316</v>
      </c>
      <c r="X549" s="257" t="s">
        <v>1315</v>
      </c>
    </row>
    <row r="550" spans="23:24" x14ac:dyDescent="0.2">
      <c r="W550" s="256" t="s">
        <v>1318</v>
      </c>
      <c r="X550" s="257" t="s">
        <v>1317</v>
      </c>
    </row>
    <row r="551" spans="23:24" x14ac:dyDescent="0.2">
      <c r="W551" s="256" t="s">
        <v>1320</v>
      </c>
      <c r="X551" s="257" t="s">
        <v>1319</v>
      </c>
    </row>
    <row r="552" spans="23:24" x14ac:dyDescent="0.2">
      <c r="W552" s="256" t="s">
        <v>1322</v>
      </c>
      <c r="X552" s="257" t="s">
        <v>1321</v>
      </c>
    </row>
    <row r="553" spans="23:24" x14ac:dyDescent="0.2">
      <c r="W553" s="256" t="s">
        <v>1324</v>
      </c>
      <c r="X553" s="257" t="s">
        <v>1323</v>
      </c>
    </row>
    <row r="554" spans="23:24" x14ac:dyDescent="0.2">
      <c r="W554" s="256" t="s">
        <v>1326</v>
      </c>
      <c r="X554" s="257" t="s">
        <v>1325</v>
      </c>
    </row>
    <row r="555" spans="23:24" x14ac:dyDescent="0.2">
      <c r="W555" s="256" t="s">
        <v>1328</v>
      </c>
      <c r="X555" s="257" t="s">
        <v>1327</v>
      </c>
    </row>
    <row r="556" spans="23:24" x14ac:dyDescent="0.2">
      <c r="W556" s="256" t="s">
        <v>1330</v>
      </c>
      <c r="X556" s="257" t="s">
        <v>1329</v>
      </c>
    </row>
    <row r="557" spans="23:24" x14ac:dyDescent="0.2">
      <c r="W557" s="256" t="s">
        <v>1332</v>
      </c>
      <c r="X557" s="257" t="s">
        <v>1331</v>
      </c>
    </row>
    <row r="558" spans="23:24" x14ac:dyDescent="0.2">
      <c r="W558" s="256" t="s">
        <v>1334</v>
      </c>
      <c r="X558" s="257" t="s">
        <v>1333</v>
      </c>
    </row>
    <row r="559" spans="23:24" x14ac:dyDescent="0.2">
      <c r="W559" s="256" t="s">
        <v>1336</v>
      </c>
      <c r="X559" s="257" t="s">
        <v>1335</v>
      </c>
    </row>
    <row r="560" spans="23:24" x14ac:dyDescent="0.2">
      <c r="W560" s="256" t="s">
        <v>1338</v>
      </c>
      <c r="X560" s="257" t="s">
        <v>1337</v>
      </c>
    </row>
    <row r="561" spans="23:24" x14ac:dyDescent="0.2">
      <c r="W561" s="256" t="s">
        <v>1340</v>
      </c>
      <c r="X561" s="257" t="s">
        <v>1339</v>
      </c>
    </row>
    <row r="562" spans="23:24" x14ac:dyDescent="0.2">
      <c r="W562" s="256" t="s">
        <v>1342</v>
      </c>
      <c r="X562" s="257" t="s">
        <v>1341</v>
      </c>
    </row>
    <row r="563" spans="23:24" x14ac:dyDescent="0.2">
      <c r="W563" s="256" t="s">
        <v>1344</v>
      </c>
      <c r="X563" s="257" t="s">
        <v>1343</v>
      </c>
    </row>
    <row r="564" spans="23:24" x14ac:dyDescent="0.2">
      <c r="W564" s="256" t="s">
        <v>1346</v>
      </c>
      <c r="X564" s="257" t="s">
        <v>1345</v>
      </c>
    </row>
    <row r="565" spans="23:24" x14ac:dyDescent="0.2">
      <c r="W565" s="256" t="s">
        <v>1348</v>
      </c>
      <c r="X565" s="257" t="s">
        <v>1347</v>
      </c>
    </row>
    <row r="566" spans="23:24" x14ac:dyDescent="0.2">
      <c r="W566" s="256" t="s">
        <v>1350</v>
      </c>
      <c r="X566" s="257" t="s">
        <v>1349</v>
      </c>
    </row>
    <row r="567" spans="23:24" x14ac:dyDescent="0.2">
      <c r="W567" s="256" t="s">
        <v>1352</v>
      </c>
      <c r="X567" s="257" t="s">
        <v>1351</v>
      </c>
    </row>
    <row r="568" spans="23:24" x14ac:dyDescent="0.2">
      <c r="W568" s="256" t="s">
        <v>1354</v>
      </c>
      <c r="X568" s="257" t="s">
        <v>1353</v>
      </c>
    </row>
    <row r="569" spans="23:24" x14ac:dyDescent="0.2">
      <c r="W569" s="256" t="s">
        <v>1356</v>
      </c>
      <c r="X569" s="257" t="s">
        <v>1355</v>
      </c>
    </row>
    <row r="570" spans="23:24" x14ac:dyDescent="0.2">
      <c r="W570" s="256" t="s">
        <v>1358</v>
      </c>
      <c r="X570" s="257" t="s">
        <v>1357</v>
      </c>
    </row>
    <row r="571" spans="23:24" x14ac:dyDescent="0.2">
      <c r="W571" s="256" t="s">
        <v>1360</v>
      </c>
      <c r="X571" s="257" t="s">
        <v>1359</v>
      </c>
    </row>
    <row r="572" spans="23:24" x14ac:dyDescent="0.2">
      <c r="W572" s="256" t="s">
        <v>1362</v>
      </c>
      <c r="X572" s="257" t="s">
        <v>1361</v>
      </c>
    </row>
    <row r="573" spans="23:24" x14ac:dyDescent="0.2">
      <c r="W573" s="256" t="s">
        <v>1364</v>
      </c>
      <c r="X573" s="257" t="s">
        <v>1363</v>
      </c>
    </row>
    <row r="574" spans="23:24" x14ac:dyDescent="0.2">
      <c r="W574" s="256" t="s">
        <v>1366</v>
      </c>
      <c r="X574" s="257" t="s">
        <v>1365</v>
      </c>
    </row>
    <row r="575" spans="23:24" x14ac:dyDescent="0.2">
      <c r="W575" s="256" t="s">
        <v>1368</v>
      </c>
      <c r="X575" s="257" t="s">
        <v>1367</v>
      </c>
    </row>
    <row r="576" spans="23:24" x14ac:dyDescent="0.2">
      <c r="W576" s="256" t="s">
        <v>1370</v>
      </c>
      <c r="X576" s="257" t="s">
        <v>1369</v>
      </c>
    </row>
    <row r="577" spans="23:24" x14ac:dyDescent="0.2">
      <c r="W577" s="256" t="s">
        <v>1372</v>
      </c>
      <c r="X577" s="257" t="s">
        <v>1371</v>
      </c>
    </row>
    <row r="578" spans="23:24" x14ac:dyDescent="0.2">
      <c r="W578" s="256" t="s">
        <v>1374</v>
      </c>
      <c r="X578" s="257" t="s">
        <v>1373</v>
      </c>
    </row>
    <row r="579" spans="23:24" x14ac:dyDescent="0.2">
      <c r="W579" s="256" t="s">
        <v>1376</v>
      </c>
      <c r="X579" s="257" t="s">
        <v>1375</v>
      </c>
    </row>
    <row r="580" spans="23:24" x14ac:dyDescent="0.2">
      <c r="W580" s="256" t="s">
        <v>1378</v>
      </c>
      <c r="X580" s="257" t="s">
        <v>1377</v>
      </c>
    </row>
    <row r="581" spans="23:24" x14ac:dyDescent="0.2">
      <c r="W581" s="256" t="s">
        <v>1380</v>
      </c>
      <c r="X581" s="257" t="s">
        <v>1379</v>
      </c>
    </row>
    <row r="582" spans="23:24" x14ac:dyDescent="0.2">
      <c r="W582" s="256" t="s">
        <v>1382</v>
      </c>
      <c r="X582" s="257" t="s">
        <v>1381</v>
      </c>
    </row>
    <row r="583" spans="23:24" x14ac:dyDescent="0.2">
      <c r="W583" s="256" t="s">
        <v>1384</v>
      </c>
      <c r="X583" s="257" t="s">
        <v>1383</v>
      </c>
    </row>
    <row r="584" spans="23:24" x14ac:dyDescent="0.2">
      <c r="W584" s="256" t="s">
        <v>1386</v>
      </c>
      <c r="X584" s="257" t="s">
        <v>1385</v>
      </c>
    </row>
    <row r="585" spans="23:24" x14ac:dyDescent="0.2">
      <c r="W585" s="256" t="s">
        <v>1388</v>
      </c>
      <c r="X585" s="257" t="s">
        <v>1387</v>
      </c>
    </row>
    <row r="586" spans="23:24" x14ac:dyDescent="0.2">
      <c r="W586" s="256" t="s">
        <v>1390</v>
      </c>
      <c r="X586" s="257" t="s">
        <v>1389</v>
      </c>
    </row>
    <row r="587" spans="23:24" x14ac:dyDescent="0.2">
      <c r="W587" s="256" t="s">
        <v>1392</v>
      </c>
      <c r="X587" s="257" t="s">
        <v>1391</v>
      </c>
    </row>
    <row r="588" spans="23:24" x14ac:dyDescent="0.2">
      <c r="W588" s="256" t="s">
        <v>1394</v>
      </c>
      <c r="X588" s="257" t="s">
        <v>1393</v>
      </c>
    </row>
    <row r="589" spans="23:24" x14ac:dyDescent="0.2">
      <c r="W589" s="256" t="s">
        <v>1396</v>
      </c>
      <c r="X589" s="257" t="s">
        <v>1395</v>
      </c>
    </row>
    <row r="590" spans="23:24" x14ac:dyDescent="0.2">
      <c r="W590" s="256" t="s">
        <v>1398</v>
      </c>
      <c r="X590" s="257" t="s">
        <v>1397</v>
      </c>
    </row>
    <row r="591" spans="23:24" x14ac:dyDescent="0.2">
      <c r="W591" s="256" t="s">
        <v>1400</v>
      </c>
      <c r="X591" s="257" t="s">
        <v>1399</v>
      </c>
    </row>
    <row r="592" spans="23:24" x14ac:dyDescent="0.2">
      <c r="W592" s="256" t="s">
        <v>1402</v>
      </c>
      <c r="X592" s="257" t="s">
        <v>1401</v>
      </c>
    </row>
    <row r="593" spans="23:24" x14ac:dyDescent="0.2">
      <c r="W593" s="256" t="s">
        <v>1404</v>
      </c>
      <c r="X593" s="257" t="s">
        <v>1403</v>
      </c>
    </row>
    <row r="594" spans="23:24" x14ac:dyDescent="0.2">
      <c r="W594" s="256" t="s">
        <v>1406</v>
      </c>
      <c r="X594" s="257" t="s">
        <v>1405</v>
      </c>
    </row>
    <row r="595" spans="23:24" x14ac:dyDescent="0.2">
      <c r="W595" s="256" t="s">
        <v>1408</v>
      </c>
      <c r="X595" s="257" t="s">
        <v>1407</v>
      </c>
    </row>
    <row r="596" spans="23:24" x14ac:dyDescent="0.2">
      <c r="W596" s="256" t="s">
        <v>1410</v>
      </c>
      <c r="X596" s="257" t="s">
        <v>1409</v>
      </c>
    </row>
    <row r="597" spans="23:24" x14ac:dyDescent="0.2">
      <c r="W597" s="256" t="s">
        <v>1412</v>
      </c>
      <c r="X597" s="257" t="s">
        <v>1411</v>
      </c>
    </row>
    <row r="598" spans="23:24" x14ac:dyDescent="0.2">
      <c r="W598" s="256" t="s">
        <v>1414</v>
      </c>
      <c r="X598" s="257" t="s">
        <v>1413</v>
      </c>
    </row>
    <row r="599" spans="23:24" x14ac:dyDescent="0.2">
      <c r="W599" s="256" t="s">
        <v>1416</v>
      </c>
      <c r="X599" s="257" t="s">
        <v>1415</v>
      </c>
    </row>
    <row r="600" spans="23:24" x14ac:dyDescent="0.2">
      <c r="W600" s="256" t="s">
        <v>1418</v>
      </c>
      <c r="X600" s="257" t="s">
        <v>1417</v>
      </c>
    </row>
    <row r="601" spans="23:24" x14ac:dyDescent="0.2">
      <c r="W601" s="256" t="s">
        <v>1420</v>
      </c>
      <c r="X601" s="257" t="s">
        <v>1419</v>
      </c>
    </row>
    <row r="602" spans="23:24" x14ac:dyDescent="0.2">
      <c r="W602" s="256" t="s">
        <v>1422</v>
      </c>
      <c r="X602" s="257" t="s">
        <v>1421</v>
      </c>
    </row>
    <row r="603" spans="23:24" x14ac:dyDescent="0.2">
      <c r="W603" s="256" t="s">
        <v>1424</v>
      </c>
      <c r="X603" s="257" t="s">
        <v>1423</v>
      </c>
    </row>
    <row r="604" spans="23:24" x14ac:dyDescent="0.2">
      <c r="W604" s="256" t="s">
        <v>1426</v>
      </c>
      <c r="X604" s="257" t="s">
        <v>1425</v>
      </c>
    </row>
    <row r="605" spans="23:24" x14ac:dyDescent="0.2">
      <c r="W605" s="256" t="s">
        <v>1428</v>
      </c>
      <c r="X605" s="257" t="s">
        <v>1427</v>
      </c>
    </row>
    <row r="606" spans="23:24" x14ac:dyDescent="0.2">
      <c r="W606" s="256" t="s">
        <v>1430</v>
      </c>
      <c r="X606" s="257" t="s">
        <v>1429</v>
      </c>
    </row>
    <row r="607" spans="23:24" x14ac:dyDescent="0.2">
      <c r="W607" s="256" t="s">
        <v>1432</v>
      </c>
      <c r="X607" s="257" t="s">
        <v>1431</v>
      </c>
    </row>
    <row r="608" spans="23:24" x14ac:dyDescent="0.2">
      <c r="W608" s="256" t="s">
        <v>1434</v>
      </c>
      <c r="X608" s="257" t="s">
        <v>1433</v>
      </c>
    </row>
    <row r="609" spans="23:24" x14ac:dyDescent="0.2">
      <c r="W609" s="256" t="s">
        <v>1436</v>
      </c>
      <c r="X609" s="257" t="s">
        <v>1435</v>
      </c>
    </row>
    <row r="610" spans="23:24" x14ac:dyDescent="0.2">
      <c r="W610" s="256" t="s">
        <v>1438</v>
      </c>
      <c r="X610" s="257" t="s">
        <v>1437</v>
      </c>
    </row>
    <row r="611" spans="23:24" x14ac:dyDescent="0.2">
      <c r="W611" s="256" t="s">
        <v>1440</v>
      </c>
      <c r="X611" s="257" t="s">
        <v>1439</v>
      </c>
    </row>
    <row r="612" spans="23:24" x14ac:dyDescent="0.2">
      <c r="W612" s="256" t="s">
        <v>1442</v>
      </c>
      <c r="X612" s="257" t="s">
        <v>1441</v>
      </c>
    </row>
    <row r="613" spans="23:24" x14ac:dyDescent="0.2">
      <c r="W613" s="256" t="s">
        <v>1444</v>
      </c>
      <c r="X613" s="257" t="s">
        <v>1443</v>
      </c>
    </row>
    <row r="614" spans="23:24" x14ac:dyDescent="0.2">
      <c r="W614" s="256" t="s">
        <v>1446</v>
      </c>
      <c r="X614" s="257" t="s">
        <v>1445</v>
      </c>
    </row>
    <row r="615" spans="23:24" x14ac:dyDescent="0.2">
      <c r="W615" s="256" t="s">
        <v>1448</v>
      </c>
      <c r="X615" s="257" t="s">
        <v>1447</v>
      </c>
    </row>
    <row r="616" spans="23:24" x14ac:dyDescent="0.2">
      <c r="W616" s="256" t="s">
        <v>1450</v>
      </c>
      <c r="X616" s="257" t="s">
        <v>1449</v>
      </c>
    </row>
    <row r="617" spans="23:24" x14ac:dyDescent="0.2">
      <c r="W617" s="256" t="s">
        <v>1452</v>
      </c>
      <c r="X617" s="257" t="s">
        <v>1451</v>
      </c>
    </row>
    <row r="618" spans="23:24" x14ac:dyDescent="0.2">
      <c r="W618" s="256" t="s">
        <v>1454</v>
      </c>
      <c r="X618" s="257" t="s">
        <v>1453</v>
      </c>
    </row>
    <row r="619" spans="23:24" x14ac:dyDescent="0.2">
      <c r="W619" s="256" t="s">
        <v>1456</v>
      </c>
      <c r="X619" s="257" t="s">
        <v>1455</v>
      </c>
    </row>
    <row r="620" spans="23:24" x14ac:dyDescent="0.2">
      <c r="W620" s="256" t="s">
        <v>1458</v>
      </c>
      <c r="X620" s="257" t="s">
        <v>1457</v>
      </c>
    </row>
    <row r="621" spans="23:24" x14ac:dyDescent="0.2">
      <c r="W621" s="256" t="s">
        <v>1460</v>
      </c>
      <c r="X621" s="257" t="s">
        <v>1459</v>
      </c>
    </row>
    <row r="622" spans="23:24" x14ac:dyDescent="0.2">
      <c r="W622" s="256" t="s">
        <v>1462</v>
      </c>
      <c r="X622" s="257" t="s">
        <v>1461</v>
      </c>
    </row>
    <row r="623" spans="23:24" x14ac:dyDescent="0.2">
      <c r="W623" s="256" t="s">
        <v>1464</v>
      </c>
      <c r="X623" s="257" t="s">
        <v>1463</v>
      </c>
    </row>
    <row r="624" spans="23:24" x14ac:dyDescent="0.2">
      <c r="W624" s="256" t="s">
        <v>1466</v>
      </c>
      <c r="X624" s="257" t="s">
        <v>1465</v>
      </c>
    </row>
    <row r="625" spans="23:24" x14ac:dyDescent="0.2">
      <c r="W625" s="256" t="s">
        <v>1468</v>
      </c>
      <c r="X625" s="257" t="s">
        <v>1467</v>
      </c>
    </row>
    <row r="626" spans="23:24" x14ac:dyDescent="0.2">
      <c r="W626" s="256" t="s">
        <v>1470</v>
      </c>
      <c r="X626" s="257" t="s">
        <v>1469</v>
      </c>
    </row>
    <row r="627" spans="23:24" x14ac:dyDescent="0.2">
      <c r="W627" s="256" t="s">
        <v>1472</v>
      </c>
      <c r="X627" s="257" t="s">
        <v>1471</v>
      </c>
    </row>
    <row r="628" spans="23:24" x14ac:dyDescent="0.2">
      <c r="W628" s="256" t="s">
        <v>1474</v>
      </c>
      <c r="X628" s="257" t="s">
        <v>1473</v>
      </c>
    </row>
    <row r="629" spans="23:24" x14ac:dyDescent="0.2">
      <c r="W629" s="256" t="s">
        <v>1476</v>
      </c>
      <c r="X629" s="257" t="s">
        <v>1475</v>
      </c>
    </row>
    <row r="630" spans="23:24" x14ac:dyDescent="0.2">
      <c r="W630" s="256" t="s">
        <v>1478</v>
      </c>
      <c r="X630" s="257" t="s">
        <v>1477</v>
      </c>
    </row>
    <row r="631" spans="23:24" x14ac:dyDescent="0.2">
      <c r="W631" s="256" t="s">
        <v>1480</v>
      </c>
      <c r="X631" s="257" t="s">
        <v>1479</v>
      </c>
    </row>
    <row r="632" spans="23:24" x14ac:dyDescent="0.2">
      <c r="W632" s="256" t="s">
        <v>1482</v>
      </c>
      <c r="X632" s="257" t="s">
        <v>1481</v>
      </c>
    </row>
    <row r="633" spans="23:24" x14ac:dyDescent="0.2">
      <c r="W633" s="256" t="s">
        <v>1484</v>
      </c>
      <c r="X633" s="257" t="s">
        <v>1483</v>
      </c>
    </row>
    <row r="634" spans="23:24" x14ac:dyDescent="0.2">
      <c r="W634" s="256" t="s">
        <v>1486</v>
      </c>
      <c r="X634" s="257" t="s">
        <v>1485</v>
      </c>
    </row>
    <row r="635" spans="23:24" x14ac:dyDescent="0.2">
      <c r="W635" s="256" t="s">
        <v>1488</v>
      </c>
      <c r="X635" s="257" t="s">
        <v>1487</v>
      </c>
    </row>
    <row r="636" spans="23:24" x14ac:dyDescent="0.2">
      <c r="W636" s="256" t="s">
        <v>1490</v>
      </c>
      <c r="X636" s="257" t="s">
        <v>1489</v>
      </c>
    </row>
    <row r="637" spans="23:24" x14ac:dyDescent="0.2">
      <c r="W637" s="256" t="s">
        <v>1492</v>
      </c>
      <c r="X637" s="257" t="s">
        <v>1491</v>
      </c>
    </row>
    <row r="638" spans="23:24" x14ac:dyDescent="0.2">
      <c r="W638" s="256" t="s">
        <v>1494</v>
      </c>
      <c r="X638" s="257" t="s">
        <v>1493</v>
      </c>
    </row>
    <row r="639" spans="23:24" x14ac:dyDescent="0.2">
      <c r="W639" s="256" t="s">
        <v>1496</v>
      </c>
      <c r="X639" s="257" t="s">
        <v>1495</v>
      </c>
    </row>
    <row r="640" spans="23:24" x14ac:dyDescent="0.2">
      <c r="W640" s="256" t="s">
        <v>1498</v>
      </c>
      <c r="X640" s="257" t="s">
        <v>1497</v>
      </c>
    </row>
    <row r="641" spans="23:24" x14ac:dyDescent="0.2">
      <c r="W641" s="256" t="s">
        <v>1500</v>
      </c>
      <c r="X641" s="257" t="s">
        <v>1499</v>
      </c>
    </row>
    <row r="642" spans="23:24" x14ac:dyDescent="0.2">
      <c r="W642" s="256" t="s">
        <v>1502</v>
      </c>
      <c r="X642" s="257" t="s">
        <v>1501</v>
      </c>
    </row>
    <row r="643" spans="23:24" x14ac:dyDescent="0.2">
      <c r="W643" s="256" t="s">
        <v>1504</v>
      </c>
      <c r="X643" s="257" t="s">
        <v>1503</v>
      </c>
    </row>
    <row r="644" spans="23:24" x14ac:dyDescent="0.2">
      <c r="W644" s="256" t="s">
        <v>1506</v>
      </c>
      <c r="X644" s="257" t="s">
        <v>1505</v>
      </c>
    </row>
    <row r="645" spans="23:24" x14ac:dyDescent="0.2">
      <c r="W645" s="256" t="s">
        <v>1508</v>
      </c>
      <c r="X645" s="257" t="s">
        <v>1507</v>
      </c>
    </row>
    <row r="646" spans="23:24" x14ac:dyDescent="0.2">
      <c r="W646" s="256" t="s">
        <v>1510</v>
      </c>
      <c r="X646" s="257" t="s">
        <v>1509</v>
      </c>
    </row>
    <row r="647" spans="23:24" x14ac:dyDescent="0.2">
      <c r="W647" s="256" t="s">
        <v>1512</v>
      </c>
      <c r="X647" s="257" t="s">
        <v>1511</v>
      </c>
    </row>
    <row r="648" spans="23:24" x14ac:dyDescent="0.2">
      <c r="W648" s="256" t="s">
        <v>1514</v>
      </c>
      <c r="X648" s="257" t="s">
        <v>1513</v>
      </c>
    </row>
    <row r="649" spans="23:24" x14ac:dyDescent="0.2">
      <c r="W649" s="256" t="s">
        <v>1516</v>
      </c>
      <c r="X649" s="257" t="s">
        <v>1515</v>
      </c>
    </row>
    <row r="650" spans="23:24" x14ac:dyDescent="0.2">
      <c r="W650" s="256" t="s">
        <v>1518</v>
      </c>
      <c r="X650" s="257" t="s">
        <v>1517</v>
      </c>
    </row>
    <row r="651" spans="23:24" x14ac:dyDescent="0.2">
      <c r="W651" s="256" t="s">
        <v>1520</v>
      </c>
      <c r="X651" s="257" t="s">
        <v>1519</v>
      </c>
    </row>
    <row r="652" spans="23:24" x14ac:dyDescent="0.2">
      <c r="W652" s="256" t="s">
        <v>1522</v>
      </c>
      <c r="X652" s="257" t="s">
        <v>1521</v>
      </c>
    </row>
    <row r="653" spans="23:24" x14ac:dyDescent="0.2">
      <c r="W653" s="256" t="s">
        <v>1524</v>
      </c>
      <c r="X653" s="257" t="s">
        <v>1523</v>
      </c>
    </row>
    <row r="654" spans="23:24" x14ac:dyDescent="0.2">
      <c r="W654" s="256" t="s">
        <v>1526</v>
      </c>
      <c r="X654" s="257" t="s">
        <v>1525</v>
      </c>
    </row>
    <row r="655" spans="23:24" x14ac:dyDescent="0.2">
      <c r="W655" s="256" t="s">
        <v>1528</v>
      </c>
      <c r="X655" s="257" t="s">
        <v>1527</v>
      </c>
    </row>
    <row r="656" spans="23:24" x14ac:dyDescent="0.2">
      <c r="W656" s="256" t="s">
        <v>1530</v>
      </c>
      <c r="X656" s="257" t="s">
        <v>1529</v>
      </c>
    </row>
    <row r="657" spans="23:24" x14ac:dyDescent="0.2">
      <c r="W657" s="256" t="s">
        <v>1532</v>
      </c>
      <c r="X657" s="257" t="s">
        <v>1531</v>
      </c>
    </row>
    <row r="658" spans="23:24" x14ac:dyDescent="0.2">
      <c r="W658" s="256" t="s">
        <v>1534</v>
      </c>
      <c r="X658" s="257" t="s">
        <v>1533</v>
      </c>
    </row>
    <row r="659" spans="23:24" x14ac:dyDescent="0.2">
      <c r="W659" s="256" t="s">
        <v>1536</v>
      </c>
      <c r="X659" s="257" t="s">
        <v>1535</v>
      </c>
    </row>
    <row r="660" spans="23:24" x14ac:dyDescent="0.2">
      <c r="W660" s="256" t="s">
        <v>1538</v>
      </c>
      <c r="X660" s="257" t="s">
        <v>1537</v>
      </c>
    </row>
    <row r="661" spans="23:24" x14ac:dyDescent="0.2">
      <c r="W661" s="256" t="s">
        <v>1540</v>
      </c>
      <c r="X661" s="257" t="s">
        <v>1539</v>
      </c>
    </row>
    <row r="662" spans="23:24" x14ac:dyDescent="0.2">
      <c r="W662" s="256" t="s">
        <v>1542</v>
      </c>
      <c r="X662" s="257" t="s">
        <v>1541</v>
      </c>
    </row>
    <row r="663" spans="23:24" x14ac:dyDescent="0.2">
      <c r="W663" s="256" t="s">
        <v>1544</v>
      </c>
      <c r="X663" s="257" t="s">
        <v>1543</v>
      </c>
    </row>
    <row r="664" spans="23:24" x14ac:dyDescent="0.2">
      <c r="W664" s="256" t="s">
        <v>1546</v>
      </c>
      <c r="X664" s="257" t="s">
        <v>1545</v>
      </c>
    </row>
    <row r="665" spans="23:24" x14ac:dyDescent="0.2">
      <c r="W665" s="256" t="s">
        <v>1548</v>
      </c>
      <c r="X665" s="257" t="s">
        <v>1547</v>
      </c>
    </row>
    <row r="666" spans="23:24" x14ac:dyDescent="0.2">
      <c r="W666" s="256" t="s">
        <v>1550</v>
      </c>
      <c r="X666" s="257" t="s">
        <v>1549</v>
      </c>
    </row>
    <row r="667" spans="23:24" x14ac:dyDescent="0.2">
      <c r="W667" s="256" t="s">
        <v>1552</v>
      </c>
      <c r="X667" s="257" t="s">
        <v>1551</v>
      </c>
    </row>
    <row r="668" spans="23:24" x14ac:dyDescent="0.2">
      <c r="W668" s="256" t="s">
        <v>1554</v>
      </c>
      <c r="X668" s="257" t="s">
        <v>1553</v>
      </c>
    </row>
    <row r="669" spans="23:24" x14ac:dyDescent="0.2">
      <c r="W669" s="256" t="s">
        <v>1556</v>
      </c>
      <c r="X669" s="257" t="s">
        <v>1555</v>
      </c>
    </row>
    <row r="670" spans="23:24" x14ac:dyDescent="0.2">
      <c r="W670" s="256" t="s">
        <v>1558</v>
      </c>
      <c r="X670" s="257" t="s">
        <v>1557</v>
      </c>
    </row>
    <row r="671" spans="23:24" x14ac:dyDescent="0.2">
      <c r="W671" s="256" t="s">
        <v>1560</v>
      </c>
      <c r="X671" s="257" t="s">
        <v>1559</v>
      </c>
    </row>
    <row r="672" spans="23:24" x14ac:dyDescent="0.2">
      <c r="W672" s="256" t="s">
        <v>1562</v>
      </c>
      <c r="X672" s="257" t="s">
        <v>1561</v>
      </c>
    </row>
    <row r="673" spans="23:24" x14ac:dyDescent="0.2">
      <c r="W673" s="256" t="s">
        <v>1564</v>
      </c>
      <c r="X673" s="257" t="s">
        <v>1563</v>
      </c>
    </row>
    <row r="674" spans="23:24" x14ac:dyDescent="0.2">
      <c r="W674" s="256" t="s">
        <v>1566</v>
      </c>
      <c r="X674" s="257" t="s">
        <v>1565</v>
      </c>
    </row>
    <row r="675" spans="23:24" x14ac:dyDescent="0.2">
      <c r="W675" s="256" t="s">
        <v>1568</v>
      </c>
      <c r="X675" s="257" t="s">
        <v>1567</v>
      </c>
    </row>
    <row r="676" spans="23:24" x14ac:dyDescent="0.2">
      <c r="W676" s="256" t="s">
        <v>1570</v>
      </c>
      <c r="X676" s="257" t="s">
        <v>1569</v>
      </c>
    </row>
    <row r="677" spans="23:24" x14ac:dyDescent="0.2">
      <c r="W677" s="256" t="s">
        <v>1572</v>
      </c>
      <c r="X677" s="257" t="s">
        <v>1571</v>
      </c>
    </row>
    <row r="678" spans="23:24" x14ac:dyDescent="0.2">
      <c r="W678" s="256" t="s">
        <v>1574</v>
      </c>
      <c r="X678" s="257" t="s">
        <v>1573</v>
      </c>
    </row>
    <row r="679" spans="23:24" x14ac:dyDescent="0.2">
      <c r="W679" s="256" t="s">
        <v>1576</v>
      </c>
      <c r="X679" s="257" t="s">
        <v>1575</v>
      </c>
    </row>
    <row r="680" spans="23:24" x14ac:dyDescent="0.2">
      <c r="W680" s="256" t="s">
        <v>1578</v>
      </c>
      <c r="X680" s="257" t="s">
        <v>1577</v>
      </c>
    </row>
    <row r="681" spans="23:24" x14ac:dyDescent="0.2">
      <c r="W681" s="256" t="s">
        <v>1580</v>
      </c>
      <c r="X681" s="257" t="s">
        <v>1579</v>
      </c>
    </row>
    <row r="682" spans="23:24" x14ac:dyDescent="0.2">
      <c r="W682" s="256" t="s">
        <v>1582</v>
      </c>
      <c r="X682" s="257" t="s">
        <v>1581</v>
      </c>
    </row>
    <row r="683" spans="23:24" x14ac:dyDescent="0.2">
      <c r="W683" s="256" t="s">
        <v>1584</v>
      </c>
      <c r="X683" s="257" t="s">
        <v>1583</v>
      </c>
    </row>
    <row r="684" spans="23:24" x14ac:dyDescent="0.2">
      <c r="W684" s="256" t="s">
        <v>1586</v>
      </c>
      <c r="X684" s="257" t="s">
        <v>1585</v>
      </c>
    </row>
    <row r="685" spans="23:24" x14ac:dyDescent="0.2">
      <c r="W685" s="256" t="s">
        <v>1588</v>
      </c>
      <c r="X685" s="257" t="s">
        <v>1587</v>
      </c>
    </row>
    <row r="686" spans="23:24" x14ac:dyDescent="0.2">
      <c r="W686" s="256" t="s">
        <v>1590</v>
      </c>
      <c r="X686" s="257" t="s">
        <v>1589</v>
      </c>
    </row>
    <row r="687" spans="23:24" x14ac:dyDescent="0.2">
      <c r="W687" s="256" t="s">
        <v>1592</v>
      </c>
      <c r="X687" s="257" t="s">
        <v>1591</v>
      </c>
    </row>
    <row r="688" spans="23:24" x14ac:dyDescent="0.2">
      <c r="W688" s="256" t="s">
        <v>1594</v>
      </c>
      <c r="X688" s="257" t="s">
        <v>1593</v>
      </c>
    </row>
    <row r="689" spans="23:24" x14ac:dyDescent="0.2">
      <c r="W689" s="256" t="s">
        <v>1596</v>
      </c>
      <c r="X689" s="257" t="s">
        <v>1595</v>
      </c>
    </row>
    <row r="690" spans="23:24" x14ac:dyDescent="0.2">
      <c r="W690" s="256" t="s">
        <v>1598</v>
      </c>
      <c r="X690" s="257" t="s">
        <v>1597</v>
      </c>
    </row>
    <row r="691" spans="23:24" x14ac:dyDescent="0.2">
      <c r="W691" s="256" t="s">
        <v>1600</v>
      </c>
      <c r="X691" s="257" t="s">
        <v>1599</v>
      </c>
    </row>
    <row r="692" spans="23:24" x14ac:dyDescent="0.2">
      <c r="W692" s="256" t="s">
        <v>1602</v>
      </c>
      <c r="X692" s="257" t="s">
        <v>1601</v>
      </c>
    </row>
    <row r="693" spans="23:24" x14ac:dyDescent="0.2">
      <c r="W693" s="256" t="s">
        <v>1604</v>
      </c>
      <c r="X693" s="257" t="s">
        <v>1603</v>
      </c>
    </row>
    <row r="694" spans="23:24" x14ac:dyDescent="0.2">
      <c r="W694" s="256" t="s">
        <v>1606</v>
      </c>
      <c r="X694" s="257" t="s">
        <v>1605</v>
      </c>
    </row>
    <row r="695" spans="23:24" x14ac:dyDescent="0.2">
      <c r="W695" s="256" t="s">
        <v>1608</v>
      </c>
      <c r="X695" s="257" t="s">
        <v>1607</v>
      </c>
    </row>
    <row r="696" spans="23:24" x14ac:dyDescent="0.2">
      <c r="W696" s="256" t="s">
        <v>1610</v>
      </c>
      <c r="X696" s="257" t="s">
        <v>1609</v>
      </c>
    </row>
    <row r="697" spans="23:24" x14ac:dyDescent="0.2">
      <c r="W697" s="256" t="s">
        <v>1612</v>
      </c>
      <c r="X697" s="257" t="s">
        <v>1611</v>
      </c>
    </row>
    <row r="698" spans="23:24" x14ac:dyDescent="0.2">
      <c r="W698" s="256" t="s">
        <v>1614</v>
      </c>
      <c r="X698" s="257" t="s">
        <v>1613</v>
      </c>
    </row>
    <row r="699" spans="23:24" x14ac:dyDescent="0.2">
      <c r="W699" s="256" t="s">
        <v>1616</v>
      </c>
      <c r="X699" s="257" t="s">
        <v>1615</v>
      </c>
    </row>
    <row r="700" spans="23:24" x14ac:dyDescent="0.2">
      <c r="W700" s="256" t="s">
        <v>1618</v>
      </c>
      <c r="X700" s="257" t="s">
        <v>1617</v>
      </c>
    </row>
    <row r="701" spans="23:24" x14ac:dyDescent="0.2">
      <c r="W701" s="256" t="s">
        <v>1620</v>
      </c>
      <c r="X701" s="257" t="s">
        <v>1619</v>
      </c>
    </row>
    <row r="702" spans="23:24" x14ac:dyDescent="0.2">
      <c r="W702" s="256" t="s">
        <v>1622</v>
      </c>
      <c r="X702" s="257" t="s">
        <v>1621</v>
      </c>
    </row>
    <row r="703" spans="23:24" x14ac:dyDescent="0.2">
      <c r="W703" s="256" t="s">
        <v>1624</v>
      </c>
      <c r="X703" s="257" t="s">
        <v>1623</v>
      </c>
    </row>
    <row r="704" spans="23:24" x14ac:dyDescent="0.2">
      <c r="W704" s="256" t="s">
        <v>1626</v>
      </c>
      <c r="X704" s="257" t="s">
        <v>1625</v>
      </c>
    </row>
    <row r="705" spans="23:24" x14ac:dyDescent="0.2">
      <c r="W705" s="256" t="s">
        <v>1628</v>
      </c>
      <c r="X705" s="257" t="s">
        <v>1627</v>
      </c>
    </row>
    <row r="706" spans="23:24" x14ac:dyDescent="0.2">
      <c r="W706" s="256" t="s">
        <v>1630</v>
      </c>
      <c r="X706" s="257" t="s">
        <v>1629</v>
      </c>
    </row>
    <row r="707" spans="23:24" x14ac:dyDescent="0.2">
      <c r="W707" s="256" t="s">
        <v>1632</v>
      </c>
      <c r="X707" s="257" t="s">
        <v>1631</v>
      </c>
    </row>
    <row r="708" spans="23:24" x14ac:dyDescent="0.2">
      <c r="W708" s="256" t="s">
        <v>1634</v>
      </c>
      <c r="X708" s="257" t="s">
        <v>1633</v>
      </c>
    </row>
    <row r="709" spans="23:24" x14ac:dyDescent="0.2">
      <c r="W709" s="256" t="s">
        <v>1636</v>
      </c>
      <c r="X709" s="257" t="s">
        <v>1635</v>
      </c>
    </row>
    <row r="710" spans="23:24" x14ac:dyDescent="0.2">
      <c r="W710" s="256" t="s">
        <v>1638</v>
      </c>
      <c r="X710" s="257" t="s">
        <v>1637</v>
      </c>
    </row>
    <row r="711" spans="23:24" x14ac:dyDescent="0.2">
      <c r="W711" s="256" t="s">
        <v>1640</v>
      </c>
      <c r="X711" s="257" t="s">
        <v>1639</v>
      </c>
    </row>
    <row r="712" spans="23:24" x14ac:dyDescent="0.2">
      <c r="W712" s="256" t="s">
        <v>1642</v>
      </c>
      <c r="X712" s="257" t="s">
        <v>1641</v>
      </c>
    </row>
    <row r="713" spans="23:24" x14ac:dyDescent="0.2">
      <c r="W713" s="256" t="s">
        <v>1644</v>
      </c>
      <c r="X713" s="257" t="s">
        <v>1643</v>
      </c>
    </row>
    <row r="714" spans="23:24" x14ac:dyDescent="0.2">
      <c r="W714" s="256" t="s">
        <v>1646</v>
      </c>
      <c r="X714" s="257" t="s">
        <v>1645</v>
      </c>
    </row>
    <row r="715" spans="23:24" x14ac:dyDescent="0.2">
      <c r="W715" s="256" t="s">
        <v>1648</v>
      </c>
      <c r="X715" s="257" t="s">
        <v>1647</v>
      </c>
    </row>
    <row r="716" spans="23:24" x14ac:dyDescent="0.2">
      <c r="W716" s="256" t="s">
        <v>1650</v>
      </c>
      <c r="X716" s="257" t="s">
        <v>1649</v>
      </c>
    </row>
    <row r="717" spans="23:24" x14ac:dyDescent="0.2">
      <c r="W717" s="256" t="s">
        <v>1652</v>
      </c>
      <c r="X717" s="257" t="s">
        <v>1651</v>
      </c>
    </row>
    <row r="718" spans="23:24" x14ac:dyDescent="0.2">
      <c r="W718" s="256" t="s">
        <v>1654</v>
      </c>
      <c r="X718" s="257" t="s">
        <v>1653</v>
      </c>
    </row>
    <row r="719" spans="23:24" x14ac:dyDescent="0.2">
      <c r="W719" s="256" t="s">
        <v>1656</v>
      </c>
      <c r="X719" s="257" t="s">
        <v>1655</v>
      </c>
    </row>
    <row r="720" spans="23:24" x14ac:dyDescent="0.2">
      <c r="W720" s="256" t="s">
        <v>1658</v>
      </c>
      <c r="X720" s="257" t="s">
        <v>1657</v>
      </c>
    </row>
    <row r="721" spans="23:24" x14ac:dyDescent="0.2">
      <c r="W721" s="256" t="s">
        <v>1660</v>
      </c>
      <c r="X721" s="257" t="s">
        <v>1659</v>
      </c>
    </row>
    <row r="722" spans="23:24" x14ac:dyDescent="0.2">
      <c r="W722" s="256" t="s">
        <v>1662</v>
      </c>
      <c r="X722" s="257" t="s">
        <v>1661</v>
      </c>
    </row>
    <row r="723" spans="23:24" x14ac:dyDescent="0.2">
      <c r="W723" s="256" t="s">
        <v>1664</v>
      </c>
      <c r="X723" s="257" t="s">
        <v>1663</v>
      </c>
    </row>
    <row r="724" spans="23:24" x14ac:dyDescent="0.2">
      <c r="W724" s="256" t="s">
        <v>1666</v>
      </c>
      <c r="X724" s="257" t="s">
        <v>1665</v>
      </c>
    </row>
    <row r="725" spans="23:24" x14ac:dyDescent="0.2">
      <c r="W725" s="256" t="s">
        <v>1668</v>
      </c>
      <c r="X725" s="257" t="s">
        <v>1667</v>
      </c>
    </row>
    <row r="726" spans="23:24" x14ac:dyDescent="0.2">
      <c r="W726" s="256" t="s">
        <v>1670</v>
      </c>
      <c r="X726" s="257" t="s">
        <v>1669</v>
      </c>
    </row>
    <row r="727" spans="23:24" x14ac:dyDescent="0.2">
      <c r="W727" s="256" t="s">
        <v>1672</v>
      </c>
      <c r="X727" s="257" t="s">
        <v>1671</v>
      </c>
    </row>
    <row r="728" spans="23:24" x14ac:dyDescent="0.2">
      <c r="W728" s="256" t="s">
        <v>1674</v>
      </c>
      <c r="X728" s="257" t="s">
        <v>1673</v>
      </c>
    </row>
    <row r="729" spans="23:24" x14ac:dyDescent="0.2">
      <c r="W729" s="256" t="s">
        <v>1676</v>
      </c>
      <c r="X729" s="257" t="s">
        <v>1675</v>
      </c>
    </row>
    <row r="730" spans="23:24" x14ac:dyDescent="0.2">
      <c r="W730" s="256" t="s">
        <v>1678</v>
      </c>
      <c r="X730" s="257" t="s">
        <v>1677</v>
      </c>
    </row>
    <row r="731" spans="23:24" x14ac:dyDescent="0.2">
      <c r="W731" s="256" t="s">
        <v>1680</v>
      </c>
      <c r="X731" s="257" t="s">
        <v>1679</v>
      </c>
    </row>
    <row r="732" spans="23:24" x14ac:dyDescent="0.2">
      <c r="W732" s="256" t="s">
        <v>1682</v>
      </c>
      <c r="X732" s="257" t="s">
        <v>1681</v>
      </c>
    </row>
    <row r="733" spans="23:24" x14ac:dyDescent="0.2">
      <c r="W733" s="256" t="s">
        <v>1683</v>
      </c>
      <c r="X733" s="257" t="s">
        <v>1677</v>
      </c>
    </row>
    <row r="734" spans="23:24" x14ac:dyDescent="0.2">
      <c r="W734" s="256" t="s">
        <v>1685</v>
      </c>
      <c r="X734" s="257" t="s">
        <v>1684</v>
      </c>
    </row>
    <row r="735" spans="23:24" x14ac:dyDescent="0.2">
      <c r="W735" s="256" t="s">
        <v>1687</v>
      </c>
      <c r="X735" s="257" t="s">
        <v>1686</v>
      </c>
    </row>
    <row r="736" spans="23:24" x14ac:dyDescent="0.2">
      <c r="W736" s="256" t="s">
        <v>1689</v>
      </c>
      <c r="X736" s="257" t="s">
        <v>1688</v>
      </c>
    </row>
    <row r="737" spans="23:24" x14ac:dyDescent="0.2">
      <c r="W737" s="256" t="s">
        <v>1691</v>
      </c>
      <c r="X737" s="257" t="s">
        <v>1690</v>
      </c>
    </row>
    <row r="738" spans="23:24" x14ac:dyDescent="0.2">
      <c r="W738" s="256" t="s">
        <v>1693</v>
      </c>
      <c r="X738" s="257" t="s">
        <v>1692</v>
      </c>
    </row>
    <row r="739" spans="23:24" x14ac:dyDescent="0.2">
      <c r="W739" s="256" t="s">
        <v>1695</v>
      </c>
      <c r="X739" s="257" t="s">
        <v>1694</v>
      </c>
    </row>
    <row r="740" spans="23:24" x14ac:dyDescent="0.2">
      <c r="W740" s="256" t="s">
        <v>1697</v>
      </c>
      <c r="X740" s="257" t="s">
        <v>1696</v>
      </c>
    </row>
    <row r="741" spans="23:24" x14ac:dyDescent="0.2">
      <c r="W741" s="256" t="s">
        <v>1699</v>
      </c>
      <c r="X741" s="257" t="s">
        <v>1698</v>
      </c>
    </row>
    <row r="742" spans="23:24" x14ac:dyDescent="0.2">
      <c r="W742" s="256" t="s">
        <v>1701</v>
      </c>
      <c r="X742" s="257" t="s">
        <v>1700</v>
      </c>
    </row>
    <row r="743" spans="23:24" x14ac:dyDescent="0.2">
      <c r="W743" s="256" t="s">
        <v>1703</v>
      </c>
      <c r="X743" s="257" t="s">
        <v>1702</v>
      </c>
    </row>
    <row r="744" spans="23:24" x14ac:dyDescent="0.2">
      <c r="W744" s="256" t="s">
        <v>1705</v>
      </c>
      <c r="X744" s="257" t="s">
        <v>1704</v>
      </c>
    </row>
    <row r="745" spans="23:24" x14ac:dyDescent="0.2">
      <c r="W745" s="256" t="s">
        <v>1707</v>
      </c>
      <c r="X745" s="257" t="s">
        <v>1706</v>
      </c>
    </row>
    <row r="746" spans="23:24" x14ac:dyDescent="0.2">
      <c r="W746" s="256" t="s">
        <v>1709</v>
      </c>
      <c r="X746" s="257" t="s">
        <v>1708</v>
      </c>
    </row>
    <row r="747" spans="23:24" x14ac:dyDescent="0.2">
      <c r="W747" s="256" t="s">
        <v>1711</v>
      </c>
      <c r="X747" s="257" t="s">
        <v>1710</v>
      </c>
    </row>
    <row r="748" spans="23:24" x14ac:dyDescent="0.2">
      <c r="W748" s="256" t="s">
        <v>1713</v>
      </c>
      <c r="X748" s="257" t="s">
        <v>1712</v>
      </c>
    </row>
    <row r="749" spans="23:24" x14ac:dyDescent="0.2">
      <c r="W749" s="256" t="s">
        <v>1715</v>
      </c>
      <c r="X749" s="257" t="s">
        <v>1714</v>
      </c>
    </row>
    <row r="750" spans="23:24" x14ac:dyDescent="0.2">
      <c r="W750" s="256" t="s">
        <v>1717</v>
      </c>
      <c r="X750" s="257" t="s">
        <v>1716</v>
      </c>
    </row>
    <row r="751" spans="23:24" x14ac:dyDescent="0.2">
      <c r="W751" s="256" t="s">
        <v>1719</v>
      </c>
      <c r="X751" s="257" t="s">
        <v>1718</v>
      </c>
    </row>
    <row r="752" spans="23:24" x14ac:dyDescent="0.2">
      <c r="W752" s="256" t="s">
        <v>1721</v>
      </c>
      <c r="X752" s="257" t="s">
        <v>1720</v>
      </c>
    </row>
    <row r="753" spans="23:24" x14ac:dyDescent="0.2">
      <c r="W753" s="256" t="s">
        <v>1723</v>
      </c>
      <c r="X753" s="257" t="s">
        <v>1722</v>
      </c>
    </row>
    <row r="754" spans="23:24" x14ac:dyDescent="0.2">
      <c r="W754" s="256" t="s">
        <v>1725</v>
      </c>
      <c r="X754" s="257" t="s">
        <v>1724</v>
      </c>
    </row>
    <row r="755" spans="23:24" x14ac:dyDescent="0.2">
      <c r="W755" s="256" t="s">
        <v>1727</v>
      </c>
      <c r="X755" s="257" t="s">
        <v>1726</v>
      </c>
    </row>
    <row r="756" spans="23:24" x14ac:dyDescent="0.2">
      <c r="W756" s="256" t="s">
        <v>1729</v>
      </c>
      <c r="X756" s="257" t="s">
        <v>1728</v>
      </c>
    </row>
    <row r="757" spans="23:24" x14ac:dyDescent="0.2">
      <c r="W757" s="256" t="s">
        <v>1731</v>
      </c>
      <c r="X757" s="257" t="s">
        <v>1730</v>
      </c>
    </row>
    <row r="758" spans="23:24" x14ac:dyDescent="0.2">
      <c r="W758" s="256" t="s">
        <v>1733</v>
      </c>
      <c r="X758" s="257" t="s">
        <v>1732</v>
      </c>
    </row>
    <row r="759" spans="23:24" x14ac:dyDescent="0.2">
      <c r="W759" s="256" t="s">
        <v>1735</v>
      </c>
      <c r="X759" s="257" t="s">
        <v>1734</v>
      </c>
    </row>
    <row r="760" spans="23:24" x14ac:dyDescent="0.2">
      <c r="W760" s="256" t="s">
        <v>1737</v>
      </c>
      <c r="X760" s="257" t="s">
        <v>1736</v>
      </c>
    </row>
    <row r="761" spans="23:24" x14ac:dyDescent="0.2">
      <c r="W761" s="256" t="s">
        <v>1739</v>
      </c>
      <c r="X761" s="257" t="s">
        <v>1738</v>
      </c>
    </row>
    <row r="762" spans="23:24" x14ac:dyDescent="0.2">
      <c r="W762" s="256" t="s">
        <v>1741</v>
      </c>
      <c r="X762" s="257" t="s">
        <v>1740</v>
      </c>
    </row>
    <row r="763" spans="23:24" x14ac:dyDescent="0.2">
      <c r="W763" s="256" t="s">
        <v>1743</v>
      </c>
      <c r="X763" s="257" t="s">
        <v>1742</v>
      </c>
    </row>
    <row r="764" spans="23:24" x14ac:dyDescent="0.2">
      <c r="W764" s="256" t="s">
        <v>1745</v>
      </c>
      <c r="X764" s="257" t="s">
        <v>1744</v>
      </c>
    </row>
    <row r="765" spans="23:24" x14ac:dyDescent="0.2">
      <c r="W765" s="256" t="s">
        <v>1747</v>
      </c>
      <c r="X765" s="257" t="s">
        <v>1746</v>
      </c>
    </row>
    <row r="766" spans="23:24" x14ac:dyDescent="0.2">
      <c r="W766" s="256" t="s">
        <v>1749</v>
      </c>
      <c r="X766" s="257" t="s">
        <v>1748</v>
      </c>
    </row>
    <row r="767" spans="23:24" x14ac:dyDescent="0.2">
      <c r="W767" s="256" t="s">
        <v>1751</v>
      </c>
      <c r="X767" s="257" t="s">
        <v>1750</v>
      </c>
    </row>
    <row r="768" spans="23:24" x14ac:dyDescent="0.2">
      <c r="W768" s="256" t="s">
        <v>1753</v>
      </c>
      <c r="X768" s="257" t="s">
        <v>1752</v>
      </c>
    </row>
    <row r="769" spans="23:24" x14ac:dyDescent="0.2">
      <c r="W769" s="256" t="s">
        <v>1755</v>
      </c>
      <c r="X769" s="257" t="s">
        <v>1754</v>
      </c>
    </row>
    <row r="770" spans="23:24" x14ac:dyDescent="0.2">
      <c r="W770" s="256" t="s">
        <v>1757</v>
      </c>
      <c r="X770" s="257" t="s">
        <v>1756</v>
      </c>
    </row>
    <row r="771" spans="23:24" x14ac:dyDescent="0.2">
      <c r="W771" s="256" t="s">
        <v>1759</v>
      </c>
      <c r="X771" s="257" t="s">
        <v>1758</v>
      </c>
    </row>
    <row r="772" spans="23:24" x14ac:dyDescent="0.2">
      <c r="W772" s="256" t="s">
        <v>1761</v>
      </c>
      <c r="X772" s="257" t="s">
        <v>1760</v>
      </c>
    </row>
    <row r="773" spans="23:24" x14ac:dyDescent="0.2">
      <c r="W773" s="256" t="s">
        <v>1763</v>
      </c>
      <c r="X773" s="257" t="s">
        <v>1762</v>
      </c>
    </row>
    <row r="774" spans="23:24" x14ac:dyDescent="0.2">
      <c r="W774" s="256" t="s">
        <v>1765</v>
      </c>
      <c r="X774" s="257" t="s">
        <v>1764</v>
      </c>
    </row>
    <row r="775" spans="23:24" x14ac:dyDescent="0.2">
      <c r="W775" s="256" t="s">
        <v>1767</v>
      </c>
      <c r="X775" s="257" t="s">
        <v>1766</v>
      </c>
    </row>
    <row r="776" spans="23:24" x14ac:dyDescent="0.2">
      <c r="W776" s="256" t="s">
        <v>1769</v>
      </c>
      <c r="X776" s="257" t="s">
        <v>1768</v>
      </c>
    </row>
    <row r="777" spans="23:24" x14ac:dyDescent="0.2">
      <c r="W777" s="256" t="s">
        <v>1771</v>
      </c>
      <c r="X777" s="257" t="s">
        <v>1770</v>
      </c>
    </row>
    <row r="778" spans="23:24" x14ac:dyDescent="0.2">
      <c r="W778" s="256" t="s">
        <v>1773</v>
      </c>
      <c r="X778" s="257" t="s">
        <v>1772</v>
      </c>
    </row>
    <row r="779" spans="23:24" x14ac:dyDescent="0.2">
      <c r="W779" s="256" t="s">
        <v>1775</v>
      </c>
      <c r="X779" s="257" t="s">
        <v>1774</v>
      </c>
    </row>
    <row r="780" spans="23:24" x14ac:dyDescent="0.2">
      <c r="W780" s="256" t="s">
        <v>1777</v>
      </c>
      <c r="X780" s="257" t="s">
        <v>1776</v>
      </c>
    </row>
    <row r="781" spans="23:24" x14ac:dyDescent="0.2">
      <c r="W781" s="256" t="s">
        <v>1779</v>
      </c>
      <c r="X781" s="257" t="s">
        <v>1778</v>
      </c>
    </row>
    <row r="782" spans="23:24" x14ac:dyDescent="0.2">
      <c r="W782" s="256" t="s">
        <v>1781</v>
      </c>
      <c r="X782" s="257" t="s">
        <v>1780</v>
      </c>
    </row>
    <row r="783" spans="23:24" x14ac:dyDescent="0.2">
      <c r="W783" s="256" t="s">
        <v>1783</v>
      </c>
      <c r="X783" s="257" t="s">
        <v>1782</v>
      </c>
    </row>
    <row r="784" spans="23:24" x14ac:dyDescent="0.2">
      <c r="W784" s="256" t="s">
        <v>1785</v>
      </c>
      <c r="X784" s="257" t="s">
        <v>1784</v>
      </c>
    </row>
    <row r="785" spans="23:24" x14ac:dyDescent="0.2">
      <c r="W785" s="256" t="s">
        <v>1787</v>
      </c>
      <c r="X785" s="257" t="s">
        <v>1786</v>
      </c>
    </row>
    <row r="786" spans="23:24" x14ac:dyDescent="0.2">
      <c r="W786" s="256" t="s">
        <v>1789</v>
      </c>
      <c r="X786" s="257" t="s">
        <v>1788</v>
      </c>
    </row>
    <row r="787" spans="23:24" x14ac:dyDescent="0.2">
      <c r="W787" s="256" t="s">
        <v>1791</v>
      </c>
      <c r="X787" s="257" t="s">
        <v>1790</v>
      </c>
    </row>
    <row r="788" spans="23:24" x14ac:dyDescent="0.2">
      <c r="W788" s="256" t="s">
        <v>1793</v>
      </c>
      <c r="X788" s="257" t="s">
        <v>1792</v>
      </c>
    </row>
    <row r="789" spans="23:24" x14ac:dyDescent="0.2">
      <c r="W789" s="256" t="s">
        <v>1795</v>
      </c>
      <c r="X789" s="257" t="s">
        <v>1794</v>
      </c>
    </row>
    <row r="790" spans="23:24" x14ac:dyDescent="0.2">
      <c r="W790" s="256" t="s">
        <v>1797</v>
      </c>
      <c r="X790" s="257" t="s">
        <v>1796</v>
      </c>
    </row>
    <row r="791" spans="23:24" x14ac:dyDescent="0.2">
      <c r="W791" s="256" t="s">
        <v>1799</v>
      </c>
      <c r="X791" s="257" t="s">
        <v>1798</v>
      </c>
    </row>
    <row r="792" spans="23:24" x14ac:dyDescent="0.2">
      <c r="W792" s="256" t="s">
        <v>1801</v>
      </c>
      <c r="X792" s="257" t="s">
        <v>1800</v>
      </c>
    </row>
    <row r="793" spans="23:24" x14ac:dyDescent="0.2">
      <c r="W793" s="256" t="s">
        <v>1803</v>
      </c>
      <c r="X793" s="257" t="s">
        <v>1802</v>
      </c>
    </row>
    <row r="794" spans="23:24" x14ac:dyDescent="0.2">
      <c r="W794" s="256" t="s">
        <v>1805</v>
      </c>
      <c r="X794" s="257" t="s">
        <v>1804</v>
      </c>
    </row>
    <row r="795" spans="23:24" x14ac:dyDescent="0.2">
      <c r="W795" s="256" t="s">
        <v>1807</v>
      </c>
      <c r="X795" s="257" t="s">
        <v>1806</v>
      </c>
    </row>
    <row r="796" spans="23:24" x14ac:dyDescent="0.2">
      <c r="W796" s="256" t="s">
        <v>1809</v>
      </c>
      <c r="X796" s="257" t="s">
        <v>1808</v>
      </c>
    </row>
    <row r="797" spans="23:24" x14ac:dyDescent="0.2">
      <c r="W797" s="256" t="s">
        <v>1811</v>
      </c>
      <c r="X797" s="257" t="s">
        <v>1810</v>
      </c>
    </row>
    <row r="798" spans="23:24" x14ac:dyDescent="0.2">
      <c r="W798" s="256" t="s">
        <v>1813</v>
      </c>
      <c r="X798" s="257" t="s">
        <v>1812</v>
      </c>
    </row>
    <row r="799" spans="23:24" x14ac:dyDescent="0.2">
      <c r="W799" s="256" t="s">
        <v>1815</v>
      </c>
      <c r="X799" s="257" t="s">
        <v>1814</v>
      </c>
    </row>
    <row r="800" spans="23:24" x14ac:dyDescent="0.2">
      <c r="W800" s="256" t="s">
        <v>1817</v>
      </c>
      <c r="X800" s="257" t="s">
        <v>1816</v>
      </c>
    </row>
    <row r="801" spans="23:24" x14ac:dyDescent="0.2">
      <c r="W801" s="256" t="s">
        <v>1819</v>
      </c>
      <c r="X801" s="257" t="s">
        <v>1818</v>
      </c>
    </row>
    <row r="802" spans="23:24" x14ac:dyDescent="0.2">
      <c r="W802" s="256" t="s">
        <v>1821</v>
      </c>
      <c r="X802" s="257" t="s">
        <v>1820</v>
      </c>
    </row>
    <row r="803" spans="23:24" x14ac:dyDescent="0.2">
      <c r="W803" s="256" t="s">
        <v>1823</v>
      </c>
      <c r="X803" s="257" t="s">
        <v>1822</v>
      </c>
    </row>
    <row r="804" spans="23:24" x14ac:dyDescent="0.2">
      <c r="W804" s="256" t="s">
        <v>1825</v>
      </c>
      <c r="X804" s="257" t="s">
        <v>1824</v>
      </c>
    </row>
    <row r="805" spans="23:24" x14ac:dyDescent="0.2">
      <c r="W805" s="256" t="s">
        <v>1827</v>
      </c>
      <c r="X805" s="257" t="s">
        <v>1826</v>
      </c>
    </row>
    <row r="806" spans="23:24" x14ac:dyDescent="0.2">
      <c r="W806" s="256" t="s">
        <v>1829</v>
      </c>
      <c r="X806" s="257" t="s">
        <v>1828</v>
      </c>
    </row>
    <row r="807" spans="23:24" x14ac:dyDescent="0.2">
      <c r="W807" s="256" t="s">
        <v>1831</v>
      </c>
      <c r="X807" s="257" t="s">
        <v>1830</v>
      </c>
    </row>
    <row r="808" spans="23:24" x14ac:dyDescent="0.2">
      <c r="W808" s="256" t="s">
        <v>1833</v>
      </c>
      <c r="X808" s="257" t="s">
        <v>1832</v>
      </c>
    </row>
    <row r="809" spans="23:24" x14ac:dyDescent="0.2">
      <c r="W809" s="256" t="s">
        <v>1835</v>
      </c>
      <c r="X809" s="257" t="s">
        <v>1834</v>
      </c>
    </row>
    <row r="810" spans="23:24" x14ac:dyDescent="0.2">
      <c r="W810" s="256" t="s">
        <v>1837</v>
      </c>
      <c r="X810" s="257" t="s">
        <v>1836</v>
      </c>
    </row>
    <row r="811" spans="23:24" x14ac:dyDescent="0.2">
      <c r="W811" s="256" t="s">
        <v>1839</v>
      </c>
      <c r="X811" s="257" t="s">
        <v>1838</v>
      </c>
    </row>
    <row r="812" spans="23:24" x14ac:dyDescent="0.2">
      <c r="W812" s="256" t="s">
        <v>1841</v>
      </c>
      <c r="X812" s="257" t="s">
        <v>1840</v>
      </c>
    </row>
    <row r="813" spans="23:24" x14ac:dyDescent="0.2">
      <c r="W813" s="256" t="s">
        <v>1843</v>
      </c>
      <c r="X813" s="257" t="s">
        <v>1842</v>
      </c>
    </row>
    <row r="814" spans="23:24" x14ac:dyDescent="0.2">
      <c r="W814" s="256" t="s">
        <v>1845</v>
      </c>
      <c r="X814" s="257" t="s">
        <v>1844</v>
      </c>
    </row>
    <row r="815" spans="23:24" x14ac:dyDescent="0.2">
      <c r="W815" s="256" t="s">
        <v>1847</v>
      </c>
      <c r="X815" s="257" t="s">
        <v>1846</v>
      </c>
    </row>
    <row r="816" spans="23:24" x14ac:dyDescent="0.2">
      <c r="W816" s="256" t="s">
        <v>1849</v>
      </c>
      <c r="X816" s="257" t="s">
        <v>1848</v>
      </c>
    </row>
    <row r="817" spans="23:24" x14ac:dyDescent="0.2">
      <c r="W817" s="256" t="s">
        <v>1851</v>
      </c>
      <c r="X817" s="257" t="s">
        <v>1850</v>
      </c>
    </row>
    <row r="818" spans="23:24" x14ac:dyDescent="0.2">
      <c r="W818" s="256" t="s">
        <v>1853</v>
      </c>
      <c r="X818" s="257" t="s">
        <v>1852</v>
      </c>
    </row>
    <row r="819" spans="23:24" x14ac:dyDescent="0.2">
      <c r="W819" s="256" t="s">
        <v>1855</v>
      </c>
      <c r="X819" s="257" t="s">
        <v>1854</v>
      </c>
    </row>
    <row r="820" spans="23:24" x14ac:dyDescent="0.2">
      <c r="W820" s="256" t="s">
        <v>1857</v>
      </c>
      <c r="X820" s="257" t="s">
        <v>1856</v>
      </c>
    </row>
    <row r="821" spans="23:24" x14ac:dyDescent="0.2">
      <c r="W821" s="256" t="s">
        <v>1859</v>
      </c>
      <c r="X821" s="257" t="s">
        <v>1858</v>
      </c>
    </row>
    <row r="822" spans="23:24" x14ac:dyDescent="0.2">
      <c r="W822" s="256" t="s">
        <v>1861</v>
      </c>
      <c r="X822" s="257" t="s">
        <v>1860</v>
      </c>
    </row>
    <row r="823" spans="23:24" x14ac:dyDescent="0.2">
      <c r="W823" s="256" t="s">
        <v>1863</v>
      </c>
      <c r="X823" s="257" t="s">
        <v>1862</v>
      </c>
    </row>
    <row r="824" spans="23:24" x14ac:dyDescent="0.2">
      <c r="W824" s="256" t="s">
        <v>1865</v>
      </c>
      <c r="X824" s="257" t="s">
        <v>1864</v>
      </c>
    </row>
    <row r="825" spans="23:24" x14ac:dyDescent="0.2">
      <c r="W825" s="256" t="s">
        <v>1867</v>
      </c>
      <c r="X825" s="257" t="s">
        <v>1866</v>
      </c>
    </row>
    <row r="826" spans="23:24" x14ac:dyDescent="0.2">
      <c r="W826" s="256" t="s">
        <v>1869</v>
      </c>
      <c r="X826" s="257" t="s">
        <v>1868</v>
      </c>
    </row>
    <row r="827" spans="23:24" x14ac:dyDescent="0.2">
      <c r="W827" s="256" t="s">
        <v>1871</v>
      </c>
      <c r="X827" s="257" t="s">
        <v>1870</v>
      </c>
    </row>
    <row r="828" spans="23:24" x14ac:dyDescent="0.2">
      <c r="W828" s="256" t="s">
        <v>1873</v>
      </c>
      <c r="X828" s="257" t="s">
        <v>1872</v>
      </c>
    </row>
    <row r="829" spans="23:24" x14ac:dyDescent="0.2">
      <c r="W829" s="256" t="s">
        <v>1875</v>
      </c>
      <c r="X829" s="257" t="s">
        <v>1874</v>
      </c>
    </row>
    <row r="830" spans="23:24" x14ac:dyDescent="0.2">
      <c r="W830" s="256" t="s">
        <v>1877</v>
      </c>
      <c r="X830" s="257" t="s">
        <v>1876</v>
      </c>
    </row>
    <row r="831" spans="23:24" x14ac:dyDescent="0.2">
      <c r="W831" s="256" t="s">
        <v>1879</v>
      </c>
      <c r="X831" s="257" t="s">
        <v>1878</v>
      </c>
    </row>
    <row r="832" spans="23:24" x14ac:dyDescent="0.2">
      <c r="W832" s="256" t="s">
        <v>1881</v>
      </c>
      <c r="X832" s="257" t="s">
        <v>1880</v>
      </c>
    </row>
    <row r="833" spans="23:24" x14ac:dyDescent="0.2">
      <c r="W833" s="256" t="s">
        <v>1883</v>
      </c>
      <c r="X833" s="257" t="s">
        <v>1882</v>
      </c>
    </row>
    <row r="834" spans="23:24" x14ac:dyDescent="0.2">
      <c r="W834" s="256" t="s">
        <v>1885</v>
      </c>
      <c r="X834" s="257" t="s">
        <v>1884</v>
      </c>
    </row>
    <row r="835" spans="23:24" x14ac:dyDescent="0.2">
      <c r="W835" s="256" t="s">
        <v>1887</v>
      </c>
      <c r="X835" s="257" t="s">
        <v>1886</v>
      </c>
    </row>
    <row r="836" spans="23:24" x14ac:dyDescent="0.2">
      <c r="W836" s="256" t="s">
        <v>1889</v>
      </c>
      <c r="X836" s="257" t="s">
        <v>1888</v>
      </c>
    </row>
    <row r="837" spans="23:24" x14ac:dyDescent="0.2">
      <c r="W837" s="256" t="s">
        <v>1891</v>
      </c>
      <c r="X837" s="257" t="s">
        <v>1890</v>
      </c>
    </row>
    <row r="838" spans="23:24" x14ac:dyDescent="0.2">
      <c r="W838" s="256" t="s">
        <v>1893</v>
      </c>
      <c r="X838" s="257" t="s">
        <v>1892</v>
      </c>
    </row>
    <row r="839" spans="23:24" x14ac:dyDescent="0.2">
      <c r="W839" s="256" t="s">
        <v>1895</v>
      </c>
      <c r="X839" s="257" t="s">
        <v>1894</v>
      </c>
    </row>
    <row r="840" spans="23:24" x14ac:dyDescent="0.2">
      <c r="W840" s="256" t="s">
        <v>1897</v>
      </c>
      <c r="X840" s="257" t="s">
        <v>1896</v>
      </c>
    </row>
    <row r="841" spans="23:24" x14ac:dyDescent="0.2">
      <c r="W841" s="256" t="s">
        <v>1899</v>
      </c>
      <c r="X841" s="257" t="s">
        <v>1898</v>
      </c>
    </row>
    <row r="842" spans="23:24" x14ac:dyDescent="0.2">
      <c r="W842" s="256" t="s">
        <v>1901</v>
      </c>
      <c r="X842" s="257" t="s">
        <v>1900</v>
      </c>
    </row>
    <row r="843" spans="23:24" x14ac:dyDescent="0.2">
      <c r="W843" s="256" t="s">
        <v>1903</v>
      </c>
      <c r="X843" s="257" t="s">
        <v>1902</v>
      </c>
    </row>
    <row r="844" spans="23:24" x14ac:dyDescent="0.2">
      <c r="W844" s="256" t="s">
        <v>1905</v>
      </c>
      <c r="X844" s="257" t="s">
        <v>1904</v>
      </c>
    </row>
    <row r="845" spans="23:24" x14ac:dyDescent="0.2">
      <c r="W845" s="256" t="s">
        <v>1907</v>
      </c>
      <c r="X845" s="257" t="s">
        <v>1906</v>
      </c>
    </row>
    <row r="846" spans="23:24" x14ac:dyDescent="0.2">
      <c r="W846" s="256" t="s">
        <v>1909</v>
      </c>
      <c r="X846" s="257" t="s">
        <v>1908</v>
      </c>
    </row>
    <row r="847" spans="23:24" x14ac:dyDescent="0.2">
      <c r="W847" s="256" t="s">
        <v>1911</v>
      </c>
      <c r="X847" s="257" t="s">
        <v>1910</v>
      </c>
    </row>
    <row r="848" spans="23:24" x14ac:dyDescent="0.2">
      <c r="W848" s="256" t="s">
        <v>1913</v>
      </c>
      <c r="X848" s="257" t="s">
        <v>1912</v>
      </c>
    </row>
    <row r="849" spans="23:24" x14ac:dyDescent="0.2">
      <c r="W849" s="256" t="s">
        <v>1915</v>
      </c>
      <c r="X849" s="257" t="s">
        <v>1914</v>
      </c>
    </row>
    <row r="850" spans="23:24" x14ac:dyDescent="0.2">
      <c r="W850" s="256" t="s">
        <v>1917</v>
      </c>
      <c r="X850" s="257" t="s">
        <v>1916</v>
      </c>
    </row>
    <row r="851" spans="23:24" x14ac:dyDescent="0.2">
      <c r="W851" s="256" t="s">
        <v>1919</v>
      </c>
      <c r="X851" s="257" t="s">
        <v>1918</v>
      </c>
    </row>
    <row r="852" spans="23:24" x14ac:dyDescent="0.2">
      <c r="W852" s="256" t="s">
        <v>1921</v>
      </c>
      <c r="X852" s="257" t="s">
        <v>1920</v>
      </c>
    </row>
    <row r="853" spans="23:24" x14ac:dyDescent="0.2">
      <c r="W853" s="256" t="s">
        <v>1923</v>
      </c>
      <c r="X853" s="257" t="s">
        <v>1922</v>
      </c>
    </row>
    <row r="854" spans="23:24" x14ac:dyDescent="0.2">
      <c r="W854" s="256" t="s">
        <v>1925</v>
      </c>
      <c r="X854" s="257" t="s">
        <v>1924</v>
      </c>
    </row>
    <row r="855" spans="23:24" x14ac:dyDescent="0.2">
      <c r="W855" s="256" t="s">
        <v>1927</v>
      </c>
      <c r="X855" s="257" t="s">
        <v>1926</v>
      </c>
    </row>
    <row r="856" spans="23:24" x14ac:dyDescent="0.2">
      <c r="W856" s="256" t="s">
        <v>1929</v>
      </c>
      <c r="X856" s="257" t="s">
        <v>1928</v>
      </c>
    </row>
    <row r="857" spans="23:24" x14ac:dyDescent="0.2">
      <c r="W857" s="256" t="s">
        <v>1931</v>
      </c>
      <c r="X857" s="257" t="s">
        <v>1930</v>
      </c>
    </row>
    <row r="858" spans="23:24" x14ac:dyDescent="0.2">
      <c r="W858" s="256" t="s">
        <v>1933</v>
      </c>
      <c r="X858" s="257" t="s">
        <v>1932</v>
      </c>
    </row>
    <row r="859" spans="23:24" x14ac:dyDescent="0.2">
      <c r="W859" s="256" t="s">
        <v>1935</v>
      </c>
      <c r="X859" s="257" t="s">
        <v>1934</v>
      </c>
    </row>
    <row r="860" spans="23:24" x14ac:dyDescent="0.2">
      <c r="W860" s="256" t="s">
        <v>1937</v>
      </c>
      <c r="X860" s="257" t="s">
        <v>1936</v>
      </c>
    </row>
    <row r="861" spans="23:24" x14ac:dyDescent="0.2">
      <c r="W861" s="256" t="s">
        <v>1939</v>
      </c>
      <c r="X861" s="257" t="s">
        <v>1938</v>
      </c>
    </row>
    <row r="862" spans="23:24" x14ac:dyDescent="0.2">
      <c r="W862" s="256" t="s">
        <v>1941</v>
      </c>
      <c r="X862" s="257" t="s">
        <v>1940</v>
      </c>
    </row>
    <row r="863" spans="23:24" x14ac:dyDescent="0.2">
      <c r="W863" s="256" t="s">
        <v>1943</v>
      </c>
      <c r="X863" s="257" t="s">
        <v>1942</v>
      </c>
    </row>
    <row r="864" spans="23:24" x14ac:dyDescent="0.2">
      <c r="W864" s="256" t="s">
        <v>1945</v>
      </c>
      <c r="X864" s="257" t="s">
        <v>1944</v>
      </c>
    </row>
    <row r="865" spans="23:24" x14ac:dyDescent="0.2">
      <c r="W865" s="256" t="s">
        <v>1947</v>
      </c>
      <c r="X865" s="257" t="s">
        <v>1946</v>
      </c>
    </row>
    <row r="866" spans="23:24" x14ac:dyDescent="0.2">
      <c r="W866" s="256" t="s">
        <v>1949</v>
      </c>
      <c r="X866" s="257" t="s">
        <v>1948</v>
      </c>
    </row>
    <row r="867" spans="23:24" x14ac:dyDescent="0.2">
      <c r="W867" s="256" t="s">
        <v>1951</v>
      </c>
      <c r="X867" s="257" t="s">
        <v>1950</v>
      </c>
    </row>
    <row r="868" spans="23:24" x14ac:dyDescent="0.2">
      <c r="W868" s="256" t="s">
        <v>1953</v>
      </c>
      <c r="X868" s="257" t="s">
        <v>1952</v>
      </c>
    </row>
    <row r="869" spans="23:24" x14ac:dyDescent="0.2">
      <c r="W869" s="256" t="s">
        <v>1955</v>
      </c>
      <c r="X869" s="257" t="s">
        <v>1954</v>
      </c>
    </row>
    <row r="870" spans="23:24" x14ac:dyDescent="0.2">
      <c r="W870" s="256" t="s">
        <v>1957</v>
      </c>
      <c r="X870" s="257" t="s">
        <v>1956</v>
      </c>
    </row>
    <row r="871" spans="23:24" x14ac:dyDescent="0.2">
      <c r="W871" s="256" t="s">
        <v>1959</v>
      </c>
      <c r="X871" s="257" t="s">
        <v>1958</v>
      </c>
    </row>
    <row r="872" spans="23:24" x14ac:dyDescent="0.2">
      <c r="W872" s="256" t="s">
        <v>1961</v>
      </c>
      <c r="X872" s="257" t="s">
        <v>1960</v>
      </c>
    </row>
    <row r="873" spans="23:24" x14ac:dyDescent="0.2">
      <c r="W873" s="256" t="s">
        <v>1963</v>
      </c>
      <c r="X873" s="257" t="s">
        <v>1962</v>
      </c>
    </row>
    <row r="874" spans="23:24" x14ac:dyDescent="0.2">
      <c r="W874" s="256" t="s">
        <v>1965</v>
      </c>
      <c r="X874" s="257" t="s">
        <v>1964</v>
      </c>
    </row>
    <row r="875" spans="23:24" x14ac:dyDescent="0.2">
      <c r="W875" s="256" t="s">
        <v>1967</v>
      </c>
      <c r="X875" s="257" t="s">
        <v>1966</v>
      </c>
    </row>
    <row r="876" spans="23:24" x14ac:dyDescent="0.2">
      <c r="W876" s="256" t="s">
        <v>1969</v>
      </c>
      <c r="X876" s="257" t="s">
        <v>1968</v>
      </c>
    </row>
    <row r="877" spans="23:24" x14ac:dyDescent="0.2">
      <c r="W877" s="256" t="s">
        <v>1971</v>
      </c>
      <c r="X877" s="257" t="s">
        <v>1970</v>
      </c>
    </row>
    <row r="878" spans="23:24" x14ac:dyDescent="0.2">
      <c r="W878" s="256" t="s">
        <v>1973</v>
      </c>
      <c r="X878" s="257" t="s">
        <v>1972</v>
      </c>
    </row>
    <row r="879" spans="23:24" x14ac:dyDescent="0.2">
      <c r="W879" s="256" t="s">
        <v>1975</v>
      </c>
      <c r="X879" s="257" t="s">
        <v>1974</v>
      </c>
    </row>
    <row r="880" spans="23:24" x14ac:dyDescent="0.2">
      <c r="W880" s="256" t="s">
        <v>1977</v>
      </c>
      <c r="X880" s="257" t="s">
        <v>1976</v>
      </c>
    </row>
    <row r="881" spans="23:24" x14ac:dyDescent="0.2">
      <c r="W881" s="256" t="s">
        <v>1979</v>
      </c>
      <c r="X881" s="257" t="s">
        <v>1978</v>
      </c>
    </row>
    <row r="882" spans="23:24" x14ac:dyDescent="0.2">
      <c r="W882" s="256" t="s">
        <v>1981</v>
      </c>
      <c r="X882" s="257" t="s">
        <v>1980</v>
      </c>
    </row>
    <row r="883" spans="23:24" x14ac:dyDescent="0.2">
      <c r="W883" s="256" t="s">
        <v>1983</v>
      </c>
      <c r="X883" s="257" t="s">
        <v>1982</v>
      </c>
    </row>
    <row r="884" spans="23:24" x14ac:dyDescent="0.2">
      <c r="W884" s="256" t="s">
        <v>1985</v>
      </c>
      <c r="X884" s="257" t="s">
        <v>1984</v>
      </c>
    </row>
    <row r="885" spans="23:24" x14ac:dyDescent="0.2">
      <c r="W885" s="256" t="s">
        <v>1987</v>
      </c>
      <c r="X885" s="257" t="s">
        <v>1986</v>
      </c>
    </row>
    <row r="886" spans="23:24" x14ac:dyDescent="0.2">
      <c r="W886" s="256" t="s">
        <v>1989</v>
      </c>
      <c r="X886" s="257" t="s">
        <v>1988</v>
      </c>
    </row>
    <row r="887" spans="23:24" x14ac:dyDescent="0.2">
      <c r="W887" s="256" t="s">
        <v>1991</v>
      </c>
      <c r="X887" s="257" t="s">
        <v>1990</v>
      </c>
    </row>
    <row r="888" spans="23:24" x14ac:dyDescent="0.2">
      <c r="W888" s="256" t="s">
        <v>1993</v>
      </c>
      <c r="X888" s="257" t="s">
        <v>1992</v>
      </c>
    </row>
    <row r="889" spans="23:24" x14ac:dyDescent="0.2">
      <c r="W889" s="256" t="s">
        <v>1995</v>
      </c>
      <c r="X889" s="257" t="s">
        <v>1994</v>
      </c>
    </row>
    <row r="890" spans="23:24" x14ac:dyDescent="0.2">
      <c r="W890" s="256" t="s">
        <v>1997</v>
      </c>
      <c r="X890" s="257" t="s">
        <v>1996</v>
      </c>
    </row>
    <row r="891" spans="23:24" x14ac:dyDescent="0.2">
      <c r="W891" s="256" t="s">
        <v>1999</v>
      </c>
      <c r="X891" s="257" t="s">
        <v>1998</v>
      </c>
    </row>
    <row r="892" spans="23:24" x14ac:dyDescent="0.2">
      <c r="W892" s="256" t="s">
        <v>2001</v>
      </c>
      <c r="X892" s="257" t="s">
        <v>2000</v>
      </c>
    </row>
    <row r="893" spans="23:24" x14ac:dyDescent="0.2">
      <c r="W893" s="256" t="s">
        <v>2003</v>
      </c>
      <c r="X893" s="257" t="s">
        <v>2002</v>
      </c>
    </row>
    <row r="894" spans="23:24" x14ac:dyDescent="0.2">
      <c r="W894" s="256" t="s">
        <v>2005</v>
      </c>
      <c r="X894" s="257" t="s">
        <v>2004</v>
      </c>
    </row>
    <row r="895" spans="23:24" x14ac:dyDescent="0.2">
      <c r="W895" s="256" t="s">
        <v>2007</v>
      </c>
      <c r="X895" s="257" t="s">
        <v>2006</v>
      </c>
    </row>
    <row r="896" spans="23:24" x14ac:dyDescent="0.2">
      <c r="W896" s="256" t="s">
        <v>2009</v>
      </c>
      <c r="X896" s="257" t="s">
        <v>2008</v>
      </c>
    </row>
    <row r="897" spans="23:24" x14ac:dyDescent="0.2">
      <c r="W897" s="256" t="s">
        <v>2011</v>
      </c>
      <c r="X897" s="257" t="s">
        <v>2010</v>
      </c>
    </row>
    <row r="898" spans="23:24" x14ac:dyDescent="0.2">
      <c r="W898" s="256" t="s">
        <v>2013</v>
      </c>
      <c r="X898" s="257" t="s">
        <v>2012</v>
      </c>
    </row>
    <row r="899" spans="23:24" x14ac:dyDescent="0.2">
      <c r="W899" s="256" t="s">
        <v>2015</v>
      </c>
      <c r="X899" s="257" t="s">
        <v>2014</v>
      </c>
    </row>
    <row r="900" spans="23:24" x14ac:dyDescent="0.2">
      <c r="W900" s="256" t="s">
        <v>2017</v>
      </c>
      <c r="X900" s="257" t="s">
        <v>2016</v>
      </c>
    </row>
    <row r="901" spans="23:24" x14ac:dyDescent="0.2">
      <c r="W901" s="256" t="s">
        <v>2019</v>
      </c>
      <c r="X901" s="257" t="s">
        <v>2018</v>
      </c>
    </row>
    <row r="902" spans="23:24" x14ac:dyDescent="0.2">
      <c r="W902" s="256" t="s">
        <v>2021</v>
      </c>
      <c r="X902" s="257" t="s">
        <v>2020</v>
      </c>
    </row>
    <row r="903" spans="23:24" x14ac:dyDescent="0.2">
      <c r="W903" s="256" t="s">
        <v>2023</v>
      </c>
      <c r="X903" s="257" t="s">
        <v>2022</v>
      </c>
    </row>
    <row r="904" spans="23:24" x14ac:dyDescent="0.2">
      <c r="W904" s="256" t="s">
        <v>2025</v>
      </c>
      <c r="X904" s="257" t="s">
        <v>2024</v>
      </c>
    </row>
    <row r="905" spans="23:24" x14ac:dyDescent="0.2">
      <c r="W905" s="256" t="s">
        <v>2027</v>
      </c>
      <c r="X905" s="257" t="s">
        <v>2026</v>
      </c>
    </row>
    <row r="906" spans="23:24" x14ac:dyDescent="0.2">
      <c r="W906" s="256" t="s">
        <v>2029</v>
      </c>
      <c r="X906" s="257" t="s">
        <v>2028</v>
      </c>
    </row>
    <row r="907" spans="23:24" x14ac:dyDescent="0.2">
      <c r="W907" s="256" t="s">
        <v>2031</v>
      </c>
      <c r="X907" s="257" t="s">
        <v>2030</v>
      </c>
    </row>
    <row r="908" spans="23:24" x14ac:dyDescent="0.2">
      <c r="W908" s="256" t="s">
        <v>2033</v>
      </c>
      <c r="X908" s="257" t="s">
        <v>2032</v>
      </c>
    </row>
    <row r="909" spans="23:24" x14ac:dyDescent="0.2">
      <c r="W909" s="256" t="s">
        <v>2035</v>
      </c>
      <c r="X909" s="257" t="s">
        <v>2034</v>
      </c>
    </row>
    <row r="910" spans="23:24" x14ac:dyDescent="0.2">
      <c r="W910" s="256" t="s">
        <v>2037</v>
      </c>
      <c r="X910" s="257" t="s">
        <v>2036</v>
      </c>
    </row>
    <row r="911" spans="23:24" x14ac:dyDescent="0.2">
      <c r="W911" s="256" t="s">
        <v>2039</v>
      </c>
      <c r="X911" s="257" t="s">
        <v>2038</v>
      </c>
    </row>
    <row r="912" spans="23:24" x14ac:dyDescent="0.2">
      <c r="W912" s="256" t="s">
        <v>2041</v>
      </c>
      <c r="X912" s="257" t="s">
        <v>2040</v>
      </c>
    </row>
    <row r="913" spans="23:24" x14ac:dyDescent="0.2">
      <c r="W913" s="256" t="s">
        <v>2043</v>
      </c>
      <c r="X913" s="257" t="s">
        <v>2042</v>
      </c>
    </row>
    <row r="914" spans="23:24" x14ac:dyDescent="0.2">
      <c r="W914" s="256" t="s">
        <v>2045</v>
      </c>
      <c r="X914" s="257" t="s">
        <v>2044</v>
      </c>
    </row>
    <row r="915" spans="23:24" x14ac:dyDescent="0.2">
      <c r="W915" s="256" t="s">
        <v>2047</v>
      </c>
      <c r="X915" s="257" t="s">
        <v>2046</v>
      </c>
    </row>
    <row r="916" spans="23:24" x14ac:dyDescent="0.2">
      <c r="W916" s="256" t="s">
        <v>2049</v>
      </c>
      <c r="X916" s="257" t="s">
        <v>2048</v>
      </c>
    </row>
    <row r="917" spans="23:24" x14ac:dyDescent="0.2">
      <c r="W917" s="256" t="s">
        <v>2051</v>
      </c>
      <c r="X917" s="257" t="s">
        <v>2050</v>
      </c>
    </row>
    <row r="918" spans="23:24" x14ac:dyDescent="0.2">
      <c r="W918" s="256" t="s">
        <v>2053</v>
      </c>
      <c r="X918" s="257" t="s">
        <v>2052</v>
      </c>
    </row>
    <row r="919" spans="23:24" x14ac:dyDescent="0.2">
      <c r="W919" s="256" t="s">
        <v>2055</v>
      </c>
      <c r="X919" s="257" t="s">
        <v>2054</v>
      </c>
    </row>
    <row r="920" spans="23:24" x14ac:dyDescent="0.2">
      <c r="W920" s="256" t="s">
        <v>2057</v>
      </c>
      <c r="X920" s="257" t="s">
        <v>2056</v>
      </c>
    </row>
    <row r="921" spans="23:24" x14ac:dyDescent="0.2">
      <c r="W921" s="256" t="s">
        <v>2059</v>
      </c>
      <c r="X921" s="257" t="s">
        <v>2058</v>
      </c>
    </row>
    <row r="922" spans="23:24" x14ac:dyDescent="0.2">
      <c r="W922" s="256" t="s">
        <v>2061</v>
      </c>
      <c r="X922" s="257" t="s">
        <v>2060</v>
      </c>
    </row>
    <row r="923" spans="23:24" x14ac:dyDescent="0.2">
      <c r="W923" s="256" t="s">
        <v>2063</v>
      </c>
      <c r="X923" s="257" t="s">
        <v>2062</v>
      </c>
    </row>
    <row r="924" spans="23:24" x14ac:dyDescent="0.2">
      <c r="W924" s="256" t="s">
        <v>2065</v>
      </c>
      <c r="X924" s="257" t="s">
        <v>2064</v>
      </c>
    </row>
    <row r="925" spans="23:24" x14ac:dyDescent="0.2">
      <c r="W925" s="256" t="s">
        <v>2067</v>
      </c>
      <c r="X925" s="257" t="s">
        <v>2066</v>
      </c>
    </row>
    <row r="926" spans="23:24" x14ac:dyDescent="0.2">
      <c r="W926" s="256" t="s">
        <v>2069</v>
      </c>
      <c r="X926" s="257" t="s">
        <v>2068</v>
      </c>
    </row>
    <row r="927" spans="23:24" x14ac:dyDescent="0.2">
      <c r="W927" s="256" t="s">
        <v>2071</v>
      </c>
      <c r="X927" s="257" t="s">
        <v>2070</v>
      </c>
    </row>
    <row r="928" spans="23:24" x14ac:dyDescent="0.2">
      <c r="W928" s="256" t="s">
        <v>2073</v>
      </c>
      <c r="X928" s="257" t="s">
        <v>2072</v>
      </c>
    </row>
    <row r="929" spans="23:24" x14ac:dyDescent="0.2">
      <c r="W929" s="256" t="s">
        <v>2075</v>
      </c>
      <c r="X929" s="257" t="s">
        <v>2074</v>
      </c>
    </row>
    <row r="930" spans="23:24" x14ac:dyDescent="0.2">
      <c r="W930" s="256" t="s">
        <v>2077</v>
      </c>
      <c r="X930" s="257" t="s">
        <v>2076</v>
      </c>
    </row>
    <row r="931" spans="23:24" x14ac:dyDescent="0.2">
      <c r="W931" s="256" t="s">
        <v>2079</v>
      </c>
      <c r="X931" s="257" t="s">
        <v>2078</v>
      </c>
    </row>
    <row r="932" spans="23:24" x14ac:dyDescent="0.2">
      <c r="W932" s="256" t="s">
        <v>2081</v>
      </c>
      <c r="X932" s="257" t="s">
        <v>2080</v>
      </c>
    </row>
    <row r="933" spans="23:24" x14ac:dyDescent="0.2">
      <c r="W933" s="256" t="s">
        <v>2083</v>
      </c>
      <c r="X933" s="257" t="s">
        <v>2082</v>
      </c>
    </row>
    <row r="934" spans="23:24" x14ac:dyDescent="0.2">
      <c r="W934" s="256" t="s">
        <v>2085</v>
      </c>
      <c r="X934" s="257" t="s">
        <v>2084</v>
      </c>
    </row>
    <row r="935" spans="23:24" x14ac:dyDescent="0.2">
      <c r="W935" s="256" t="s">
        <v>2087</v>
      </c>
      <c r="X935" s="257" t="s">
        <v>2086</v>
      </c>
    </row>
    <row r="936" spans="23:24" x14ac:dyDescent="0.2">
      <c r="W936" s="256" t="s">
        <v>2089</v>
      </c>
      <c r="X936" s="257" t="s">
        <v>2088</v>
      </c>
    </row>
    <row r="937" spans="23:24" x14ac:dyDescent="0.2">
      <c r="W937" s="256" t="s">
        <v>2091</v>
      </c>
      <c r="X937" s="257" t="s">
        <v>2090</v>
      </c>
    </row>
    <row r="938" spans="23:24" x14ac:dyDescent="0.2">
      <c r="W938" s="256" t="s">
        <v>2093</v>
      </c>
      <c r="X938" s="257" t="s">
        <v>2092</v>
      </c>
    </row>
    <row r="939" spans="23:24" x14ac:dyDescent="0.2">
      <c r="W939" s="256" t="s">
        <v>2095</v>
      </c>
      <c r="X939" s="257" t="s">
        <v>2094</v>
      </c>
    </row>
    <row r="940" spans="23:24" x14ac:dyDescent="0.2">
      <c r="W940" s="256" t="s">
        <v>2097</v>
      </c>
      <c r="X940" s="257" t="s">
        <v>2096</v>
      </c>
    </row>
    <row r="941" spans="23:24" x14ac:dyDescent="0.2">
      <c r="W941" s="256" t="s">
        <v>2099</v>
      </c>
      <c r="X941" s="257" t="s">
        <v>2098</v>
      </c>
    </row>
    <row r="942" spans="23:24" x14ac:dyDescent="0.2">
      <c r="W942" s="256" t="s">
        <v>2101</v>
      </c>
      <c r="X942" s="257" t="s">
        <v>2100</v>
      </c>
    </row>
    <row r="943" spans="23:24" x14ac:dyDescent="0.2">
      <c r="W943" s="256" t="s">
        <v>2103</v>
      </c>
      <c r="X943" s="257" t="s">
        <v>2102</v>
      </c>
    </row>
    <row r="944" spans="23:24" x14ac:dyDescent="0.2">
      <c r="W944" s="256" t="s">
        <v>2105</v>
      </c>
      <c r="X944" s="257" t="s">
        <v>2104</v>
      </c>
    </row>
    <row r="945" spans="23:24" x14ac:dyDescent="0.2">
      <c r="W945" s="256" t="s">
        <v>2107</v>
      </c>
      <c r="X945" s="257" t="s">
        <v>2106</v>
      </c>
    </row>
    <row r="946" spans="23:24" x14ac:dyDescent="0.2">
      <c r="W946" s="256" t="s">
        <v>2109</v>
      </c>
      <c r="X946" s="257" t="s">
        <v>2108</v>
      </c>
    </row>
    <row r="947" spans="23:24" x14ac:dyDescent="0.2">
      <c r="W947" s="256" t="s">
        <v>2111</v>
      </c>
      <c r="X947" s="257" t="s">
        <v>2110</v>
      </c>
    </row>
    <row r="948" spans="23:24" x14ac:dyDescent="0.2">
      <c r="W948" s="256" t="s">
        <v>2113</v>
      </c>
      <c r="X948" s="257" t="s">
        <v>2112</v>
      </c>
    </row>
    <row r="949" spans="23:24" x14ac:dyDescent="0.2">
      <c r="W949" s="256" t="s">
        <v>2115</v>
      </c>
      <c r="X949" s="257" t="s">
        <v>2114</v>
      </c>
    </row>
    <row r="950" spans="23:24" x14ac:dyDescent="0.2">
      <c r="W950" s="256" t="s">
        <v>2117</v>
      </c>
      <c r="X950" s="257" t="s">
        <v>2116</v>
      </c>
    </row>
    <row r="951" spans="23:24" x14ac:dyDescent="0.2">
      <c r="W951" s="256" t="s">
        <v>2119</v>
      </c>
      <c r="X951" s="257" t="s">
        <v>2118</v>
      </c>
    </row>
    <row r="952" spans="23:24" x14ac:dyDescent="0.2">
      <c r="W952" s="256" t="s">
        <v>2121</v>
      </c>
      <c r="X952" s="257" t="s">
        <v>2120</v>
      </c>
    </row>
    <row r="953" spans="23:24" x14ac:dyDescent="0.2">
      <c r="W953" s="256" t="s">
        <v>2123</v>
      </c>
      <c r="X953" s="257" t="s">
        <v>2122</v>
      </c>
    </row>
    <row r="954" spans="23:24" x14ac:dyDescent="0.2">
      <c r="W954" s="256" t="s">
        <v>2125</v>
      </c>
      <c r="X954" s="257" t="s">
        <v>2124</v>
      </c>
    </row>
    <row r="955" spans="23:24" x14ac:dyDescent="0.2">
      <c r="W955" s="256" t="s">
        <v>2127</v>
      </c>
      <c r="X955" s="257" t="s">
        <v>2126</v>
      </c>
    </row>
    <row r="956" spans="23:24" x14ac:dyDescent="0.2">
      <c r="W956" s="256" t="s">
        <v>2129</v>
      </c>
      <c r="X956" s="257" t="s">
        <v>2128</v>
      </c>
    </row>
    <row r="957" spans="23:24" x14ac:dyDescent="0.2">
      <c r="W957" s="256" t="s">
        <v>2131</v>
      </c>
      <c r="X957" s="257" t="s">
        <v>2130</v>
      </c>
    </row>
    <row r="958" spans="23:24" x14ac:dyDescent="0.2">
      <c r="W958" s="256" t="s">
        <v>2133</v>
      </c>
      <c r="X958" s="257" t="s">
        <v>2132</v>
      </c>
    </row>
    <row r="959" spans="23:24" x14ac:dyDescent="0.2">
      <c r="W959" s="256" t="s">
        <v>2135</v>
      </c>
      <c r="X959" s="257" t="s">
        <v>2134</v>
      </c>
    </row>
    <row r="960" spans="23:24" x14ac:dyDescent="0.2">
      <c r="W960" s="256" t="s">
        <v>2137</v>
      </c>
      <c r="X960" s="257" t="s">
        <v>2136</v>
      </c>
    </row>
    <row r="961" spans="23:24" x14ac:dyDescent="0.2">
      <c r="W961" s="256" t="s">
        <v>2139</v>
      </c>
      <c r="X961" s="257" t="s">
        <v>2138</v>
      </c>
    </row>
    <row r="962" spans="23:24" x14ac:dyDescent="0.2">
      <c r="W962" s="256" t="s">
        <v>2141</v>
      </c>
      <c r="X962" s="257" t="s">
        <v>2140</v>
      </c>
    </row>
    <row r="963" spans="23:24" x14ac:dyDescent="0.2">
      <c r="W963" s="256" t="s">
        <v>2143</v>
      </c>
      <c r="X963" s="257" t="s">
        <v>2142</v>
      </c>
    </row>
    <row r="964" spans="23:24" x14ac:dyDescent="0.2">
      <c r="W964" s="256" t="s">
        <v>2145</v>
      </c>
      <c r="X964" s="257" t="s">
        <v>2144</v>
      </c>
    </row>
    <row r="965" spans="23:24" x14ac:dyDescent="0.2">
      <c r="W965" s="256" t="s">
        <v>2147</v>
      </c>
      <c r="X965" s="257" t="s">
        <v>2146</v>
      </c>
    </row>
    <row r="966" spans="23:24" x14ac:dyDescent="0.2">
      <c r="W966" s="256" t="s">
        <v>2149</v>
      </c>
      <c r="X966" s="257" t="s">
        <v>2148</v>
      </c>
    </row>
    <row r="967" spans="23:24" x14ac:dyDescent="0.2">
      <c r="W967" s="256" t="s">
        <v>2151</v>
      </c>
      <c r="X967" s="257" t="s">
        <v>2150</v>
      </c>
    </row>
    <row r="968" spans="23:24" x14ac:dyDescent="0.2">
      <c r="W968" s="256" t="s">
        <v>2153</v>
      </c>
      <c r="X968" s="257" t="s">
        <v>2152</v>
      </c>
    </row>
    <row r="969" spans="23:24" x14ac:dyDescent="0.2">
      <c r="W969" s="256" t="s">
        <v>2155</v>
      </c>
      <c r="X969" s="257" t="s">
        <v>2154</v>
      </c>
    </row>
    <row r="970" spans="23:24" x14ac:dyDescent="0.2">
      <c r="W970" s="256" t="s">
        <v>2157</v>
      </c>
      <c r="X970" s="257" t="s">
        <v>2156</v>
      </c>
    </row>
    <row r="971" spans="23:24" x14ac:dyDescent="0.2">
      <c r="W971" s="256" t="s">
        <v>2159</v>
      </c>
      <c r="X971" s="257" t="s">
        <v>2158</v>
      </c>
    </row>
    <row r="972" spans="23:24" x14ac:dyDescent="0.2">
      <c r="W972" s="256" t="s">
        <v>2161</v>
      </c>
      <c r="X972" s="257" t="s">
        <v>2160</v>
      </c>
    </row>
    <row r="973" spans="23:24" x14ac:dyDescent="0.2">
      <c r="W973" s="256" t="s">
        <v>2163</v>
      </c>
      <c r="X973" s="257" t="s">
        <v>2162</v>
      </c>
    </row>
    <row r="974" spans="23:24" x14ac:dyDescent="0.2">
      <c r="W974" s="256" t="s">
        <v>2165</v>
      </c>
      <c r="X974" s="257" t="s">
        <v>2164</v>
      </c>
    </row>
    <row r="975" spans="23:24" x14ac:dyDescent="0.2">
      <c r="W975" s="256" t="s">
        <v>2167</v>
      </c>
      <c r="X975" s="257" t="s">
        <v>2166</v>
      </c>
    </row>
    <row r="976" spans="23:24" x14ac:dyDescent="0.2">
      <c r="W976" s="256" t="s">
        <v>2169</v>
      </c>
      <c r="X976" s="257" t="s">
        <v>2168</v>
      </c>
    </row>
    <row r="977" spans="23:24" x14ac:dyDescent="0.2">
      <c r="W977" s="256" t="s">
        <v>2171</v>
      </c>
      <c r="X977" s="257" t="s">
        <v>2170</v>
      </c>
    </row>
    <row r="978" spans="23:24" x14ac:dyDescent="0.2">
      <c r="W978" s="256" t="s">
        <v>2173</v>
      </c>
      <c r="X978" s="257" t="s">
        <v>2172</v>
      </c>
    </row>
    <row r="979" spans="23:24" x14ac:dyDescent="0.2">
      <c r="W979" s="256" t="s">
        <v>2175</v>
      </c>
      <c r="X979" s="257" t="s">
        <v>2174</v>
      </c>
    </row>
    <row r="980" spans="23:24" x14ac:dyDescent="0.2">
      <c r="W980" s="256" t="s">
        <v>2177</v>
      </c>
      <c r="X980" s="257" t="s">
        <v>2176</v>
      </c>
    </row>
    <row r="981" spans="23:24" x14ac:dyDescent="0.2">
      <c r="W981" s="256" t="s">
        <v>2179</v>
      </c>
      <c r="X981" s="257" t="s">
        <v>2178</v>
      </c>
    </row>
    <row r="982" spans="23:24" x14ac:dyDescent="0.2">
      <c r="W982" s="256" t="s">
        <v>2181</v>
      </c>
      <c r="X982" s="257" t="s">
        <v>2180</v>
      </c>
    </row>
    <row r="983" spans="23:24" x14ac:dyDescent="0.2">
      <c r="W983" s="256" t="s">
        <v>2183</v>
      </c>
      <c r="X983" s="257" t="s">
        <v>2182</v>
      </c>
    </row>
    <row r="984" spans="23:24" x14ac:dyDescent="0.2">
      <c r="W984" s="256" t="s">
        <v>2185</v>
      </c>
      <c r="X984" s="257" t="s">
        <v>2184</v>
      </c>
    </row>
    <row r="985" spans="23:24" x14ac:dyDescent="0.2">
      <c r="W985" s="256" t="s">
        <v>2187</v>
      </c>
      <c r="X985" s="257" t="s">
        <v>2186</v>
      </c>
    </row>
    <row r="986" spans="23:24" x14ac:dyDescent="0.2">
      <c r="W986" s="256" t="s">
        <v>2189</v>
      </c>
      <c r="X986" s="257" t="s">
        <v>2188</v>
      </c>
    </row>
    <row r="987" spans="23:24" x14ac:dyDescent="0.2">
      <c r="W987" s="256" t="s">
        <v>2191</v>
      </c>
      <c r="X987" s="257" t="s">
        <v>2190</v>
      </c>
    </row>
    <row r="988" spans="23:24" x14ac:dyDescent="0.2">
      <c r="W988" s="256" t="s">
        <v>2193</v>
      </c>
      <c r="X988" s="257" t="s">
        <v>2192</v>
      </c>
    </row>
    <row r="989" spans="23:24" x14ac:dyDescent="0.2">
      <c r="W989" s="256" t="s">
        <v>2195</v>
      </c>
      <c r="X989" s="257" t="s">
        <v>2194</v>
      </c>
    </row>
    <row r="990" spans="23:24" x14ac:dyDescent="0.2">
      <c r="W990" s="256" t="s">
        <v>2197</v>
      </c>
      <c r="X990" s="257" t="s">
        <v>2196</v>
      </c>
    </row>
    <row r="991" spans="23:24" x14ac:dyDescent="0.2">
      <c r="W991" s="256" t="s">
        <v>2199</v>
      </c>
      <c r="X991" s="257" t="s">
        <v>2198</v>
      </c>
    </row>
    <row r="992" spans="23:24" x14ac:dyDescent="0.2">
      <c r="W992" s="256" t="s">
        <v>2201</v>
      </c>
      <c r="X992" s="257" t="s">
        <v>2200</v>
      </c>
    </row>
    <row r="993" spans="23:24" x14ac:dyDescent="0.2">
      <c r="W993" s="256" t="s">
        <v>2203</v>
      </c>
      <c r="X993" s="257" t="s">
        <v>2202</v>
      </c>
    </row>
    <row r="994" spans="23:24" x14ac:dyDescent="0.2">
      <c r="W994" s="256" t="s">
        <v>2205</v>
      </c>
      <c r="X994" s="257" t="s">
        <v>2204</v>
      </c>
    </row>
    <row r="995" spans="23:24" x14ac:dyDescent="0.2">
      <c r="W995" s="256" t="s">
        <v>2207</v>
      </c>
      <c r="X995" s="257" t="s">
        <v>2206</v>
      </c>
    </row>
    <row r="996" spans="23:24" x14ac:dyDescent="0.2">
      <c r="W996" s="256" t="s">
        <v>2208</v>
      </c>
      <c r="X996" s="257" t="s">
        <v>2198</v>
      </c>
    </row>
    <row r="997" spans="23:24" x14ac:dyDescent="0.2">
      <c r="W997" s="256" t="s">
        <v>2210</v>
      </c>
      <c r="X997" s="257" t="s">
        <v>2209</v>
      </c>
    </row>
    <row r="998" spans="23:24" x14ac:dyDescent="0.2">
      <c r="W998" s="256" t="s">
        <v>2212</v>
      </c>
      <c r="X998" s="257" t="s">
        <v>2211</v>
      </c>
    </row>
    <row r="999" spans="23:24" x14ac:dyDescent="0.2">
      <c r="W999" s="256" t="s">
        <v>2214</v>
      </c>
      <c r="X999" s="257" t="s">
        <v>2213</v>
      </c>
    </row>
    <row r="1000" spans="23:24" x14ac:dyDescent="0.2">
      <c r="W1000" s="256" t="s">
        <v>2216</v>
      </c>
      <c r="X1000" s="257" t="s">
        <v>2215</v>
      </c>
    </row>
    <row r="1001" spans="23:24" x14ac:dyDescent="0.2">
      <c r="W1001" s="256" t="s">
        <v>2218</v>
      </c>
      <c r="X1001" s="257" t="s">
        <v>2217</v>
      </c>
    </row>
    <row r="1002" spans="23:24" x14ac:dyDescent="0.2">
      <c r="W1002" s="256" t="s">
        <v>2220</v>
      </c>
      <c r="X1002" s="257" t="s">
        <v>2219</v>
      </c>
    </row>
    <row r="1003" spans="23:24" x14ac:dyDescent="0.2">
      <c r="W1003" s="256" t="s">
        <v>2222</v>
      </c>
      <c r="X1003" s="257" t="s">
        <v>2221</v>
      </c>
    </row>
    <row r="1004" spans="23:24" x14ac:dyDescent="0.2">
      <c r="W1004" s="256" t="s">
        <v>2224</v>
      </c>
      <c r="X1004" s="257" t="s">
        <v>2223</v>
      </c>
    </row>
    <row r="1005" spans="23:24" x14ac:dyDescent="0.2">
      <c r="W1005" s="256" t="s">
        <v>2226</v>
      </c>
      <c r="X1005" s="257" t="s">
        <v>2225</v>
      </c>
    </row>
    <row r="1006" spans="23:24" x14ac:dyDescent="0.2">
      <c r="W1006" s="256" t="s">
        <v>2228</v>
      </c>
      <c r="X1006" s="257" t="s">
        <v>2227</v>
      </c>
    </row>
    <row r="1007" spans="23:24" x14ac:dyDescent="0.2">
      <c r="W1007" s="256" t="s">
        <v>2230</v>
      </c>
      <c r="X1007" s="257" t="s">
        <v>2229</v>
      </c>
    </row>
    <row r="1008" spans="23:24" x14ac:dyDescent="0.2">
      <c r="W1008" s="256" t="s">
        <v>2232</v>
      </c>
      <c r="X1008" s="257" t="s">
        <v>2231</v>
      </c>
    </row>
    <row r="1009" spans="23:24" x14ac:dyDescent="0.2">
      <c r="W1009" s="256" t="s">
        <v>2233</v>
      </c>
      <c r="X1009" s="257" t="s">
        <v>396</v>
      </c>
    </row>
    <row r="1010" spans="23:24" x14ac:dyDescent="0.2">
      <c r="W1010" s="256" t="s">
        <v>2235</v>
      </c>
      <c r="X1010" s="257" t="s">
        <v>2234</v>
      </c>
    </row>
    <row r="1011" spans="23:24" x14ac:dyDescent="0.2">
      <c r="W1011" s="256" t="s">
        <v>2237</v>
      </c>
      <c r="X1011" s="257" t="s">
        <v>2236</v>
      </c>
    </row>
    <row r="1012" spans="23:24" x14ac:dyDescent="0.2">
      <c r="W1012" s="256" t="s">
        <v>2239</v>
      </c>
      <c r="X1012" s="257" t="s">
        <v>2238</v>
      </c>
    </row>
    <row r="1013" spans="23:24" x14ac:dyDescent="0.2">
      <c r="W1013" s="256" t="s">
        <v>2240</v>
      </c>
      <c r="X1013" s="257" t="s">
        <v>2238</v>
      </c>
    </row>
    <row r="1014" spans="23:24" x14ac:dyDescent="0.2">
      <c r="W1014" s="256" t="s">
        <v>2241</v>
      </c>
      <c r="X1014" s="257" t="s">
        <v>2238</v>
      </c>
    </row>
    <row r="1015" spans="23:24" x14ac:dyDescent="0.2">
      <c r="W1015" s="256" t="s">
        <v>2242</v>
      </c>
      <c r="X1015" s="257" t="s">
        <v>2238</v>
      </c>
    </row>
    <row r="1016" spans="23:24" x14ac:dyDescent="0.2">
      <c r="W1016" s="256" t="s">
        <v>2244</v>
      </c>
      <c r="X1016" s="257" t="s">
        <v>2243</v>
      </c>
    </row>
    <row r="1017" spans="23:24" x14ac:dyDescent="0.2">
      <c r="W1017" s="256" t="s">
        <v>2246</v>
      </c>
      <c r="X1017" s="257" t="s">
        <v>2245</v>
      </c>
    </row>
    <row r="1018" spans="23:24" x14ac:dyDescent="0.2">
      <c r="W1018" s="256" t="s">
        <v>2248</v>
      </c>
      <c r="X1018" s="257" t="s">
        <v>2247</v>
      </c>
    </row>
    <row r="1019" spans="23:24" x14ac:dyDescent="0.2">
      <c r="W1019" s="256" t="s">
        <v>2250</v>
      </c>
      <c r="X1019" s="257" t="s">
        <v>2249</v>
      </c>
    </row>
    <row r="1020" spans="23:24" x14ac:dyDescent="0.2">
      <c r="W1020" s="256" t="s">
        <v>2252</v>
      </c>
      <c r="X1020" s="257" t="s">
        <v>2251</v>
      </c>
    </row>
    <row r="1021" spans="23:24" x14ac:dyDescent="0.2">
      <c r="W1021" s="256" t="s">
        <v>2254</v>
      </c>
      <c r="X1021" s="257" t="s">
        <v>2253</v>
      </c>
    </row>
    <row r="1022" spans="23:24" x14ac:dyDescent="0.2">
      <c r="W1022" s="256" t="s">
        <v>2256</v>
      </c>
      <c r="X1022" s="257" t="s">
        <v>2255</v>
      </c>
    </row>
    <row r="1023" spans="23:24" x14ac:dyDescent="0.2">
      <c r="W1023" s="256" t="s">
        <v>2258</v>
      </c>
      <c r="X1023" s="257" t="s">
        <v>2257</v>
      </c>
    </row>
    <row r="1024" spans="23:24" x14ac:dyDescent="0.2">
      <c r="W1024" s="256" t="s">
        <v>2259</v>
      </c>
      <c r="X1024" s="257" t="s">
        <v>2257</v>
      </c>
    </row>
    <row r="1025" spans="23:24" x14ac:dyDescent="0.2">
      <c r="W1025" s="256" t="s">
        <v>2261</v>
      </c>
      <c r="X1025" s="257" t="s">
        <v>2260</v>
      </c>
    </row>
    <row r="1026" spans="23:24" x14ac:dyDescent="0.2">
      <c r="W1026" s="256" t="s">
        <v>2263</v>
      </c>
      <c r="X1026" s="257" t="s">
        <v>2262</v>
      </c>
    </row>
    <row r="1027" spans="23:24" x14ac:dyDescent="0.2">
      <c r="W1027" s="256" t="s">
        <v>2265</v>
      </c>
      <c r="X1027" s="257" t="s">
        <v>2264</v>
      </c>
    </row>
    <row r="1028" spans="23:24" x14ac:dyDescent="0.2">
      <c r="W1028" s="256" t="s">
        <v>2267</v>
      </c>
      <c r="X1028" s="257" t="s">
        <v>2266</v>
      </c>
    </row>
    <row r="1029" spans="23:24" x14ac:dyDescent="0.2">
      <c r="W1029" s="256" t="s">
        <v>2269</v>
      </c>
      <c r="X1029" s="257" t="s">
        <v>2268</v>
      </c>
    </row>
    <row r="1030" spans="23:24" x14ac:dyDescent="0.2">
      <c r="W1030" s="256" t="s">
        <v>2271</v>
      </c>
      <c r="X1030" s="257" t="s">
        <v>2270</v>
      </c>
    </row>
    <row r="1031" spans="23:24" x14ac:dyDescent="0.2">
      <c r="W1031" s="256" t="s">
        <v>2273</v>
      </c>
      <c r="X1031" s="257" t="s">
        <v>2272</v>
      </c>
    </row>
    <row r="1032" spans="23:24" x14ac:dyDescent="0.2">
      <c r="W1032" s="256" t="s">
        <v>2275</v>
      </c>
      <c r="X1032" s="257" t="s">
        <v>2274</v>
      </c>
    </row>
    <row r="1033" spans="23:24" x14ac:dyDescent="0.2">
      <c r="W1033" s="256" t="s">
        <v>2277</v>
      </c>
      <c r="X1033" s="257" t="s">
        <v>2276</v>
      </c>
    </row>
    <row r="1034" spans="23:24" x14ac:dyDescent="0.2">
      <c r="W1034" s="256" t="s">
        <v>2279</v>
      </c>
      <c r="X1034" s="257" t="s">
        <v>2278</v>
      </c>
    </row>
    <row r="1035" spans="23:24" x14ac:dyDescent="0.2">
      <c r="W1035" s="256" t="s">
        <v>2281</v>
      </c>
      <c r="X1035" s="257" t="s">
        <v>2280</v>
      </c>
    </row>
    <row r="1036" spans="23:24" x14ac:dyDescent="0.2">
      <c r="W1036" s="256" t="s">
        <v>2283</v>
      </c>
      <c r="X1036" s="257" t="s">
        <v>2282</v>
      </c>
    </row>
    <row r="1037" spans="23:24" x14ac:dyDescent="0.2">
      <c r="W1037" s="256" t="s">
        <v>2285</v>
      </c>
      <c r="X1037" s="257" t="s">
        <v>2284</v>
      </c>
    </row>
    <row r="1038" spans="23:24" x14ac:dyDescent="0.2">
      <c r="W1038" s="256" t="s">
        <v>2287</v>
      </c>
      <c r="X1038" s="257" t="s">
        <v>2286</v>
      </c>
    </row>
    <row r="1039" spans="23:24" x14ac:dyDescent="0.2">
      <c r="W1039" s="256" t="s">
        <v>2289</v>
      </c>
      <c r="X1039" s="257" t="s">
        <v>2288</v>
      </c>
    </row>
    <row r="1040" spans="23:24" x14ac:dyDescent="0.2">
      <c r="W1040" s="256" t="s">
        <v>2291</v>
      </c>
      <c r="X1040" s="257" t="s">
        <v>2290</v>
      </c>
    </row>
    <row r="1041" spans="23:24" x14ac:dyDescent="0.2">
      <c r="W1041" s="256" t="s">
        <v>2293</v>
      </c>
      <c r="X1041" s="257" t="s">
        <v>2292</v>
      </c>
    </row>
    <row r="1042" spans="23:24" x14ac:dyDescent="0.2">
      <c r="W1042" s="256" t="s">
        <v>2295</v>
      </c>
      <c r="X1042" s="257" t="s">
        <v>2294</v>
      </c>
    </row>
    <row r="1043" spans="23:24" x14ac:dyDescent="0.2">
      <c r="W1043" s="256" t="s">
        <v>2297</v>
      </c>
      <c r="X1043" s="257" t="s">
        <v>2296</v>
      </c>
    </row>
    <row r="1044" spans="23:24" x14ac:dyDescent="0.2">
      <c r="W1044" s="256" t="s">
        <v>2299</v>
      </c>
      <c r="X1044" s="257" t="s">
        <v>2298</v>
      </c>
    </row>
    <row r="1045" spans="23:24" x14ac:dyDescent="0.2">
      <c r="W1045" s="256" t="s">
        <v>2301</v>
      </c>
      <c r="X1045" s="257" t="s">
        <v>2300</v>
      </c>
    </row>
    <row r="1046" spans="23:24" x14ac:dyDescent="0.2">
      <c r="W1046" s="256" t="s">
        <v>2303</v>
      </c>
      <c r="X1046" s="257" t="s">
        <v>2302</v>
      </c>
    </row>
    <row r="1047" spans="23:24" x14ac:dyDescent="0.2">
      <c r="W1047" s="256" t="s">
        <v>2305</v>
      </c>
      <c r="X1047" s="257" t="s">
        <v>2304</v>
      </c>
    </row>
    <row r="1048" spans="23:24" x14ac:dyDescent="0.2">
      <c r="W1048" s="256" t="s">
        <v>2307</v>
      </c>
      <c r="X1048" s="257" t="s">
        <v>2306</v>
      </c>
    </row>
    <row r="1049" spans="23:24" x14ac:dyDescent="0.2">
      <c r="W1049" s="256" t="s">
        <v>2309</v>
      </c>
      <c r="X1049" s="257" t="s">
        <v>2308</v>
      </c>
    </row>
    <row r="1050" spans="23:24" x14ac:dyDescent="0.2">
      <c r="W1050" s="256" t="s">
        <v>2311</v>
      </c>
      <c r="X1050" s="257" t="s">
        <v>2310</v>
      </c>
    </row>
    <row r="1051" spans="23:24" x14ac:dyDescent="0.2">
      <c r="W1051" s="256" t="s">
        <v>2313</v>
      </c>
      <c r="X1051" s="257" t="s">
        <v>2312</v>
      </c>
    </row>
    <row r="1052" spans="23:24" x14ac:dyDescent="0.2">
      <c r="W1052" s="256" t="s">
        <v>2315</v>
      </c>
      <c r="X1052" s="257" t="s">
        <v>2314</v>
      </c>
    </row>
    <row r="1053" spans="23:24" x14ac:dyDescent="0.2">
      <c r="W1053" s="256" t="s">
        <v>2317</v>
      </c>
      <c r="X1053" s="257" t="s">
        <v>2316</v>
      </c>
    </row>
    <row r="1054" spans="23:24" x14ac:dyDescent="0.2">
      <c r="W1054" s="256" t="s">
        <v>2319</v>
      </c>
      <c r="X1054" s="257" t="s">
        <v>2318</v>
      </c>
    </row>
    <row r="1055" spans="23:24" x14ac:dyDescent="0.2">
      <c r="W1055" s="256" t="s">
        <v>2321</v>
      </c>
      <c r="X1055" s="257" t="s">
        <v>2320</v>
      </c>
    </row>
    <row r="1056" spans="23:24" x14ac:dyDescent="0.2">
      <c r="W1056" s="256" t="s">
        <v>2323</v>
      </c>
      <c r="X1056" s="257" t="s">
        <v>2322</v>
      </c>
    </row>
    <row r="1057" spans="23:24" x14ac:dyDescent="0.2">
      <c r="W1057" s="256" t="s">
        <v>2325</v>
      </c>
      <c r="X1057" s="257" t="s">
        <v>2324</v>
      </c>
    </row>
    <row r="1058" spans="23:24" x14ac:dyDescent="0.2">
      <c r="W1058" s="256" t="s">
        <v>2327</v>
      </c>
      <c r="X1058" s="257" t="s">
        <v>2326</v>
      </c>
    </row>
    <row r="1059" spans="23:24" x14ac:dyDescent="0.2">
      <c r="W1059" s="256" t="s">
        <v>2329</v>
      </c>
      <c r="X1059" s="257" t="s">
        <v>2328</v>
      </c>
    </row>
    <row r="1060" spans="23:24" x14ac:dyDescent="0.2">
      <c r="W1060" s="256" t="s">
        <v>2331</v>
      </c>
      <c r="X1060" s="257" t="s">
        <v>2330</v>
      </c>
    </row>
    <row r="1061" spans="23:24" x14ac:dyDescent="0.2">
      <c r="W1061" s="256" t="s">
        <v>2333</v>
      </c>
      <c r="X1061" s="257" t="s">
        <v>2332</v>
      </c>
    </row>
    <row r="1062" spans="23:24" x14ac:dyDescent="0.2">
      <c r="W1062" s="256" t="s">
        <v>2335</v>
      </c>
      <c r="X1062" s="257" t="s">
        <v>2334</v>
      </c>
    </row>
    <row r="1063" spans="23:24" x14ac:dyDescent="0.2">
      <c r="W1063" s="256" t="s">
        <v>2337</v>
      </c>
      <c r="X1063" s="257" t="s">
        <v>2336</v>
      </c>
    </row>
    <row r="1064" spans="23:24" x14ac:dyDescent="0.2">
      <c r="W1064" s="256" t="s">
        <v>2339</v>
      </c>
      <c r="X1064" s="257" t="s">
        <v>2338</v>
      </c>
    </row>
    <row r="1065" spans="23:24" x14ac:dyDescent="0.2">
      <c r="W1065" s="256" t="s">
        <v>2341</v>
      </c>
      <c r="X1065" s="257" t="s">
        <v>2340</v>
      </c>
    </row>
    <row r="1066" spans="23:24" x14ac:dyDescent="0.2">
      <c r="W1066" s="256" t="s">
        <v>2343</v>
      </c>
      <c r="X1066" s="257" t="s">
        <v>2342</v>
      </c>
    </row>
    <row r="1067" spans="23:24" x14ac:dyDescent="0.2">
      <c r="W1067" s="256" t="s">
        <v>2345</v>
      </c>
      <c r="X1067" s="257" t="s">
        <v>2344</v>
      </c>
    </row>
    <row r="1068" spans="23:24" x14ac:dyDescent="0.2">
      <c r="W1068" s="256" t="s">
        <v>2347</v>
      </c>
      <c r="X1068" s="257" t="s">
        <v>2346</v>
      </c>
    </row>
    <row r="1069" spans="23:24" x14ac:dyDescent="0.2">
      <c r="W1069" s="256" t="s">
        <v>2349</v>
      </c>
      <c r="X1069" s="257" t="s">
        <v>2348</v>
      </c>
    </row>
    <row r="1070" spans="23:24" x14ac:dyDescent="0.2">
      <c r="W1070" s="256" t="s">
        <v>2351</v>
      </c>
      <c r="X1070" s="257" t="s">
        <v>2350</v>
      </c>
    </row>
    <row r="1071" spans="23:24" x14ac:dyDescent="0.2">
      <c r="W1071" s="256" t="s">
        <v>2353</v>
      </c>
      <c r="X1071" s="257" t="s">
        <v>2352</v>
      </c>
    </row>
    <row r="1072" spans="23:24" x14ac:dyDescent="0.2">
      <c r="W1072" s="256" t="s">
        <v>2355</v>
      </c>
      <c r="X1072" s="257" t="s">
        <v>2354</v>
      </c>
    </row>
    <row r="1073" spans="23:24" x14ac:dyDescent="0.2">
      <c r="W1073" s="256" t="s">
        <v>2356</v>
      </c>
      <c r="X1073" s="257" t="s">
        <v>2354</v>
      </c>
    </row>
    <row r="1074" spans="23:24" x14ac:dyDescent="0.2">
      <c r="W1074" s="256" t="s">
        <v>2358</v>
      </c>
      <c r="X1074" s="257" t="s">
        <v>2357</v>
      </c>
    </row>
    <row r="1075" spans="23:24" x14ac:dyDescent="0.2">
      <c r="W1075" s="256" t="s">
        <v>2360</v>
      </c>
      <c r="X1075" s="257" t="s">
        <v>2359</v>
      </c>
    </row>
    <row r="1076" spans="23:24" x14ac:dyDescent="0.2">
      <c r="W1076" s="256" t="s">
        <v>2362</v>
      </c>
      <c r="X1076" s="257" t="s">
        <v>2361</v>
      </c>
    </row>
    <row r="1077" spans="23:24" x14ac:dyDescent="0.2">
      <c r="W1077" s="256" t="s">
        <v>2364</v>
      </c>
      <c r="X1077" s="257" t="s">
        <v>2363</v>
      </c>
    </row>
    <row r="1078" spans="23:24" x14ac:dyDescent="0.2">
      <c r="W1078" s="256" t="s">
        <v>2366</v>
      </c>
      <c r="X1078" s="257" t="s">
        <v>2365</v>
      </c>
    </row>
    <row r="1079" spans="23:24" x14ac:dyDescent="0.2">
      <c r="W1079" s="256" t="s">
        <v>2368</v>
      </c>
      <c r="X1079" s="257" t="s">
        <v>2367</v>
      </c>
    </row>
    <row r="1080" spans="23:24" x14ac:dyDescent="0.2">
      <c r="W1080" s="256" t="s">
        <v>2370</v>
      </c>
      <c r="X1080" s="257" t="s">
        <v>2369</v>
      </c>
    </row>
    <row r="1081" spans="23:24" x14ac:dyDescent="0.2">
      <c r="W1081" s="256" t="s">
        <v>2372</v>
      </c>
      <c r="X1081" s="257" t="s">
        <v>2371</v>
      </c>
    </row>
    <row r="1082" spans="23:24" x14ac:dyDescent="0.2">
      <c r="W1082" s="256" t="s">
        <v>2374</v>
      </c>
      <c r="X1082" s="257" t="s">
        <v>2373</v>
      </c>
    </row>
    <row r="1083" spans="23:24" x14ac:dyDescent="0.2">
      <c r="W1083" s="256" t="s">
        <v>2376</v>
      </c>
      <c r="X1083" s="257" t="s">
        <v>2375</v>
      </c>
    </row>
    <row r="1084" spans="23:24" x14ac:dyDescent="0.2">
      <c r="W1084" s="256" t="s">
        <v>2378</v>
      </c>
      <c r="X1084" s="257" t="s">
        <v>2377</v>
      </c>
    </row>
    <row r="1085" spans="23:24" x14ac:dyDescent="0.2">
      <c r="W1085" s="256" t="s">
        <v>2380</v>
      </c>
      <c r="X1085" s="257" t="s">
        <v>2379</v>
      </c>
    </row>
    <row r="1086" spans="23:24" x14ac:dyDescent="0.2">
      <c r="W1086" s="256" t="s">
        <v>2382</v>
      </c>
      <c r="X1086" s="257" t="s">
        <v>2381</v>
      </c>
    </row>
    <row r="1087" spans="23:24" x14ac:dyDescent="0.2">
      <c r="W1087" s="256" t="s">
        <v>2384</v>
      </c>
      <c r="X1087" s="257" t="s">
        <v>2383</v>
      </c>
    </row>
    <row r="1088" spans="23:24" x14ac:dyDescent="0.2">
      <c r="W1088" s="256" t="s">
        <v>2386</v>
      </c>
      <c r="X1088" s="257" t="s">
        <v>2385</v>
      </c>
    </row>
    <row r="1089" spans="23:24" x14ac:dyDescent="0.2">
      <c r="W1089" s="256" t="s">
        <v>2388</v>
      </c>
      <c r="X1089" s="257" t="s">
        <v>2387</v>
      </c>
    </row>
    <row r="1090" spans="23:24" x14ac:dyDescent="0.2">
      <c r="W1090" s="256" t="s">
        <v>2390</v>
      </c>
      <c r="X1090" s="257" t="s">
        <v>2389</v>
      </c>
    </row>
    <row r="1091" spans="23:24" x14ac:dyDescent="0.2">
      <c r="W1091" s="256" t="s">
        <v>2392</v>
      </c>
      <c r="X1091" s="257" t="s">
        <v>2391</v>
      </c>
    </row>
    <row r="1092" spans="23:24" x14ac:dyDescent="0.2">
      <c r="W1092" s="256" t="s">
        <v>2394</v>
      </c>
      <c r="X1092" s="257" t="s">
        <v>2393</v>
      </c>
    </row>
    <row r="1093" spans="23:24" x14ac:dyDescent="0.2">
      <c r="W1093" s="256" t="s">
        <v>2396</v>
      </c>
      <c r="X1093" s="257" t="s">
        <v>2395</v>
      </c>
    </row>
    <row r="1094" spans="23:24" x14ac:dyDescent="0.2">
      <c r="W1094" s="256" t="s">
        <v>2398</v>
      </c>
      <c r="X1094" s="257" t="s">
        <v>2397</v>
      </c>
    </row>
    <row r="1095" spans="23:24" x14ac:dyDescent="0.2">
      <c r="W1095" s="256" t="s">
        <v>2400</v>
      </c>
      <c r="X1095" s="257" t="s">
        <v>2399</v>
      </c>
    </row>
    <row r="1096" spans="23:24" x14ac:dyDescent="0.2">
      <c r="W1096" s="256" t="s">
        <v>2402</v>
      </c>
      <c r="X1096" s="257" t="s">
        <v>2401</v>
      </c>
    </row>
    <row r="1097" spans="23:24" x14ac:dyDescent="0.2">
      <c r="W1097" s="256" t="s">
        <v>2404</v>
      </c>
      <c r="X1097" s="257" t="s">
        <v>2403</v>
      </c>
    </row>
    <row r="1098" spans="23:24" x14ac:dyDescent="0.2">
      <c r="W1098" s="256" t="s">
        <v>2406</v>
      </c>
      <c r="X1098" s="257" t="s">
        <v>2405</v>
      </c>
    </row>
    <row r="1099" spans="23:24" x14ac:dyDescent="0.2">
      <c r="W1099" s="256" t="s">
        <v>2408</v>
      </c>
      <c r="X1099" s="257" t="s">
        <v>2407</v>
      </c>
    </row>
    <row r="1100" spans="23:24" x14ac:dyDescent="0.2">
      <c r="W1100" s="256" t="s">
        <v>2410</v>
      </c>
      <c r="X1100" s="257" t="s">
        <v>2409</v>
      </c>
    </row>
    <row r="1101" spans="23:24" x14ac:dyDescent="0.2">
      <c r="W1101" s="256" t="s">
        <v>2412</v>
      </c>
      <c r="X1101" s="257" t="s">
        <v>2411</v>
      </c>
    </row>
    <row r="1102" spans="23:24" x14ac:dyDescent="0.2">
      <c r="W1102" s="256" t="s">
        <v>2414</v>
      </c>
      <c r="X1102" s="257" t="s">
        <v>2413</v>
      </c>
    </row>
    <row r="1103" spans="23:24" x14ac:dyDescent="0.2">
      <c r="W1103" s="256" t="s">
        <v>2416</v>
      </c>
      <c r="X1103" s="257" t="s">
        <v>2415</v>
      </c>
    </row>
    <row r="1104" spans="23:24" x14ac:dyDescent="0.2">
      <c r="W1104" s="256" t="s">
        <v>2418</v>
      </c>
      <c r="X1104" s="257" t="s">
        <v>2417</v>
      </c>
    </row>
    <row r="1105" spans="23:24" x14ac:dyDescent="0.2">
      <c r="W1105" s="256" t="s">
        <v>2420</v>
      </c>
      <c r="X1105" s="257" t="s">
        <v>2419</v>
      </c>
    </row>
    <row r="1106" spans="23:24" x14ac:dyDescent="0.2">
      <c r="W1106" s="256" t="s">
        <v>2422</v>
      </c>
      <c r="X1106" s="257" t="s">
        <v>2421</v>
      </c>
    </row>
    <row r="1107" spans="23:24" x14ac:dyDescent="0.2">
      <c r="W1107" s="256" t="s">
        <v>2424</v>
      </c>
      <c r="X1107" s="257" t="s">
        <v>2423</v>
      </c>
    </row>
    <row r="1108" spans="23:24" x14ac:dyDescent="0.2">
      <c r="W1108" s="256" t="s">
        <v>2426</v>
      </c>
      <c r="X1108" s="257" t="s">
        <v>2425</v>
      </c>
    </row>
    <row r="1109" spans="23:24" x14ac:dyDescent="0.2">
      <c r="W1109" s="256" t="s">
        <v>2428</v>
      </c>
      <c r="X1109" s="257" t="s">
        <v>2427</v>
      </c>
    </row>
    <row r="1110" spans="23:24" x14ac:dyDescent="0.2">
      <c r="W1110" s="256" t="s">
        <v>2430</v>
      </c>
      <c r="X1110" s="257" t="s">
        <v>2429</v>
      </c>
    </row>
    <row r="1111" spans="23:24" x14ac:dyDescent="0.2">
      <c r="W1111" s="256" t="s">
        <v>2432</v>
      </c>
      <c r="X1111" s="257" t="s">
        <v>2431</v>
      </c>
    </row>
    <row r="1112" spans="23:24" x14ac:dyDescent="0.2">
      <c r="W1112" s="256" t="s">
        <v>2434</v>
      </c>
      <c r="X1112" s="257" t="s">
        <v>2433</v>
      </c>
    </row>
    <row r="1113" spans="23:24" x14ac:dyDescent="0.2">
      <c r="W1113" s="256" t="s">
        <v>2436</v>
      </c>
      <c r="X1113" s="257" t="s">
        <v>2435</v>
      </c>
    </row>
    <row r="1114" spans="23:24" x14ac:dyDescent="0.2">
      <c r="W1114" s="256" t="s">
        <v>2438</v>
      </c>
      <c r="X1114" s="257" t="s">
        <v>2437</v>
      </c>
    </row>
    <row r="1115" spans="23:24" x14ac:dyDescent="0.2">
      <c r="W1115" s="256" t="s">
        <v>2440</v>
      </c>
      <c r="X1115" s="257" t="s">
        <v>2439</v>
      </c>
    </row>
    <row r="1116" spans="23:24" x14ac:dyDescent="0.2">
      <c r="W1116" s="256" t="s">
        <v>2442</v>
      </c>
      <c r="X1116" s="257" t="s">
        <v>2441</v>
      </c>
    </row>
    <row r="1117" spans="23:24" x14ac:dyDescent="0.2">
      <c r="W1117" s="256" t="s">
        <v>2444</v>
      </c>
      <c r="X1117" s="257" t="s">
        <v>2443</v>
      </c>
    </row>
    <row r="1118" spans="23:24" x14ac:dyDescent="0.2">
      <c r="W1118" s="256" t="s">
        <v>2446</v>
      </c>
      <c r="X1118" s="257" t="s">
        <v>2445</v>
      </c>
    </row>
    <row r="1119" spans="23:24" x14ac:dyDescent="0.2">
      <c r="W1119" s="256" t="s">
        <v>2448</v>
      </c>
      <c r="X1119" s="257" t="s">
        <v>2447</v>
      </c>
    </row>
    <row r="1120" spans="23:24" x14ac:dyDescent="0.2">
      <c r="W1120" s="256" t="s">
        <v>2450</v>
      </c>
      <c r="X1120" s="257" t="s">
        <v>2449</v>
      </c>
    </row>
    <row r="1121" spans="23:24" x14ac:dyDescent="0.2">
      <c r="W1121" s="256" t="s">
        <v>2452</v>
      </c>
      <c r="X1121" s="257" t="s">
        <v>2451</v>
      </c>
    </row>
    <row r="1122" spans="23:24" x14ac:dyDescent="0.2">
      <c r="W1122" s="256" t="s">
        <v>2454</v>
      </c>
      <c r="X1122" s="257" t="s">
        <v>2453</v>
      </c>
    </row>
    <row r="1123" spans="23:24" x14ac:dyDescent="0.2">
      <c r="W1123" s="256" t="s">
        <v>2456</v>
      </c>
      <c r="X1123" s="257" t="s">
        <v>2455</v>
      </c>
    </row>
    <row r="1124" spans="23:24" x14ac:dyDescent="0.2">
      <c r="W1124" s="256" t="s">
        <v>2458</v>
      </c>
      <c r="X1124" s="257" t="s">
        <v>2457</v>
      </c>
    </row>
    <row r="1125" spans="23:24" x14ac:dyDescent="0.2">
      <c r="W1125" s="256" t="s">
        <v>2460</v>
      </c>
      <c r="X1125" s="257" t="s">
        <v>2459</v>
      </c>
    </row>
    <row r="1126" spans="23:24" x14ac:dyDescent="0.2">
      <c r="W1126" s="256" t="s">
        <v>2462</v>
      </c>
      <c r="X1126" s="257" t="s">
        <v>2461</v>
      </c>
    </row>
    <row r="1127" spans="23:24" x14ac:dyDescent="0.2">
      <c r="W1127" s="256" t="s">
        <v>2464</v>
      </c>
      <c r="X1127" s="257" t="s">
        <v>2463</v>
      </c>
    </row>
    <row r="1128" spans="23:24" x14ac:dyDescent="0.2">
      <c r="W1128" s="256" t="s">
        <v>2466</v>
      </c>
      <c r="X1128" s="257" t="s">
        <v>2465</v>
      </c>
    </row>
    <row r="1129" spans="23:24" x14ac:dyDescent="0.2">
      <c r="W1129" s="256" t="s">
        <v>2468</v>
      </c>
      <c r="X1129" s="257" t="s">
        <v>2467</v>
      </c>
    </row>
    <row r="1130" spans="23:24" x14ac:dyDescent="0.2">
      <c r="W1130" s="256" t="s">
        <v>2470</v>
      </c>
      <c r="X1130" s="257" t="s">
        <v>2469</v>
      </c>
    </row>
    <row r="1131" spans="23:24" x14ac:dyDescent="0.2">
      <c r="W1131" s="256" t="s">
        <v>2472</v>
      </c>
      <c r="X1131" s="257" t="s">
        <v>2471</v>
      </c>
    </row>
    <row r="1132" spans="23:24" x14ac:dyDescent="0.2">
      <c r="W1132" s="256" t="s">
        <v>2474</v>
      </c>
      <c r="X1132" s="257" t="s">
        <v>2473</v>
      </c>
    </row>
    <row r="1133" spans="23:24" x14ac:dyDescent="0.2">
      <c r="W1133" s="256" t="s">
        <v>2476</v>
      </c>
      <c r="X1133" s="257" t="s">
        <v>2475</v>
      </c>
    </row>
    <row r="1134" spans="23:24" x14ac:dyDescent="0.2">
      <c r="W1134" s="256" t="s">
        <v>2478</v>
      </c>
      <c r="X1134" s="257" t="s">
        <v>2477</v>
      </c>
    </row>
    <row r="1135" spans="23:24" x14ac:dyDescent="0.2">
      <c r="W1135" s="256" t="s">
        <v>2480</v>
      </c>
      <c r="X1135" s="257" t="s">
        <v>2479</v>
      </c>
    </row>
    <row r="1136" spans="23:24" x14ac:dyDescent="0.2">
      <c r="W1136" s="256" t="s">
        <v>2482</v>
      </c>
      <c r="X1136" s="257" t="s">
        <v>2481</v>
      </c>
    </row>
    <row r="1137" spans="23:24" x14ac:dyDescent="0.2">
      <c r="W1137" s="256" t="s">
        <v>2484</v>
      </c>
      <c r="X1137" s="257" t="s">
        <v>2483</v>
      </c>
    </row>
    <row r="1138" spans="23:24" x14ac:dyDescent="0.2">
      <c r="W1138" s="256" t="s">
        <v>2486</v>
      </c>
      <c r="X1138" s="257" t="s">
        <v>2485</v>
      </c>
    </row>
    <row r="1139" spans="23:24" x14ac:dyDescent="0.2">
      <c r="W1139" s="256" t="s">
        <v>2488</v>
      </c>
      <c r="X1139" s="257" t="s">
        <v>2487</v>
      </c>
    </row>
    <row r="1140" spans="23:24" x14ac:dyDescent="0.2">
      <c r="W1140" s="256" t="s">
        <v>2490</v>
      </c>
      <c r="X1140" s="257" t="s">
        <v>2489</v>
      </c>
    </row>
    <row r="1141" spans="23:24" x14ac:dyDescent="0.2">
      <c r="W1141" s="256" t="s">
        <v>2492</v>
      </c>
      <c r="X1141" s="257" t="s">
        <v>2491</v>
      </c>
    </row>
    <row r="1142" spans="23:24" x14ac:dyDescent="0.2">
      <c r="W1142" s="256" t="s">
        <v>2494</v>
      </c>
      <c r="X1142" s="257" t="s">
        <v>2493</v>
      </c>
    </row>
    <row r="1143" spans="23:24" x14ac:dyDescent="0.2">
      <c r="W1143" s="256" t="s">
        <v>2496</v>
      </c>
      <c r="X1143" s="257" t="s">
        <v>2495</v>
      </c>
    </row>
    <row r="1144" spans="23:24" x14ac:dyDescent="0.2">
      <c r="W1144" s="256" t="s">
        <v>2498</v>
      </c>
      <c r="X1144" s="257" t="s">
        <v>2497</v>
      </c>
    </row>
    <row r="1145" spans="23:24" x14ac:dyDescent="0.2">
      <c r="W1145" s="256" t="s">
        <v>2500</v>
      </c>
      <c r="X1145" s="257" t="s">
        <v>2499</v>
      </c>
    </row>
    <row r="1146" spans="23:24" x14ac:dyDescent="0.2">
      <c r="W1146" s="256" t="s">
        <v>2502</v>
      </c>
      <c r="X1146" s="257" t="s">
        <v>2501</v>
      </c>
    </row>
    <row r="1147" spans="23:24" x14ac:dyDescent="0.2">
      <c r="W1147" s="256" t="s">
        <v>2504</v>
      </c>
      <c r="X1147" s="257" t="s">
        <v>2503</v>
      </c>
    </row>
    <row r="1148" spans="23:24" x14ac:dyDescent="0.2">
      <c r="W1148" s="256" t="s">
        <v>2506</v>
      </c>
      <c r="X1148" s="257" t="s">
        <v>2505</v>
      </c>
    </row>
    <row r="1149" spans="23:24" x14ac:dyDescent="0.2">
      <c r="W1149" s="256" t="s">
        <v>2508</v>
      </c>
      <c r="X1149" s="257" t="s">
        <v>2507</v>
      </c>
    </row>
    <row r="1150" spans="23:24" x14ac:dyDescent="0.2">
      <c r="W1150" s="256" t="s">
        <v>2510</v>
      </c>
      <c r="X1150" s="257" t="s">
        <v>2509</v>
      </c>
    </row>
    <row r="1151" spans="23:24" x14ac:dyDescent="0.2">
      <c r="W1151" s="256" t="s">
        <v>2512</v>
      </c>
      <c r="X1151" s="257" t="s">
        <v>2511</v>
      </c>
    </row>
    <row r="1152" spans="23:24" x14ac:dyDescent="0.2">
      <c r="W1152" s="256" t="s">
        <v>2514</v>
      </c>
      <c r="X1152" s="257" t="s">
        <v>2513</v>
      </c>
    </row>
    <row r="1153" spans="23:24" x14ac:dyDescent="0.2">
      <c r="W1153" s="256" t="s">
        <v>2516</v>
      </c>
      <c r="X1153" s="257" t="s">
        <v>2515</v>
      </c>
    </row>
    <row r="1154" spans="23:24" x14ac:dyDescent="0.2">
      <c r="W1154" s="256" t="s">
        <v>2518</v>
      </c>
      <c r="X1154" s="257" t="s">
        <v>2517</v>
      </c>
    </row>
    <row r="1155" spans="23:24" x14ac:dyDescent="0.2">
      <c r="W1155" s="256" t="s">
        <v>2520</v>
      </c>
      <c r="X1155" s="257" t="s">
        <v>2519</v>
      </c>
    </row>
    <row r="1156" spans="23:24" x14ac:dyDescent="0.2">
      <c r="W1156" s="256" t="s">
        <v>2522</v>
      </c>
      <c r="X1156" s="257" t="s">
        <v>2521</v>
      </c>
    </row>
    <row r="1157" spans="23:24" x14ac:dyDescent="0.2">
      <c r="W1157" s="256" t="s">
        <v>2524</v>
      </c>
      <c r="X1157" s="257" t="s">
        <v>2523</v>
      </c>
    </row>
    <row r="1158" spans="23:24" x14ac:dyDescent="0.2">
      <c r="W1158" s="256" t="s">
        <v>2526</v>
      </c>
      <c r="X1158" s="257" t="s">
        <v>2525</v>
      </c>
    </row>
    <row r="1159" spans="23:24" x14ac:dyDescent="0.2">
      <c r="W1159" s="256" t="s">
        <v>2528</v>
      </c>
      <c r="X1159" s="257" t="s">
        <v>2527</v>
      </c>
    </row>
    <row r="1160" spans="23:24" x14ac:dyDescent="0.2">
      <c r="W1160" s="256" t="s">
        <v>2530</v>
      </c>
      <c r="X1160" s="257" t="s">
        <v>2529</v>
      </c>
    </row>
    <row r="1161" spans="23:24" x14ac:dyDescent="0.2">
      <c r="W1161" s="256" t="s">
        <v>2532</v>
      </c>
      <c r="X1161" s="257" t="s">
        <v>2531</v>
      </c>
    </row>
    <row r="1162" spans="23:24" x14ac:dyDescent="0.2">
      <c r="W1162" s="256" t="s">
        <v>2534</v>
      </c>
      <c r="X1162" s="257" t="s">
        <v>2533</v>
      </c>
    </row>
    <row r="1163" spans="23:24" x14ac:dyDescent="0.2">
      <c r="W1163" s="256" t="s">
        <v>2536</v>
      </c>
      <c r="X1163" s="257" t="s">
        <v>2535</v>
      </c>
    </row>
    <row r="1164" spans="23:24" x14ac:dyDescent="0.2">
      <c r="W1164" s="256" t="s">
        <v>2538</v>
      </c>
      <c r="X1164" s="257" t="s">
        <v>2537</v>
      </c>
    </row>
    <row r="1165" spans="23:24" x14ac:dyDescent="0.2">
      <c r="W1165" s="256" t="s">
        <v>2540</v>
      </c>
      <c r="X1165" s="257" t="s">
        <v>2539</v>
      </c>
    </row>
    <row r="1166" spans="23:24" x14ac:dyDescent="0.2">
      <c r="W1166" s="256" t="s">
        <v>2542</v>
      </c>
      <c r="X1166" s="257" t="s">
        <v>2541</v>
      </c>
    </row>
    <row r="1167" spans="23:24" x14ac:dyDescent="0.2">
      <c r="W1167" s="256" t="s">
        <v>2544</v>
      </c>
      <c r="X1167" s="257" t="s">
        <v>2543</v>
      </c>
    </row>
    <row r="1168" spans="23:24" x14ac:dyDescent="0.2">
      <c r="W1168" s="256" t="s">
        <v>2546</v>
      </c>
      <c r="X1168" s="257" t="s">
        <v>2545</v>
      </c>
    </row>
    <row r="1169" spans="23:24" x14ac:dyDescent="0.2">
      <c r="W1169" s="256" t="s">
        <v>2548</v>
      </c>
      <c r="X1169" s="257" t="s">
        <v>2547</v>
      </c>
    </row>
    <row r="1170" spans="23:24" x14ac:dyDescent="0.2">
      <c r="W1170" s="256" t="s">
        <v>2550</v>
      </c>
      <c r="X1170" s="257" t="s">
        <v>2549</v>
      </c>
    </row>
    <row r="1171" spans="23:24" x14ac:dyDescent="0.2">
      <c r="W1171" s="256" t="s">
        <v>2552</v>
      </c>
      <c r="X1171" s="257" t="s">
        <v>2551</v>
      </c>
    </row>
    <row r="1172" spans="23:24" x14ac:dyDescent="0.2">
      <c r="W1172" s="256" t="s">
        <v>2554</v>
      </c>
      <c r="X1172" s="257" t="s">
        <v>2553</v>
      </c>
    </row>
    <row r="1173" spans="23:24" x14ac:dyDescent="0.2">
      <c r="W1173" s="256" t="s">
        <v>2556</v>
      </c>
      <c r="X1173" s="257" t="s">
        <v>2555</v>
      </c>
    </row>
    <row r="1174" spans="23:24" x14ac:dyDescent="0.2">
      <c r="W1174" s="256" t="s">
        <v>2558</v>
      </c>
      <c r="X1174" s="257" t="s">
        <v>2557</v>
      </c>
    </row>
    <row r="1175" spans="23:24" x14ac:dyDescent="0.2">
      <c r="W1175" s="256" t="s">
        <v>2560</v>
      </c>
      <c r="X1175" s="257" t="s">
        <v>2559</v>
      </c>
    </row>
    <row r="1176" spans="23:24" x14ac:dyDescent="0.2">
      <c r="W1176" s="256" t="s">
        <v>2562</v>
      </c>
      <c r="X1176" s="257" t="s">
        <v>2561</v>
      </c>
    </row>
    <row r="1177" spans="23:24" x14ac:dyDescent="0.2">
      <c r="W1177" s="256" t="s">
        <v>2564</v>
      </c>
      <c r="X1177" s="257" t="s">
        <v>2563</v>
      </c>
    </row>
    <row r="1178" spans="23:24" x14ac:dyDescent="0.2">
      <c r="W1178" s="256" t="s">
        <v>2566</v>
      </c>
      <c r="X1178" s="257" t="s">
        <v>2565</v>
      </c>
    </row>
    <row r="1179" spans="23:24" x14ac:dyDescent="0.2">
      <c r="W1179" s="256" t="s">
        <v>2568</v>
      </c>
      <c r="X1179" s="257" t="s">
        <v>2567</v>
      </c>
    </row>
    <row r="1180" spans="23:24" x14ac:dyDescent="0.2">
      <c r="W1180" s="256" t="s">
        <v>2570</v>
      </c>
      <c r="X1180" s="257" t="s">
        <v>2569</v>
      </c>
    </row>
    <row r="1181" spans="23:24" x14ac:dyDescent="0.2">
      <c r="W1181" s="256" t="s">
        <v>2572</v>
      </c>
      <c r="X1181" s="257" t="s">
        <v>2571</v>
      </c>
    </row>
    <row r="1182" spans="23:24" x14ac:dyDescent="0.2">
      <c r="W1182" s="256" t="s">
        <v>2574</v>
      </c>
      <c r="X1182" s="257" t="s">
        <v>2573</v>
      </c>
    </row>
    <row r="1183" spans="23:24" x14ac:dyDescent="0.2">
      <c r="W1183" s="256" t="s">
        <v>2576</v>
      </c>
      <c r="X1183" s="257" t="s">
        <v>2575</v>
      </c>
    </row>
    <row r="1184" spans="23:24" x14ac:dyDescent="0.2">
      <c r="W1184" s="256" t="s">
        <v>2578</v>
      </c>
      <c r="X1184" s="257" t="s">
        <v>2577</v>
      </c>
    </row>
    <row r="1185" spans="23:24" x14ac:dyDescent="0.2">
      <c r="W1185" s="256" t="s">
        <v>2580</v>
      </c>
      <c r="X1185" s="257" t="s">
        <v>2579</v>
      </c>
    </row>
    <row r="1186" spans="23:24" x14ac:dyDescent="0.2">
      <c r="W1186" s="256" t="s">
        <v>2582</v>
      </c>
      <c r="X1186" s="257" t="s">
        <v>2581</v>
      </c>
    </row>
    <row r="1187" spans="23:24" x14ac:dyDescent="0.2">
      <c r="W1187" s="256" t="s">
        <v>2584</v>
      </c>
      <c r="X1187" s="257" t="s">
        <v>2583</v>
      </c>
    </row>
    <row r="1188" spans="23:24" x14ac:dyDescent="0.2">
      <c r="W1188" s="256" t="s">
        <v>2586</v>
      </c>
      <c r="X1188" s="257" t="s">
        <v>2585</v>
      </c>
    </row>
    <row r="1189" spans="23:24" x14ac:dyDescent="0.2">
      <c r="W1189" s="256" t="s">
        <v>2588</v>
      </c>
      <c r="X1189" s="257" t="s">
        <v>2587</v>
      </c>
    </row>
    <row r="1190" spans="23:24" x14ac:dyDescent="0.2">
      <c r="W1190" s="256" t="s">
        <v>2590</v>
      </c>
      <c r="X1190" s="257" t="s">
        <v>2589</v>
      </c>
    </row>
    <row r="1191" spans="23:24" x14ac:dyDescent="0.2">
      <c r="W1191" s="256" t="s">
        <v>2592</v>
      </c>
      <c r="X1191" s="257" t="s">
        <v>2591</v>
      </c>
    </row>
    <row r="1192" spans="23:24" x14ac:dyDescent="0.2">
      <c r="W1192" s="256" t="s">
        <v>2594</v>
      </c>
      <c r="X1192" s="257" t="s">
        <v>2593</v>
      </c>
    </row>
    <row r="1193" spans="23:24" x14ac:dyDescent="0.2">
      <c r="W1193" s="256" t="s">
        <v>2596</v>
      </c>
      <c r="X1193" s="257" t="s">
        <v>2595</v>
      </c>
    </row>
    <row r="1194" spans="23:24" x14ac:dyDescent="0.2">
      <c r="W1194" s="256" t="s">
        <v>2598</v>
      </c>
      <c r="X1194" s="257" t="s">
        <v>2597</v>
      </c>
    </row>
    <row r="1195" spans="23:24" x14ac:dyDescent="0.2">
      <c r="W1195" s="256" t="s">
        <v>2600</v>
      </c>
      <c r="X1195" s="257" t="s">
        <v>2599</v>
      </c>
    </row>
    <row r="1196" spans="23:24" x14ac:dyDescent="0.2">
      <c r="W1196" s="256" t="s">
        <v>2602</v>
      </c>
      <c r="X1196" s="257" t="s">
        <v>2601</v>
      </c>
    </row>
    <row r="1197" spans="23:24" x14ac:dyDescent="0.2">
      <c r="W1197" s="256" t="s">
        <v>2604</v>
      </c>
      <c r="X1197" s="257" t="s">
        <v>2603</v>
      </c>
    </row>
    <row r="1198" spans="23:24" x14ac:dyDescent="0.2">
      <c r="W1198" s="256" t="s">
        <v>2606</v>
      </c>
      <c r="X1198" s="257" t="s">
        <v>2605</v>
      </c>
    </row>
    <row r="1199" spans="23:24" x14ac:dyDescent="0.2">
      <c r="W1199" s="256" t="s">
        <v>2608</v>
      </c>
      <c r="X1199" s="257" t="s">
        <v>2607</v>
      </c>
    </row>
    <row r="1200" spans="23:24" x14ac:dyDescent="0.2">
      <c r="W1200" s="256" t="s">
        <v>2610</v>
      </c>
      <c r="X1200" s="257" t="s">
        <v>2609</v>
      </c>
    </row>
    <row r="1201" spans="23:24" x14ac:dyDescent="0.2">
      <c r="W1201" s="256" t="s">
        <v>2612</v>
      </c>
      <c r="X1201" s="257" t="s">
        <v>2611</v>
      </c>
    </row>
    <row r="1202" spans="23:24" x14ac:dyDescent="0.2">
      <c r="W1202" s="256" t="s">
        <v>2614</v>
      </c>
      <c r="X1202" s="257" t="s">
        <v>2613</v>
      </c>
    </row>
    <row r="1203" spans="23:24" x14ac:dyDescent="0.2">
      <c r="W1203" s="256" t="s">
        <v>2616</v>
      </c>
      <c r="X1203" s="257" t="s">
        <v>2615</v>
      </c>
    </row>
    <row r="1204" spans="23:24" x14ac:dyDescent="0.2">
      <c r="W1204" s="256" t="s">
        <v>2618</v>
      </c>
      <c r="X1204" s="257" t="s">
        <v>2617</v>
      </c>
    </row>
    <row r="1205" spans="23:24" x14ac:dyDescent="0.2">
      <c r="W1205" s="256" t="s">
        <v>2620</v>
      </c>
      <c r="X1205" s="257" t="s">
        <v>2619</v>
      </c>
    </row>
    <row r="1206" spans="23:24" x14ac:dyDescent="0.2">
      <c r="W1206" s="256" t="s">
        <v>2622</v>
      </c>
      <c r="X1206" s="257" t="s">
        <v>2621</v>
      </c>
    </row>
    <row r="1207" spans="23:24" x14ac:dyDescent="0.2">
      <c r="W1207" s="256" t="s">
        <v>2624</v>
      </c>
      <c r="X1207" s="257" t="s">
        <v>2623</v>
      </c>
    </row>
    <row r="1208" spans="23:24" x14ac:dyDescent="0.2">
      <c r="W1208" s="256" t="s">
        <v>2626</v>
      </c>
      <c r="X1208" s="257" t="s">
        <v>2625</v>
      </c>
    </row>
    <row r="1209" spans="23:24" x14ac:dyDescent="0.2">
      <c r="W1209" s="256" t="s">
        <v>2628</v>
      </c>
      <c r="X1209" s="257" t="s">
        <v>2627</v>
      </c>
    </row>
    <row r="1210" spans="23:24" x14ac:dyDescent="0.2">
      <c r="W1210" s="256" t="s">
        <v>2630</v>
      </c>
      <c r="X1210" s="257" t="s">
        <v>2629</v>
      </c>
    </row>
    <row r="1211" spans="23:24" x14ac:dyDescent="0.2">
      <c r="W1211" s="256" t="s">
        <v>2632</v>
      </c>
      <c r="X1211" s="257" t="s">
        <v>2631</v>
      </c>
    </row>
    <row r="1212" spans="23:24" x14ac:dyDescent="0.2">
      <c r="W1212" s="256" t="s">
        <v>2634</v>
      </c>
      <c r="X1212" s="257" t="s">
        <v>2633</v>
      </c>
    </row>
    <row r="1213" spans="23:24" x14ac:dyDescent="0.2">
      <c r="W1213" s="256" t="s">
        <v>2636</v>
      </c>
      <c r="X1213" s="257" t="s">
        <v>2635</v>
      </c>
    </row>
    <row r="1214" spans="23:24" x14ac:dyDescent="0.2">
      <c r="W1214" s="256" t="s">
        <v>2638</v>
      </c>
      <c r="X1214" s="257" t="s">
        <v>2637</v>
      </c>
    </row>
    <row r="1215" spans="23:24" x14ac:dyDescent="0.2">
      <c r="W1215" s="256" t="s">
        <v>2640</v>
      </c>
      <c r="X1215" s="257" t="s">
        <v>2639</v>
      </c>
    </row>
    <row r="1216" spans="23:24" x14ac:dyDescent="0.2">
      <c r="W1216" s="256" t="s">
        <v>2642</v>
      </c>
      <c r="X1216" s="257" t="s">
        <v>2641</v>
      </c>
    </row>
    <row r="1217" spans="23:24" x14ac:dyDescent="0.2">
      <c r="W1217" s="256" t="s">
        <v>2644</v>
      </c>
      <c r="X1217" s="257" t="s">
        <v>2643</v>
      </c>
    </row>
    <row r="1218" spans="23:24" x14ac:dyDescent="0.2">
      <c r="W1218" s="256" t="s">
        <v>2646</v>
      </c>
      <c r="X1218" s="257" t="s">
        <v>2645</v>
      </c>
    </row>
    <row r="1219" spans="23:24" x14ac:dyDescent="0.2">
      <c r="W1219" s="256" t="s">
        <v>2648</v>
      </c>
      <c r="X1219" s="257" t="s">
        <v>2647</v>
      </c>
    </row>
    <row r="1220" spans="23:24" x14ac:dyDescent="0.2">
      <c r="W1220" s="256" t="s">
        <v>2650</v>
      </c>
      <c r="X1220" s="257" t="s">
        <v>2649</v>
      </c>
    </row>
    <row r="1221" spans="23:24" x14ac:dyDescent="0.2">
      <c r="W1221" s="256" t="s">
        <v>2652</v>
      </c>
      <c r="X1221" s="257" t="s">
        <v>2651</v>
      </c>
    </row>
    <row r="1222" spans="23:24" x14ac:dyDescent="0.2">
      <c r="W1222" s="256" t="s">
        <v>2654</v>
      </c>
      <c r="X1222" s="257" t="s">
        <v>2653</v>
      </c>
    </row>
    <row r="1223" spans="23:24" x14ac:dyDescent="0.2">
      <c r="W1223" s="256" t="s">
        <v>2656</v>
      </c>
      <c r="X1223" s="257" t="s">
        <v>2655</v>
      </c>
    </row>
    <row r="1224" spans="23:24" x14ac:dyDescent="0.2">
      <c r="W1224" s="256" t="s">
        <v>2658</v>
      </c>
      <c r="X1224" s="257" t="s">
        <v>2657</v>
      </c>
    </row>
    <row r="1225" spans="23:24" x14ac:dyDescent="0.2">
      <c r="W1225" s="256" t="s">
        <v>2660</v>
      </c>
      <c r="X1225" s="257" t="s">
        <v>2659</v>
      </c>
    </row>
    <row r="1226" spans="23:24" x14ac:dyDescent="0.2">
      <c r="W1226" s="256" t="s">
        <v>2662</v>
      </c>
      <c r="X1226" s="257" t="s">
        <v>2661</v>
      </c>
    </row>
    <row r="1227" spans="23:24" x14ac:dyDescent="0.2">
      <c r="W1227" s="256" t="s">
        <v>2664</v>
      </c>
      <c r="X1227" s="257" t="s">
        <v>2663</v>
      </c>
    </row>
    <row r="1228" spans="23:24" x14ac:dyDescent="0.2">
      <c r="W1228" s="256" t="s">
        <v>2666</v>
      </c>
      <c r="X1228" s="257" t="s">
        <v>2665</v>
      </c>
    </row>
    <row r="1229" spans="23:24" x14ac:dyDescent="0.2">
      <c r="W1229" s="256" t="s">
        <v>2668</v>
      </c>
      <c r="X1229" s="257" t="s">
        <v>2667</v>
      </c>
    </row>
    <row r="1230" spans="23:24" x14ac:dyDescent="0.2">
      <c r="W1230" s="256" t="s">
        <v>2670</v>
      </c>
      <c r="X1230" s="257" t="s">
        <v>2669</v>
      </c>
    </row>
    <row r="1231" spans="23:24" x14ac:dyDescent="0.2">
      <c r="W1231" s="256" t="s">
        <v>2672</v>
      </c>
      <c r="X1231" s="257" t="s">
        <v>2671</v>
      </c>
    </row>
    <row r="1232" spans="23:24" x14ac:dyDescent="0.2">
      <c r="W1232" s="256" t="s">
        <v>2673</v>
      </c>
      <c r="X1232" s="257" t="s">
        <v>2671</v>
      </c>
    </row>
    <row r="1233" spans="23:24" x14ac:dyDescent="0.2">
      <c r="W1233" s="256" t="s">
        <v>2675</v>
      </c>
      <c r="X1233" s="257" t="s">
        <v>2674</v>
      </c>
    </row>
    <row r="1234" spans="23:24" x14ac:dyDescent="0.2">
      <c r="W1234" s="256" t="s">
        <v>2677</v>
      </c>
      <c r="X1234" s="257" t="s">
        <v>2676</v>
      </c>
    </row>
    <row r="1235" spans="23:24" x14ac:dyDescent="0.2">
      <c r="W1235" s="256" t="s">
        <v>2679</v>
      </c>
      <c r="X1235" s="257" t="s">
        <v>2678</v>
      </c>
    </row>
    <row r="1236" spans="23:24" x14ac:dyDescent="0.2">
      <c r="W1236" s="256" t="s">
        <v>2681</v>
      </c>
      <c r="X1236" s="257" t="s">
        <v>2680</v>
      </c>
    </row>
    <row r="1237" spans="23:24" x14ac:dyDescent="0.2">
      <c r="W1237" s="256" t="s">
        <v>2683</v>
      </c>
      <c r="X1237" s="257" t="s">
        <v>2682</v>
      </c>
    </row>
    <row r="1238" spans="23:24" x14ac:dyDescent="0.2">
      <c r="W1238" s="256" t="s">
        <v>2685</v>
      </c>
      <c r="X1238" s="257" t="s">
        <v>2684</v>
      </c>
    </row>
    <row r="1239" spans="23:24" x14ac:dyDescent="0.2">
      <c r="W1239" s="256" t="s">
        <v>2687</v>
      </c>
      <c r="X1239" s="257" t="s">
        <v>2686</v>
      </c>
    </row>
    <row r="1240" spans="23:24" x14ac:dyDescent="0.2">
      <c r="W1240" s="256" t="s">
        <v>2689</v>
      </c>
      <c r="X1240" s="257" t="s">
        <v>2688</v>
      </c>
    </row>
    <row r="1241" spans="23:24" x14ac:dyDescent="0.2">
      <c r="W1241" s="256" t="s">
        <v>2691</v>
      </c>
      <c r="X1241" s="257" t="s">
        <v>2690</v>
      </c>
    </row>
    <row r="1242" spans="23:24" x14ac:dyDescent="0.2">
      <c r="W1242" s="256" t="s">
        <v>2693</v>
      </c>
      <c r="X1242" s="257" t="s">
        <v>2692</v>
      </c>
    </row>
    <row r="1243" spans="23:24" x14ac:dyDescent="0.2">
      <c r="W1243" s="256" t="s">
        <v>2695</v>
      </c>
      <c r="X1243" s="257" t="s">
        <v>2694</v>
      </c>
    </row>
    <row r="1244" spans="23:24" x14ac:dyDescent="0.2">
      <c r="W1244" s="256" t="s">
        <v>2697</v>
      </c>
      <c r="X1244" s="257" t="s">
        <v>2696</v>
      </c>
    </row>
    <row r="1245" spans="23:24" x14ac:dyDescent="0.2">
      <c r="W1245" s="256" t="s">
        <v>2699</v>
      </c>
      <c r="X1245" s="257" t="s">
        <v>2698</v>
      </c>
    </row>
    <row r="1246" spans="23:24" x14ac:dyDescent="0.2">
      <c r="W1246" s="256" t="s">
        <v>2701</v>
      </c>
      <c r="X1246" s="257" t="s">
        <v>2700</v>
      </c>
    </row>
    <row r="1247" spans="23:24" x14ac:dyDescent="0.2">
      <c r="W1247" s="256" t="s">
        <v>2703</v>
      </c>
      <c r="X1247" s="257" t="s">
        <v>2702</v>
      </c>
    </row>
    <row r="1248" spans="23:24" x14ac:dyDescent="0.2">
      <c r="W1248" s="256" t="s">
        <v>2705</v>
      </c>
      <c r="X1248" s="257" t="s">
        <v>2704</v>
      </c>
    </row>
    <row r="1249" spans="23:24" x14ac:dyDescent="0.2">
      <c r="W1249" s="256" t="s">
        <v>2707</v>
      </c>
      <c r="X1249" s="257" t="s">
        <v>2706</v>
      </c>
    </row>
    <row r="1250" spans="23:24" x14ac:dyDescent="0.2">
      <c r="W1250" s="256" t="s">
        <v>2709</v>
      </c>
      <c r="X1250" s="257" t="s">
        <v>2708</v>
      </c>
    </row>
    <row r="1251" spans="23:24" x14ac:dyDescent="0.2">
      <c r="W1251" s="256" t="s">
        <v>2711</v>
      </c>
      <c r="X1251" s="257" t="s">
        <v>2710</v>
      </c>
    </row>
    <row r="1252" spans="23:24" x14ac:dyDescent="0.2">
      <c r="W1252" s="256" t="s">
        <v>2713</v>
      </c>
      <c r="X1252" s="257" t="s">
        <v>2712</v>
      </c>
    </row>
    <row r="1253" spans="23:24" x14ac:dyDescent="0.2">
      <c r="W1253" s="256" t="s">
        <v>2715</v>
      </c>
      <c r="X1253" s="257" t="s">
        <v>2714</v>
      </c>
    </row>
    <row r="1254" spans="23:24" x14ac:dyDescent="0.2">
      <c r="W1254" s="256" t="s">
        <v>2717</v>
      </c>
      <c r="X1254" s="257" t="s">
        <v>2716</v>
      </c>
    </row>
    <row r="1255" spans="23:24" x14ac:dyDescent="0.2">
      <c r="W1255" s="256" t="s">
        <v>2719</v>
      </c>
      <c r="X1255" s="257" t="s">
        <v>2718</v>
      </c>
    </row>
    <row r="1256" spans="23:24" x14ac:dyDescent="0.2">
      <c r="W1256" s="256" t="s">
        <v>2721</v>
      </c>
      <c r="X1256" s="257" t="s">
        <v>2720</v>
      </c>
    </row>
    <row r="1257" spans="23:24" x14ac:dyDescent="0.2">
      <c r="W1257" s="256" t="s">
        <v>2723</v>
      </c>
      <c r="X1257" s="257" t="s">
        <v>2722</v>
      </c>
    </row>
    <row r="1258" spans="23:24" x14ac:dyDescent="0.2">
      <c r="W1258" s="256" t="s">
        <v>2725</v>
      </c>
      <c r="X1258" s="257" t="s">
        <v>2724</v>
      </c>
    </row>
    <row r="1259" spans="23:24" x14ac:dyDescent="0.2">
      <c r="W1259" s="256" t="s">
        <v>2727</v>
      </c>
      <c r="X1259" s="257" t="s">
        <v>2726</v>
      </c>
    </row>
    <row r="1260" spans="23:24" x14ac:dyDescent="0.2">
      <c r="W1260" s="256" t="s">
        <v>2729</v>
      </c>
      <c r="X1260" s="257" t="s">
        <v>2728</v>
      </c>
    </row>
    <row r="1261" spans="23:24" x14ac:dyDescent="0.2">
      <c r="W1261" s="256" t="s">
        <v>2731</v>
      </c>
      <c r="X1261" s="257" t="s">
        <v>2730</v>
      </c>
    </row>
    <row r="1262" spans="23:24" x14ac:dyDescent="0.2">
      <c r="W1262" s="256" t="s">
        <v>2733</v>
      </c>
      <c r="X1262" s="257" t="s">
        <v>2732</v>
      </c>
    </row>
    <row r="1263" spans="23:24" x14ac:dyDescent="0.2">
      <c r="W1263" s="256" t="s">
        <v>2735</v>
      </c>
      <c r="X1263" s="257" t="s">
        <v>2734</v>
      </c>
    </row>
    <row r="1264" spans="23:24" x14ac:dyDescent="0.2">
      <c r="W1264" s="256" t="s">
        <v>2737</v>
      </c>
      <c r="X1264" s="257" t="s">
        <v>2736</v>
      </c>
    </row>
    <row r="1265" spans="23:24" x14ac:dyDescent="0.2">
      <c r="W1265" s="256" t="s">
        <v>2739</v>
      </c>
      <c r="X1265" s="257" t="s">
        <v>2738</v>
      </c>
    </row>
    <row r="1266" spans="23:24" x14ac:dyDescent="0.2">
      <c r="W1266" s="256" t="s">
        <v>2741</v>
      </c>
      <c r="X1266" s="257" t="s">
        <v>2740</v>
      </c>
    </row>
    <row r="1267" spans="23:24" x14ac:dyDescent="0.2">
      <c r="W1267" s="256" t="s">
        <v>2743</v>
      </c>
      <c r="X1267" s="257" t="s">
        <v>2742</v>
      </c>
    </row>
    <row r="1268" spans="23:24" x14ac:dyDescent="0.2">
      <c r="W1268" s="256" t="s">
        <v>2745</v>
      </c>
      <c r="X1268" s="257" t="s">
        <v>2744</v>
      </c>
    </row>
    <row r="1269" spans="23:24" x14ac:dyDescent="0.2">
      <c r="W1269" s="256" t="s">
        <v>2747</v>
      </c>
      <c r="X1269" s="257" t="s">
        <v>2746</v>
      </c>
    </row>
    <row r="1270" spans="23:24" x14ac:dyDescent="0.2">
      <c r="W1270" s="256" t="s">
        <v>2749</v>
      </c>
      <c r="X1270" s="257" t="s">
        <v>2748</v>
      </c>
    </row>
    <row r="1271" spans="23:24" x14ac:dyDescent="0.2">
      <c r="W1271" s="256" t="s">
        <v>2751</v>
      </c>
      <c r="X1271" s="257" t="s">
        <v>2750</v>
      </c>
    </row>
    <row r="1272" spans="23:24" x14ac:dyDescent="0.2">
      <c r="W1272" s="256" t="s">
        <v>2753</v>
      </c>
      <c r="X1272" s="257" t="s">
        <v>2752</v>
      </c>
    </row>
    <row r="1273" spans="23:24" x14ac:dyDescent="0.2">
      <c r="W1273" s="256" t="s">
        <v>2755</v>
      </c>
      <c r="X1273" s="257" t="s">
        <v>2754</v>
      </c>
    </row>
    <row r="1274" spans="23:24" x14ac:dyDescent="0.2">
      <c r="W1274" s="256" t="s">
        <v>2757</v>
      </c>
      <c r="X1274" s="257" t="s">
        <v>2756</v>
      </c>
    </row>
    <row r="1275" spans="23:24" x14ac:dyDescent="0.2">
      <c r="W1275" s="256" t="s">
        <v>2759</v>
      </c>
      <c r="X1275" s="257" t="s">
        <v>2758</v>
      </c>
    </row>
    <row r="1276" spans="23:24" x14ac:dyDescent="0.2">
      <c r="W1276" s="256" t="s">
        <v>2761</v>
      </c>
      <c r="X1276" s="257" t="s">
        <v>2760</v>
      </c>
    </row>
    <row r="1277" spans="23:24" x14ac:dyDescent="0.2">
      <c r="W1277" s="256" t="s">
        <v>2763</v>
      </c>
      <c r="X1277" s="257" t="s">
        <v>2762</v>
      </c>
    </row>
    <row r="1278" spans="23:24" x14ac:dyDescent="0.2">
      <c r="W1278" s="256" t="s">
        <v>2765</v>
      </c>
      <c r="X1278" s="257" t="s">
        <v>2764</v>
      </c>
    </row>
    <row r="1279" spans="23:24" x14ac:dyDescent="0.2">
      <c r="W1279" s="256" t="s">
        <v>2767</v>
      </c>
      <c r="X1279" s="257" t="s">
        <v>2766</v>
      </c>
    </row>
    <row r="1280" spans="23:24" x14ac:dyDescent="0.2">
      <c r="W1280" s="256" t="s">
        <v>2769</v>
      </c>
      <c r="X1280" s="257" t="s">
        <v>2768</v>
      </c>
    </row>
    <row r="1281" spans="23:24" x14ac:dyDescent="0.2">
      <c r="W1281" s="256" t="s">
        <v>2771</v>
      </c>
      <c r="X1281" s="257" t="s">
        <v>2770</v>
      </c>
    </row>
    <row r="1282" spans="23:24" x14ac:dyDescent="0.2">
      <c r="W1282" s="256" t="s">
        <v>2773</v>
      </c>
      <c r="X1282" s="257" t="s">
        <v>2772</v>
      </c>
    </row>
    <row r="1283" spans="23:24" x14ac:dyDescent="0.2">
      <c r="W1283" s="256" t="s">
        <v>2775</v>
      </c>
      <c r="X1283" s="257" t="s">
        <v>2774</v>
      </c>
    </row>
    <row r="1284" spans="23:24" x14ac:dyDescent="0.2">
      <c r="W1284" s="256" t="s">
        <v>2777</v>
      </c>
      <c r="X1284" s="257" t="s">
        <v>2776</v>
      </c>
    </row>
    <row r="1285" spans="23:24" x14ac:dyDescent="0.2">
      <c r="W1285" s="256" t="s">
        <v>2779</v>
      </c>
      <c r="X1285" s="257" t="s">
        <v>2778</v>
      </c>
    </row>
    <row r="1286" spans="23:24" x14ac:dyDescent="0.2">
      <c r="W1286" s="256" t="s">
        <v>2781</v>
      </c>
      <c r="X1286" s="257" t="s">
        <v>2780</v>
      </c>
    </row>
    <row r="1287" spans="23:24" x14ac:dyDescent="0.2">
      <c r="W1287" s="256" t="s">
        <v>2783</v>
      </c>
      <c r="X1287" s="257" t="s">
        <v>2782</v>
      </c>
    </row>
    <row r="1288" spans="23:24" x14ac:dyDescent="0.2">
      <c r="W1288" s="256" t="s">
        <v>2785</v>
      </c>
      <c r="X1288" s="257" t="s">
        <v>2784</v>
      </c>
    </row>
    <row r="1289" spans="23:24" x14ac:dyDescent="0.2">
      <c r="W1289" s="256" t="s">
        <v>2787</v>
      </c>
      <c r="X1289" s="257" t="s">
        <v>2786</v>
      </c>
    </row>
    <row r="1290" spans="23:24" x14ac:dyDescent="0.2">
      <c r="W1290" s="256" t="s">
        <v>2789</v>
      </c>
      <c r="X1290" s="257" t="s">
        <v>2788</v>
      </c>
    </row>
    <row r="1291" spans="23:24" x14ac:dyDescent="0.2">
      <c r="W1291" s="256" t="s">
        <v>2791</v>
      </c>
      <c r="X1291" s="257" t="s">
        <v>2790</v>
      </c>
    </row>
    <row r="1292" spans="23:24" x14ac:dyDescent="0.2">
      <c r="W1292" s="256" t="s">
        <v>2793</v>
      </c>
      <c r="X1292" s="257" t="s">
        <v>2792</v>
      </c>
    </row>
    <row r="1293" spans="23:24" x14ac:dyDescent="0.2">
      <c r="W1293" s="256" t="s">
        <v>2795</v>
      </c>
      <c r="X1293" s="257" t="s">
        <v>2794</v>
      </c>
    </row>
    <row r="1294" spans="23:24" x14ac:dyDescent="0.2">
      <c r="W1294" s="256" t="s">
        <v>2797</v>
      </c>
      <c r="X1294" s="257" t="s">
        <v>2796</v>
      </c>
    </row>
    <row r="1295" spans="23:24" x14ac:dyDescent="0.2">
      <c r="W1295" s="256" t="s">
        <v>2799</v>
      </c>
      <c r="X1295" s="257" t="s">
        <v>2798</v>
      </c>
    </row>
    <row r="1296" spans="23:24" x14ac:dyDescent="0.2">
      <c r="W1296" s="256" t="s">
        <v>2801</v>
      </c>
      <c r="X1296" s="257" t="s">
        <v>2800</v>
      </c>
    </row>
    <row r="1297" spans="23:24" x14ac:dyDescent="0.2">
      <c r="W1297" s="256" t="s">
        <v>2803</v>
      </c>
      <c r="X1297" s="257" t="s">
        <v>2802</v>
      </c>
    </row>
    <row r="1298" spans="23:24" x14ac:dyDescent="0.2">
      <c r="W1298" s="256" t="s">
        <v>2805</v>
      </c>
      <c r="X1298" s="257" t="s">
        <v>2804</v>
      </c>
    </row>
    <row r="1299" spans="23:24" x14ac:dyDescent="0.2">
      <c r="W1299" s="256" t="s">
        <v>2807</v>
      </c>
      <c r="X1299" s="257" t="s">
        <v>2806</v>
      </c>
    </row>
    <row r="1300" spans="23:24" x14ac:dyDescent="0.2">
      <c r="W1300" s="256" t="s">
        <v>2809</v>
      </c>
      <c r="X1300" s="257" t="s">
        <v>2808</v>
      </c>
    </row>
    <row r="1301" spans="23:24" x14ac:dyDescent="0.2">
      <c r="W1301" s="256" t="s">
        <v>2811</v>
      </c>
      <c r="X1301" s="257" t="s">
        <v>2810</v>
      </c>
    </row>
    <row r="1302" spans="23:24" x14ac:dyDescent="0.2">
      <c r="W1302" s="256" t="s">
        <v>2813</v>
      </c>
      <c r="X1302" s="257" t="s">
        <v>2812</v>
      </c>
    </row>
    <row r="1303" spans="23:24" x14ac:dyDescent="0.2">
      <c r="W1303" s="256" t="s">
        <v>2815</v>
      </c>
      <c r="X1303" s="257" t="s">
        <v>2814</v>
      </c>
    </row>
    <row r="1304" spans="23:24" x14ac:dyDescent="0.2">
      <c r="W1304" s="256" t="s">
        <v>2817</v>
      </c>
      <c r="X1304" s="257" t="s">
        <v>2816</v>
      </c>
    </row>
    <row r="1305" spans="23:24" x14ac:dyDescent="0.2">
      <c r="W1305" s="256" t="s">
        <v>2819</v>
      </c>
      <c r="X1305" s="257" t="s">
        <v>2818</v>
      </c>
    </row>
    <row r="1306" spans="23:24" x14ac:dyDescent="0.2">
      <c r="W1306" s="256" t="s">
        <v>2821</v>
      </c>
      <c r="X1306" s="257" t="s">
        <v>2820</v>
      </c>
    </row>
    <row r="1307" spans="23:24" x14ac:dyDescent="0.2">
      <c r="W1307" s="256" t="s">
        <v>2823</v>
      </c>
      <c r="X1307" s="257" t="s">
        <v>2822</v>
      </c>
    </row>
    <row r="1308" spans="23:24" x14ac:dyDescent="0.2">
      <c r="W1308" s="256" t="s">
        <v>2825</v>
      </c>
      <c r="X1308" s="257" t="s">
        <v>2824</v>
      </c>
    </row>
    <row r="1309" spans="23:24" x14ac:dyDescent="0.2">
      <c r="W1309" s="256" t="s">
        <v>2827</v>
      </c>
      <c r="X1309" s="257" t="s">
        <v>2826</v>
      </c>
    </row>
    <row r="1310" spans="23:24" x14ac:dyDescent="0.2">
      <c r="W1310" s="256" t="s">
        <v>2829</v>
      </c>
      <c r="X1310" s="257" t="s">
        <v>2828</v>
      </c>
    </row>
    <row r="1311" spans="23:24" x14ac:dyDescent="0.2">
      <c r="W1311" s="256" t="s">
        <v>2831</v>
      </c>
      <c r="X1311" s="257" t="s">
        <v>2830</v>
      </c>
    </row>
    <row r="1312" spans="23:24" x14ac:dyDescent="0.2">
      <c r="W1312" s="256" t="s">
        <v>2833</v>
      </c>
      <c r="X1312" s="257" t="s">
        <v>2832</v>
      </c>
    </row>
    <row r="1313" spans="23:24" x14ac:dyDescent="0.2">
      <c r="W1313" s="256" t="s">
        <v>2835</v>
      </c>
      <c r="X1313" s="257" t="s">
        <v>2834</v>
      </c>
    </row>
    <row r="1314" spans="23:24" x14ac:dyDescent="0.2">
      <c r="W1314" s="256" t="s">
        <v>2837</v>
      </c>
      <c r="X1314" s="257" t="s">
        <v>2836</v>
      </c>
    </row>
    <row r="1315" spans="23:24" x14ac:dyDescent="0.2">
      <c r="W1315" s="256" t="s">
        <v>2839</v>
      </c>
      <c r="X1315" s="257" t="s">
        <v>2838</v>
      </c>
    </row>
    <row r="1316" spans="23:24" x14ac:dyDescent="0.2">
      <c r="W1316" s="256" t="s">
        <v>2841</v>
      </c>
      <c r="X1316" s="257" t="s">
        <v>2840</v>
      </c>
    </row>
    <row r="1317" spans="23:24" x14ac:dyDescent="0.2">
      <c r="W1317" s="256" t="s">
        <v>2843</v>
      </c>
      <c r="X1317" s="257" t="s">
        <v>2842</v>
      </c>
    </row>
    <row r="1318" spans="23:24" x14ac:dyDescent="0.2">
      <c r="W1318" s="256" t="s">
        <v>2845</v>
      </c>
      <c r="X1318" s="257" t="s">
        <v>2844</v>
      </c>
    </row>
    <row r="1319" spans="23:24" x14ac:dyDescent="0.2">
      <c r="W1319" s="256" t="s">
        <v>2847</v>
      </c>
      <c r="X1319" s="257" t="s">
        <v>2846</v>
      </c>
    </row>
    <row r="1320" spans="23:24" x14ac:dyDescent="0.2">
      <c r="W1320" s="256" t="s">
        <v>2849</v>
      </c>
      <c r="X1320" s="257" t="s">
        <v>2848</v>
      </c>
    </row>
    <row r="1321" spans="23:24" x14ac:dyDescent="0.2">
      <c r="W1321" s="256" t="s">
        <v>2851</v>
      </c>
      <c r="X1321" s="257" t="s">
        <v>2850</v>
      </c>
    </row>
    <row r="1322" spans="23:24" x14ac:dyDescent="0.2">
      <c r="W1322" s="256" t="s">
        <v>2853</v>
      </c>
      <c r="X1322" s="257" t="s">
        <v>2852</v>
      </c>
    </row>
    <row r="1323" spans="23:24" x14ac:dyDescent="0.2">
      <c r="W1323" s="256" t="s">
        <v>2855</v>
      </c>
      <c r="X1323" s="257" t="s">
        <v>2854</v>
      </c>
    </row>
    <row r="1324" spans="23:24" x14ac:dyDescent="0.2">
      <c r="W1324" s="256" t="s">
        <v>2857</v>
      </c>
      <c r="X1324" s="257" t="s">
        <v>2856</v>
      </c>
    </row>
    <row r="1325" spans="23:24" x14ac:dyDescent="0.2">
      <c r="W1325" s="256" t="s">
        <v>2859</v>
      </c>
      <c r="X1325" s="257" t="s">
        <v>2858</v>
      </c>
    </row>
    <row r="1326" spans="23:24" x14ac:dyDescent="0.2">
      <c r="W1326" s="256" t="s">
        <v>2861</v>
      </c>
      <c r="X1326" s="257" t="s">
        <v>2860</v>
      </c>
    </row>
    <row r="1327" spans="23:24" x14ac:dyDescent="0.2">
      <c r="W1327" s="256" t="s">
        <v>2863</v>
      </c>
      <c r="X1327" s="257" t="s">
        <v>2862</v>
      </c>
    </row>
    <row r="1328" spans="23:24" x14ac:dyDescent="0.2">
      <c r="W1328" s="256" t="s">
        <v>2865</v>
      </c>
      <c r="X1328" s="257" t="s">
        <v>2864</v>
      </c>
    </row>
    <row r="1329" spans="23:24" x14ac:dyDescent="0.2">
      <c r="W1329" s="256" t="s">
        <v>2867</v>
      </c>
      <c r="X1329" s="257" t="s">
        <v>2866</v>
      </c>
    </row>
    <row r="1330" spans="23:24" x14ac:dyDescent="0.2">
      <c r="W1330" s="256" t="s">
        <v>2869</v>
      </c>
      <c r="X1330" s="257" t="s">
        <v>2868</v>
      </c>
    </row>
    <row r="1331" spans="23:24" x14ac:dyDescent="0.2">
      <c r="W1331" s="256" t="s">
        <v>2871</v>
      </c>
      <c r="X1331" s="257" t="s">
        <v>2870</v>
      </c>
    </row>
    <row r="1332" spans="23:24" x14ac:dyDescent="0.2">
      <c r="W1332" s="256" t="s">
        <v>2873</v>
      </c>
      <c r="X1332" s="257" t="s">
        <v>2872</v>
      </c>
    </row>
    <row r="1333" spans="23:24" x14ac:dyDescent="0.2">
      <c r="W1333" s="256" t="s">
        <v>2875</v>
      </c>
      <c r="X1333" s="257" t="s">
        <v>2874</v>
      </c>
    </row>
    <row r="1334" spans="23:24" x14ac:dyDescent="0.2">
      <c r="W1334" s="256" t="s">
        <v>2877</v>
      </c>
      <c r="X1334" s="257" t="s">
        <v>2876</v>
      </c>
    </row>
    <row r="1335" spans="23:24" x14ac:dyDescent="0.2">
      <c r="W1335" s="256" t="s">
        <v>2879</v>
      </c>
      <c r="X1335" s="257" t="s">
        <v>2878</v>
      </c>
    </row>
    <row r="1336" spans="23:24" x14ac:dyDescent="0.2">
      <c r="W1336" s="256" t="s">
        <v>2881</v>
      </c>
      <c r="X1336" s="257" t="s">
        <v>2880</v>
      </c>
    </row>
    <row r="1337" spans="23:24" x14ac:dyDescent="0.2">
      <c r="W1337" s="256" t="s">
        <v>2883</v>
      </c>
      <c r="X1337" s="257" t="s">
        <v>2882</v>
      </c>
    </row>
    <row r="1338" spans="23:24" x14ac:dyDescent="0.2">
      <c r="W1338" s="256" t="s">
        <v>2885</v>
      </c>
      <c r="X1338" s="257" t="s">
        <v>2884</v>
      </c>
    </row>
    <row r="1339" spans="23:24" x14ac:dyDescent="0.2">
      <c r="W1339" s="256" t="s">
        <v>2887</v>
      </c>
      <c r="X1339" s="257" t="s">
        <v>2886</v>
      </c>
    </row>
    <row r="1340" spans="23:24" x14ac:dyDescent="0.2">
      <c r="W1340" s="256" t="s">
        <v>2889</v>
      </c>
      <c r="X1340" s="257" t="s">
        <v>2888</v>
      </c>
    </row>
    <row r="1341" spans="23:24" x14ac:dyDescent="0.2">
      <c r="W1341" s="256" t="s">
        <v>2891</v>
      </c>
      <c r="X1341" s="257" t="s">
        <v>2890</v>
      </c>
    </row>
    <row r="1342" spans="23:24" x14ac:dyDescent="0.2">
      <c r="W1342" s="256" t="s">
        <v>2893</v>
      </c>
      <c r="X1342" s="257" t="s">
        <v>2892</v>
      </c>
    </row>
    <row r="1343" spans="23:24" x14ac:dyDescent="0.2">
      <c r="W1343" s="256" t="s">
        <v>2895</v>
      </c>
      <c r="X1343" s="257" t="s">
        <v>2894</v>
      </c>
    </row>
    <row r="1344" spans="23:24" x14ac:dyDescent="0.2">
      <c r="W1344" s="256" t="s">
        <v>2897</v>
      </c>
      <c r="X1344" s="257" t="s">
        <v>2896</v>
      </c>
    </row>
    <row r="1345" spans="23:24" x14ac:dyDescent="0.2">
      <c r="W1345" s="256" t="s">
        <v>2899</v>
      </c>
      <c r="X1345" s="257" t="s">
        <v>2898</v>
      </c>
    </row>
    <row r="1346" spans="23:24" x14ac:dyDescent="0.2">
      <c r="W1346" s="256" t="s">
        <v>2901</v>
      </c>
      <c r="X1346" s="257" t="s">
        <v>2900</v>
      </c>
    </row>
    <row r="1347" spans="23:24" x14ac:dyDescent="0.2">
      <c r="W1347" s="256" t="s">
        <v>2903</v>
      </c>
      <c r="X1347" s="257" t="s">
        <v>2902</v>
      </c>
    </row>
    <row r="1348" spans="23:24" x14ac:dyDescent="0.2">
      <c r="W1348" s="256" t="s">
        <v>2905</v>
      </c>
      <c r="X1348" s="257" t="s">
        <v>2904</v>
      </c>
    </row>
    <row r="1349" spans="23:24" x14ac:dyDescent="0.2">
      <c r="W1349" s="256" t="s">
        <v>2907</v>
      </c>
      <c r="X1349" s="257" t="s">
        <v>2906</v>
      </c>
    </row>
    <row r="1350" spans="23:24" x14ac:dyDescent="0.2">
      <c r="W1350" s="256" t="s">
        <v>2909</v>
      </c>
      <c r="X1350" s="257" t="s">
        <v>2908</v>
      </c>
    </row>
    <row r="1351" spans="23:24" x14ac:dyDescent="0.2">
      <c r="W1351" s="256" t="s">
        <v>2911</v>
      </c>
      <c r="X1351" s="257" t="s">
        <v>2910</v>
      </c>
    </row>
    <row r="1352" spans="23:24" x14ac:dyDescent="0.2">
      <c r="W1352" s="256" t="s">
        <v>2913</v>
      </c>
      <c r="X1352" s="257" t="s">
        <v>2912</v>
      </c>
    </row>
    <row r="1353" spans="23:24" x14ac:dyDescent="0.2">
      <c r="W1353" s="256" t="s">
        <v>2915</v>
      </c>
      <c r="X1353" s="257" t="s">
        <v>2914</v>
      </c>
    </row>
    <row r="1354" spans="23:24" x14ac:dyDescent="0.2">
      <c r="W1354" s="256" t="s">
        <v>2917</v>
      </c>
      <c r="X1354" s="257" t="s">
        <v>2916</v>
      </c>
    </row>
    <row r="1355" spans="23:24" x14ac:dyDescent="0.2">
      <c r="W1355" s="256" t="s">
        <v>2919</v>
      </c>
      <c r="X1355" s="257" t="s">
        <v>2918</v>
      </c>
    </row>
    <row r="1356" spans="23:24" x14ac:dyDescent="0.2">
      <c r="W1356" s="256" t="s">
        <v>2921</v>
      </c>
      <c r="X1356" s="257" t="s">
        <v>2920</v>
      </c>
    </row>
    <row r="1357" spans="23:24" x14ac:dyDescent="0.2">
      <c r="W1357" s="256" t="s">
        <v>2923</v>
      </c>
      <c r="X1357" s="257" t="s">
        <v>2922</v>
      </c>
    </row>
    <row r="1358" spans="23:24" x14ac:dyDescent="0.2">
      <c r="W1358" s="256" t="s">
        <v>2925</v>
      </c>
      <c r="X1358" s="257" t="s">
        <v>2924</v>
      </c>
    </row>
    <row r="1359" spans="23:24" x14ac:dyDescent="0.2">
      <c r="W1359" s="256" t="s">
        <v>2927</v>
      </c>
      <c r="X1359" s="257" t="s">
        <v>2926</v>
      </c>
    </row>
    <row r="1360" spans="23:24" x14ac:dyDescent="0.2">
      <c r="W1360" s="256" t="s">
        <v>2929</v>
      </c>
      <c r="X1360" s="257" t="s">
        <v>2928</v>
      </c>
    </row>
    <row r="1361" spans="23:24" x14ac:dyDescent="0.2">
      <c r="W1361" s="256" t="s">
        <v>2931</v>
      </c>
      <c r="X1361" s="257" t="s">
        <v>2930</v>
      </c>
    </row>
    <row r="1362" spans="23:24" x14ac:dyDescent="0.2">
      <c r="W1362" s="256" t="s">
        <v>2933</v>
      </c>
      <c r="X1362" s="257" t="s">
        <v>2932</v>
      </c>
    </row>
    <row r="1363" spans="23:24" x14ac:dyDescent="0.2">
      <c r="W1363" s="256" t="s">
        <v>2935</v>
      </c>
      <c r="X1363" s="257" t="s">
        <v>2934</v>
      </c>
    </row>
    <row r="1364" spans="23:24" x14ac:dyDescent="0.2">
      <c r="W1364" s="256" t="s">
        <v>2937</v>
      </c>
      <c r="X1364" s="257" t="s">
        <v>2936</v>
      </c>
    </row>
    <row r="1365" spans="23:24" x14ac:dyDescent="0.2">
      <c r="W1365" s="256" t="s">
        <v>2939</v>
      </c>
      <c r="X1365" s="257" t="s">
        <v>2938</v>
      </c>
    </row>
    <row r="1366" spans="23:24" x14ac:dyDescent="0.2">
      <c r="W1366" s="256" t="s">
        <v>2941</v>
      </c>
      <c r="X1366" s="257" t="s">
        <v>2940</v>
      </c>
    </row>
    <row r="1367" spans="23:24" x14ac:dyDescent="0.2">
      <c r="W1367" s="256" t="s">
        <v>2943</v>
      </c>
      <c r="X1367" s="257" t="s">
        <v>2942</v>
      </c>
    </row>
    <row r="1368" spans="23:24" x14ac:dyDescent="0.2">
      <c r="W1368" s="256" t="s">
        <v>2945</v>
      </c>
      <c r="X1368" s="257" t="s">
        <v>2944</v>
      </c>
    </row>
    <row r="1369" spans="23:24" x14ac:dyDescent="0.2">
      <c r="W1369" s="256" t="s">
        <v>2947</v>
      </c>
      <c r="X1369" s="257" t="s">
        <v>2946</v>
      </c>
    </row>
    <row r="1370" spans="23:24" x14ac:dyDescent="0.2">
      <c r="W1370" s="256" t="s">
        <v>2949</v>
      </c>
      <c r="X1370" s="257" t="s">
        <v>2948</v>
      </c>
    </row>
    <row r="1371" spans="23:24" x14ac:dyDescent="0.2">
      <c r="W1371" s="256" t="s">
        <v>2951</v>
      </c>
      <c r="X1371" s="257" t="s">
        <v>2950</v>
      </c>
    </row>
    <row r="1372" spans="23:24" x14ac:dyDescent="0.2">
      <c r="W1372" s="256" t="s">
        <v>2953</v>
      </c>
      <c r="X1372" s="257" t="s">
        <v>2952</v>
      </c>
    </row>
    <row r="1373" spans="23:24" x14ac:dyDescent="0.2">
      <c r="W1373" s="256" t="s">
        <v>2955</v>
      </c>
      <c r="X1373" s="257" t="s">
        <v>2954</v>
      </c>
    </row>
    <row r="1374" spans="23:24" x14ac:dyDescent="0.2">
      <c r="W1374" s="256" t="s">
        <v>2957</v>
      </c>
      <c r="X1374" s="257" t="s">
        <v>2956</v>
      </c>
    </row>
    <row r="1375" spans="23:24" x14ac:dyDescent="0.2">
      <c r="W1375" s="256" t="s">
        <v>2959</v>
      </c>
      <c r="X1375" s="257" t="s">
        <v>2958</v>
      </c>
    </row>
    <row r="1376" spans="23:24" x14ac:dyDescent="0.2">
      <c r="W1376" s="256" t="s">
        <v>2961</v>
      </c>
      <c r="X1376" s="257" t="s">
        <v>2960</v>
      </c>
    </row>
    <row r="1377" spans="23:24" x14ac:dyDescent="0.2">
      <c r="W1377" s="256" t="s">
        <v>2963</v>
      </c>
      <c r="X1377" s="257" t="s">
        <v>2962</v>
      </c>
    </row>
    <row r="1378" spans="23:24" x14ac:dyDescent="0.2">
      <c r="W1378" s="256" t="s">
        <v>2965</v>
      </c>
      <c r="X1378" s="257" t="s">
        <v>2964</v>
      </c>
    </row>
    <row r="1379" spans="23:24" x14ac:dyDescent="0.2">
      <c r="W1379" s="256" t="s">
        <v>2967</v>
      </c>
      <c r="X1379" s="257" t="s">
        <v>2966</v>
      </c>
    </row>
    <row r="1380" spans="23:24" x14ac:dyDescent="0.2">
      <c r="W1380" s="256" t="s">
        <v>2969</v>
      </c>
      <c r="X1380" s="257" t="s">
        <v>2968</v>
      </c>
    </row>
    <row r="1381" spans="23:24" x14ac:dyDescent="0.2">
      <c r="W1381" s="256" t="s">
        <v>2971</v>
      </c>
      <c r="X1381" s="257" t="s">
        <v>2970</v>
      </c>
    </row>
    <row r="1382" spans="23:24" x14ac:dyDescent="0.2">
      <c r="W1382" s="256" t="s">
        <v>2973</v>
      </c>
      <c r="X1382" s="257" t="s">
        <v>2972</v>
      </c>
    </row>
    <row r="1383" spans="23:24" x14ac:dyDescent="0.2">
      <c r="W1383" s="256" t="s">
        <v>2975</v>
      </c>
      <c r="X1383" s="257" t="s">
        <v>2974</v>
      </c>
    </row>
    <row r="1384" spans="23:24" x14ac:dyDescent="0.2">
      <c r="W1384" s="256" t="s">
        <v>2977</v>
      </c>
      <c r="X1384" s="257" t="s">
        <v>2976</v>
      </c>
    </row>
    <row r="1385" spans="23:24" x14ac:dyDescent="0.2">
      <c r="W1385" s="256" t="s">
        <v>2979</v>
      </c>
      <c r="X1385" s="257" t="s">
        <v>2978</v>
      </c>
    </row>
    <row r="1386" spans="23:24" x14ac:dyDescent="0.2">
      <c r="W1386" s="256" t="s">
        <v>2981</v>
      </c>
      <c r="X1386" s="257" t="s">
        <v>2980</v>
      </c>
    </row>
    <row r="1387" spans="23:24" x14ac:dyDescent="0.2">
      <c r="W1387" s="256" t="s">
        <v>2983</v>
      </c>
      <c r="X1387" s="257" t="s">
        <v>2982</v>
      </c>
    </row>
    <row r="1388" spans="23:24" x14ac:dyDescent="0.2">
      <c r="W1388" s="256" t="s">
        <v>2985</v>
      </c>
      <c r="X1388" s="257" t="s">
        <v>2984</v>
      </c>
    </row>
    <row r="1389" spans="23:24" x14ac:dyDescent="0.2">
      <c r="W1389" s="256" t="s">
        <v>2987</v>
      </c>
      <c r="X1389" s="257" t="s">
        <v>2986</v>
      </c>
    </row>
    <row r="1390" spans="23:24" x14ac:dyDescent="0.2">
      <c r="W1390" s="256" t="s">
        <v>2989</v>
      </c>
      <c r="X1390" s="257" t="s">
        <v>2988</v>
      </c>
    </row>
    <row r="1391" spans="23:24" x14ac:dyDescent="0.2">
      <c r="W1391" s="256" t="s">
        <v>2991</v>
      </c>
      <c r="X1391" s="257" t="s">
        <v>2990</v>
      </c>
    </row>
    <row r="1392" spans="23:24" x14ac:dyDescent="0.2">
      <c r="W1392" s="256" t="s">
        <v>2993</v>
      </c>
      <c r="X1392" s="257" t="s">
        <v>2992</v>
      </c>
    </row>
    <row r="1393" spans="23:24" x14ac:dyDescent="0.2">
      <c r="W1393" s="256" t="s">
        <v>2995</v>
      </c>
      <c r="X1393" s="257" t="s">
        <v>2994</v>
      </c>
    </row>
    <row r="1394" spans="23:24" x14ac:dyDescent="0.2">
      <c r="W1394" s="256" t="s">
        <v>2997</v>
      </c>
      <c r="X1394" s="257" t="s">
        <v>2996</v>
      </c>
    </row>
    <row r="1395" spans="23:24" x14ac:dyDescent="0.2">
      <c r="W1395" s="256" t="s">
        <v>2999</v>
      </c>
      <c r="X1395" s="257" t="s">
        <v>2998</v>
      </c>
    </row>
    <row r="1396" spans="23:24" x14ac:dyDescent="0.2">
      <c r="W1396" s="256" t="s">
        <v>3001</v>
      </c>
      <c r="X1396" s="257" t="s">
        <v>3000</v>
      </c>
    </row>
    <row r="1397" spans="23:24" x14ac:dyDescent="0.2">
      <c r="W1397" s="256" t="s">
        <v>3003</v>
      </c>
      <c r="X1397" s="257" t="s">
        <v>3002</v>
      </c>
    </row>
    <row r="1398" spans="23:24" x14ac:dyDescent="0.2">
      <c r="W1398" s="256" t="s">
        <v>3005</v>
      </c>
      <c r="X1398" s="257" t="s">
        <v>3004</v>
      </c>
    </row>
    <row r="1399" spans="23:24" x14ac:dyDescent="0.2">
      <c r="W1399" s="256" t="s">
        <v>3007</v>
      </c>
      <c r="X1399" s="257" t="s">
        <v>3006</v>
      </c>
    </row>
    <row r="1400" spans="23:24" x14ac:dyDescent="0.2">
      <c r="W1400" s="256" t="s">
        <v>3009</v>
      </c>
      <c r="X1400" s="257" t="s">
        <v>3008</v>
      </c>
    </row>
    <row r="1401" spans="23:24" x14ac:dyDescent="0.2">
      <c r="W1401" s="256" t="s">
        <v>3011</v>
      </c>
      <c r="X1401" s="257" t="s">
        <v>3010</v>
      </c>
    </row>
    <row r="1402" spans="23:24" x14ac:dyDescent="0.2">
      <c r="W1402" s="256" t="s">
        <v>3013</v>
      </c>
      <c r="X1402" s="257" t="s">
        <v>3012</v>
      </c>
    </row>
    <row r="1403" spans="23:24" x14ac:dyDescent="0.2">
      <c r="W1403" s="256" t="s">
        <v>3015</v>
      </c>
      <c r="X1403" s="257" t="s">
        <v>3014</v>
      </c>
    </row>
    <row r="1404" spans="23:24" x14ac:dyDescent="0.2">
      <c r="W1404" s="256" t="s">
        <v>3017</v>
      </c>
      <c r="X1404" s="257" t="s">
        <v>3016</v>
      </c>
    </row>
    <row r="1405" spans="23:24" x14ac:dyDescent="0.2">
      <c r="W1405" s="256" t="s">
        <v>3019</v>
      </c>
      <c r="X1405" s="257" t="s">
        <v>3018</v>
      </c>
    </row>
    <row r="1406" spans="23:24" x14ac:dyDescent="0.2">
      <c r="W1406" s="256" t="s">
        <v>3021</v>
      </c>
      <c r="X1406" s="257" t="s">
        <v>3020</v>
      </c>
    </row>
    <row r="1407" spans="23:24" x14ac:dyDescent="0.2">
      <c r="W1407" s="256" t="s">
        <v>3023</v>
      </c>
      <c r="X1407" s="257" t="s">
        <v>3022</v>
      </c>
    </row>
    <row r="1408" spans="23:24" x14ac:dyDescent="0.2">
      <c r="W1408" s="256" t="s">
        <v>3025</v>
      </c>
      <c r="X1408" s="257" t="s">
        <v>3024</v>
      </c>
    </row>
    <row r="1409" spans="23:24" x14ac:dyDescent="0.2">
      <c r="W1409" s="256" t="s">
        <v>3027</v>
      </c>
      <c r="X1409" s="257" t="s">
        <v>3026</v>
      </c>
    </row>
    <row r="1410" spans="23:24" x14ac:dyDescent="0.2">
      <c r="W1410" s="258" t="s">
        <v>3029</v>
      </c>
      <c r="X1410" s="259" t="s">
        <v>3028</v>
      </c>
    </row>
  </sheetData>
  <dataValidations disablePrompts="1" count="3">
    <dataValidation type="date" allowBlank="1" showInputMessage="1" showErrorMessage="1" sqref="C9">
      <formula1>datepy</formula1>
      <formula2>date</formula2>
    </dataValidation>
    <dataValidation type="list" allowBlank="1" showInputMessage="1" showErrorMessage="1" sqref="C12">
      <formula1>$M$6:$M$20</formula1>
    </dataValidation>
    <dataValidation type="list" allowBlank="1" showInputMessage="1" showErrorMessage="1" sqref="C6">
      <formula1>$J$6:$J$14</formula1>
    </dataValidation>
  </dataValidations>
  <pageMargins left="0.7" right="0.7" top="0.75" bottom="0.75" header="0.3" footer="0.3"/>
  <pageSetup orientation="portrait" horizontalDpi="1200" verticalDpi="1200"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4:P87"/>
  <sheetViews>
    <sheetView zoomScaleNormal="100" workbookViewId="0">
      <selection activeCell="E23" sqref="E23"/>
    </sheetView>
  </sheetViews>
  <sheetFormatPr defaultRowHeight="11.25" x14ac:dyDescent="0.2"/>
  <cols>
    <col min="1" max="1" width="26.33203125" bestFit="1" customWidth="1"/>
    <col min="2" max="2" width="20.6640625" bestFit="1" customWidth="1"/>
    <col min="3" max="3" width="13.83203125" style="237" customWidth="1"/>
    <col min="4" max="4" width="8.83203125" customWidth="1"/>
    <col min="5" max="5" width="11.33203125" style="143" customWidth="1"/>
    <col min="6" max="6" width="10.6640625" style="143" customWidth="1"/>
    <col min="7" max="7" width="11.83203125" customWidth="1"/>
    <col min="8" max="8" width="18.1640625" bestFit="1" customWidth="1"/>
    <col min="9" max="9" width="16.6640625" customWidth="1"/>
    <col min="11" max="11" width="19.5" customWidth="1"/>
    <col min="12" max="12" width="11.83203125" customWidth="1"/>
    <col min="13" max="13" width="19.6640625" customWidth="1"/>
    <col min="14" max="14" width="22" customWidth="1"/>
    <col min="15" max="15" width="20.1640625" customWidth="1"/>
    <col min="16" max="16" width="21.1640625" customWidth="1"/>
  </cols>
  <sheetData>
    <row r="4" spans="1:16" ht="23.25" x14ac:dyDescent="0.35">
      <c r="B4" s="145" t="str">
        <f>MONTH(date)&amp;"/"&amp;DAY(date)&amp;"/"&amp;YEAR(date) &amp; "General Ledger Entry "</f>
        <v xml:space="preserve">12/31/2015General Ledger Entry </v>
      </c>
      <c r="C4" s="235"/>
      <c r="D4" s="145"/>
      <c r="E4" s="146"/>
      <c r="F4" s="146"/>
      <c r="G4" s="228"/>
      <c r="K4" s="145" t="str">
        <f>"Asset Summary as of " &amp;MONTH(date)&amp;"/"&amp;DAY(date)&amp;"/"&amp;YEAR(date)</f>
        <v>Asset Summary as of 12/31/2015</v>
      </c>
      <c r="L4" s="144"/>
      <c r="M4" s="144"/>
      <c r="N4" s="144"/>
      <c r="O4" s="144"/>
      <c r="P4" s="144"/>
    </row>
    <row r="5" spans="1:16" x14ac:dyDescent="0.2">
      <c r="E5" s="143" t="s">
        <v>137</v>
      </c>
      <c r="G5" s="232" t="s">
        <v>214</v>
      </c>
      <c r="K5" s="153" t="s">
        <v>38</v>
      </c>
      <c r="L5" s="153" t="s">
        <v>126</v>
      </c>
      <c r="M5" s="153"/>
      <c r="N5" s="153"/>
      <c r="O5" s="153"/>
      <c r="P5" s="153"/>
    </row>
    <row r="6" spans="1:16" ht="12.75" x14ac:dyDescent="0.2">
      <c r="E6" s="143">
        <f>SUM(E8:E220)</f>
        <v>0</v>
      </c>
      <c r="F6" s="143">
        <f>SUM(F8:F220)</f>
        <v>0</v>
      </c>
      <c r="G6" s="233">
        <f>E6-F6</f>
        <v>0</v>
      </c>
      <c r="H6" s="209" t="s">
        <v>189</v>
      </c>
      <c r="I6" s="208"/>
      <c r="K6" s="153"/>
      <c r="L6" s="153"/>
      <c r="M6" s="153"/>
      <c r="N6" s="153"/>
      <c r="O6" s="153"/>
      <c r="P6" s="153"/>
    </row>
    <row r="7" spans="1:16" x14ac:dyDescent="0.2">
      <c r="B7" s="223"/>
      <c r="C7" s="236" t="s">
        <v>132</v>
      </c>
      <c r="D7" s="214" t="s">
        <v>133</v>
      </c>
      <c r="E7" s="215" t="s">
        <v>129</v>
      </c>
      <c r="F7" s="215" t="s">
        <v>128</v>
      </c>
      <c r="K7" s="153"/>
      <c r="L7" s="153" t="s">
        <v>125</v>
      </c>
      <c r="M7" s="153"/>
      <c r="N7" s="153"/>
      <c r="O7" s="153"/>
      <c r="P7" s="153"/>
    </row>
    <row r="8" spans="1:16" x14ac:dyDescent="0.2">
      <c r="A8" t="str">
        <f t="shared" ref="A8:A42" si="0">IF(ISERROR(VLOOKUP("act"&amp;LEFT(C8,4)&amp;".000",AccountDiscription,2,0)),"",VLOOKUP("act"&amp;LEFT(C8,4)&amp;".000",AccountDiscription,2,0))</f>
        <v>Government Bonds</v>
      </c>
      <c r="B8" s="216" t="s">
        <v>80</v>
      </c>
      <c r="C8" s="221">
        <v>1011</v>
      </c>
      <c r="D8" s="222" t="s">
        <v>59</v>
      </c>
      <c r="E8" s="217">
        <f>SUMIFS(SCHEDD!$G$11:$G$13,SCHEDD!$M$11:$M$13,"&gt;"&amp;datepy,SCHEDD!$B$11:$B$13,LEFT(D8,FIND(".",D8)-1),SCHEDD!$C$11:$C$13,MID(D8,FIND(".",D8)+1,FIND(".",D8,FIND(".",D8))-1))+SUMIFS(SCHEDD!$R$11:$R$13,SCHEDD!$B$11:$B$13,LEFT(D8,FIND(".",D8)-1),SCHEDD!$C$11:$C$13,MID(D8,FIND(".",D8)+1,FIND(".",D8,FIND(".",D8))-1))</f>
        <v>0</v>
      </c>
      <c r="F8" s="217">
        <f>SUMIFS(SCHEDD!$AA$11:$AA$13,SCHEDD!$U$11:$U$13,"&gt;"&amp;datepy,SCHEDD!$B$11:$B$13,LEFT(D8,FIND(".",D8)-1),SCHEDD!$C$11:$C$13,MID(D8,FIND(".",D8)+1,FIND(".",D8,FIND(".",D8))-1))+SUMIFS(SCHEDD!$S$11:$S$13,SCHEDD!$B$11:$B$13,LEFT(D8,FIND(".",D8)-1),SCHEDD!$C$11:$C$13,MID(D8,FIND(".",D8)+1,FIND(".",D8,FIND(".",D8))-1))</f>
        <v>0</v>
      </c>
      <c r="H8" t="s">
        <v>181</v>
      </c>
      <c r="I8" s="275">
        <f>SUMIFS('Bank Transactions'!F:F,'Bank Transactions'!A:A,"&lt;="&amp;datepy,'Bank Transactions'!I:I,"1121")+SUMIFS('Bank Transactions'!F:F,'Bank Transactions'!A:A,"&lt;="&amp;datepy,'Bank Transactions'!I:I,"1115")</f>
        <v>0</v>
      </c>
      <c r="K8" s="153" t="s">
        <v>123</v>
      </c>
      <c r="L8" s="153" t="s">
        <v>222</v>
      </c>
      <c r="M8" s="153" t="s">
        <v>124</v>
      </c>
      <c r="N8" s="153" t="s">
        <v>190</v>
      </c>
      <c r="O8" s="153" t="s">
        <v>127</v>
      </c>
      <c r="P8" s="153" t="s">
        <v>221</v>
      </c>
    </row>
    <row r="9" spans="1:16" x14ac:dyDescent="0.2">
      <c r="A9" t="str">
        <f t="shared" si="0"/>
        <v>Municipal Bonds</v>
      </c>
      <c r="B9" s="216"/>
      <c r="C9" s="221">
        <v>1013</v>
      </c>
      <c r="D9" s="222" t="s">
        <v>60</v>
      </c>
      <c r="E9" s="217">
        <f>SUMIFS(SCHEDD!$G$11:$G$13,SCHEDD!$M$11:$M$13,"&gt;"&amp;datepy,SCHEDD!$B$11:$B$13,LEFT(D9,FIND(".",D9)-1),SCHEDD!$C$11:$C$13,MID(D9,FIND(".",D9)+1,FIND(".",D9,FIND(".",D9))-1))+SUMIFS(SCHEDD!$R$11:$R$13,SCHEDD!$B$11:$B$13,LEFT(D9,FIND(".",D9)-1),SCHEDD!$C$11:$C$13,MID(D9,FIND(".",D9)+1,FIND(".",D9,FIND(".",D9))-1))</f>
        <v>0</v>
      </c>
      <c r="F9" s="217">
        <f>SUMIFS(SCHEDD!$AA$11:$AA$13,SCHEDD!$U$11:$U$13,"&gt;"&amp;datepy,SCHEDD!$B$11:$B$13,LEFT(D9,FIND(".",D9)-1),SCHEDD!$C$11:$C$13,MID(D9,FIND(".",D9)+1,FIND(".",D9,FIND(".",D9))-1))+SUMIFS(SCHEDD!$S$11:$S$13,SCHEDD!$B$11:$B$13,LEFT(D9,FIND(".",D9)-1),SCHEDD!$C$11:$C$13,MID(D9,FIND(".",D9)+1,FIND(".",D9,FIND(".",D9))-1))</f>
        <v>0</v>
      </c>
      <c r="H9" t="s">
        <v>140</v>
      </c>
      <c r="I9" s="143">
        <f>SUMIFS('Bank Transactions'!$F:$F,'Bank Transactions'!$C:$C,H9,'Bank Transactions'!A:A,"&gt;"&amp;datepy)</f>
        <v>0</v>
      </c>
      <c r="K9" s="183" t="s">
        <v>46</v>
      </c>
      <c r="L9" s="154">
        <v>0</v>
      </c>
      <c r="M9" s="207">
        <v>0</v>
      </c>
      <c r="N9" s="154">
        <v>0</v>
      </c>
      <c r="O9" s="154">
        <v>0</v>
      </c>
      <c r="P9" s="154">
        <v>0</v>
      </c>
    </row>
    <row r="10" spans="1:16" x14ac:dyDescent="0.2">
      <c r="A10" t="str">
        <f t="shared" si="0"/>
        <v>Municipal Bonds</v>
      </c>
      <c r="B10" s="216"/>
      <c r="C10" s="221">
        <v>1013</v>
      </c>
      <c r="D10" s="222" t="s">
        <v>61</v>
      </c>
      <c r="E10" s="217">
        <f>SUMIFS(SCHEDD!$G$11:$G$13,SCHEDD!$M$11:$M$13,"&gt;"&amp;datepy,SCHEDD!$B$11:$B$13,LEFT(D10,FIND(".",D10)-1),SCHEDD!$C$11:$C$13,MID(D10,FIND(".",D10)+1,FIND(".",D10,FIND(".",D10))-1))+SUMIFS(SCHEDD!$R$11:$R$13,SCHEDD!$B$11:$B$13,LEFT(D10,FIND(".",D10)-1),SCHEDD!$C$11:$C$13,MID(D10,FIND(".",D10)+1,FIND(".",D10,FIND(".",D10))-1))</f>
        <v>0</v>
      </c>
      <c r="F10" s="217">
        <f>SUMIFS(SCHEDD!$AA$11:$AA$13,SCHEDD!$U$11:$U$13,"&gt;"&amp;datepy,SCHEDD!$B$11:$B$13,LEFT(D10,FIND(".",D10)-1),SCHEDD!$C$11:$C$13,MID(D10,FIND(".",D10)+1,FIND(".",D10,FIND(".",D10))-1))+SUMIFS(SCHEDD!$S$11:$S$13,SCHEDD!$B$11:$B$13,LEFT(D10,FIND(".",D10)-1),SCHEDD!$C$11:$C$13,MID(D10,FIND(".",D10)+1,FIND(".",D10,FIND(".",D10))-1))</f>
        <v>0</v>
      </c>
      <c r="H10" t="s">
        <v>122</v>
      </c>
      <c r="I10" s="143">
        <f>SUMIFS('Bank Transactions'!$F:$F,'Bank Transactions'!$C:$C,H10,'Bank Transactions'!A:A,"&gt;"&amp;datepy)</f>
        <v>0</v>
      </c>
      <c r="K10" s="184">
        <v>10</v>
      </c>
      <c r="L10" s="154">
        <v>0</v>
      </c>
      <c r="M10" s="207">
        <v>0</v>
      </c>
      <c r="N10" s="154">
        <v>0</v>
      </c>
      <c r="O10" s="154">
        <v>0</v>
      </c>
      <c r="P10" s="154">
        <v>0</v>
      </c>
    </row>
    <row r="11" spans="1:16" x14ac:dyDescent="0.2">
      <c r="A11" t="str">
        <f t="shared" si="0"/>
        <v>Special Revenue Bonds</v>
      </c>
      <c r="B11" s="216"/>
      <c r="C11" s="221">
        <v>1014</v>
      </c>
      <c r="D11" s="222" t="s">
        <v>62</v>
      </c>
      <c r="E11" s="217">
        <f>SUMIFS(SCHEDD!$G$11:$G$13,SCHEDD!$M$11:$M$13,"&gt;"&amp;datepy,SCHEDD!$B$11:$B$13,LEFT(D11,FIND(".",D11)-1),SCHEDD!$C$11:$C$13,MID(D11,FIND(".",D11)+1,FIND(".",D11,FIND(".",D11))-1))+SUMIFS(SCHEDD!$R$11:$R$13,SCHEDD!$B$11:$B$13,LEFT(D11,FIND(".",D11)-1),SCHEDD!$C$11:$C$13,MID(D11,FIND(".",D11)+1,FIND(".",D11,FIND(".",D11))-1))</f>
        <v>0</v>
      </c>
      <c r="F11" s="217">
        <f>SUMIFS(SCHEDD!$AA$11:$AA$13,SCHEDD!$U$11:$U$13,"&gt;"&amp;datepy,SCHEDD!$B$11:$B$13,LEFT(D11,FIND(".",D11)-1),SCHEDD!$C$11:$C$13,MID(D11,FIND(".",D11)+1,FIND(".",D11,FIND(".",D11))-1))+SUMIFS(SCHEDD!$S$11:$S$13,SCHEDD!$B$11:$B$13,LEFT(D11,FIND(".",D11)-1),SCHEDD!$C$11:$C$13,MID(D11,FIND(".",D11)+1,FIND(".",D11,FIND(".",D11))-1))</f>
        <v>0</v>
      </c>
      <c r="H11" t="s">
        <v>141</v>
      </c>
      <c r="I11" s="143">
        <f>SUMIFS('Bank Transactions'!$F:$F,'Bank Transactions'!$C:$C,H11,'Bank Transactions'!A:A,"&gt;"&amp;datepy)</f>
        <v>0</v>
      </c>
      <c r="K11" s="185" t="s">
        <v>228</v>
      </c>
      <c r="L11" s="154">
        <v>0</v>
      </c>
      <c r="M11" s="207">
        <v>0</v>
      </c>
      <c r="N11" s="154">
        <v>0</v>
      </c>
      <c r="O11" s="154">
        <v>0</v>
      </c>
      <c r="P11" s="154">
        <v>0</v>
      </c>
    </row>
    <row r="12" spans="1:16" x14ac:dyDescent="0.2">
      <c r="A12" t="str">
        <f t="shared" si="0"/>
        <v>Corporate Bonds</v>
      </c>
      <c r="B12" s="216"/>
      <c r="C12" s="221">
        <v>1017</v>
      </c>
      <c r="D12" s="222" t="s">
        <v>63</v>
      </c>
      <c r="E12" s="217">
        <f>SUMIFS(SCHEDD!$G$11:$G$13,SCHEDD!$M$11:$M$13,"&gt;"&amp;datepy,SCHEDD!$B$11:$B$13,LEFT(D12,FIND(".",D12)-1),SCHEDD!$C$11:$C$13,MID(D12,FIND(".",D12)+1,FIND(".",D12,FIND(".",D12))-1))+SUMIFS(SCHEDD!$R$11:$R$13,SCHEDD!$B$11:$B$13,LEFT(D12,FIND(".",D12)-1),SCHEDD!$C$11:$C$13,MID(D12,FIND(".",D12)+1,FIND(".",D12,FIND(".",D12))-1))</f>
        <v>0</v>
      </c>
      <c r="F12" s="217">
        <f>SUMIFS(SCHEDD!$AA$11:$AA$13,SCHEDD!$U$11:$U$13,"&gt;"&amp;datepy,SCHEDD!$B$11:$B$13,LEFT(D12,FIND(".",D12)-1),SCHEDD!$C$11:$C$13,MID(D12,FIND(".",D12)+1,FIND(".",D12,FIND(".",D12))-1))+SUMIFS(SCHEDD!$S$11:$S$13,SCHEDD!$B$11:$B$13,LEFT(D12,FIND(".",D12)-1),SCHEDD!$C$11:$C$13,MID(D12,FIND(".",D12)+1,FIND(".",D12,FIND(".",D12))-1))</f>
        <v>0</v>
      </c>
      <c r="H12" t="s">
        <v>142</v>
      </c>
      <c r="I12" s="143">
        <f>SUMIFS('Bank Transactions'!$F:$F,'Bank Transactions'!$C:$C,H12,'Bank Transactions'!A:A,"&gt;"&amp;datepy)</f>
        <v>0</v>
      </c>
      <c r="K12" s="183" t="s">
        <v>126</v>
      </c>
      <c r="L12" s="154"/>
      <c r="M12" s="207"/>
      <c r="N12" s="154">
        <v>0</v>
      </c>
      <c r="O12" s="154">
        <v>0</v>
      </c>
      <c r="P12" s="154">
        <v>0</v>
      </c>
    </row>
    <row r="13" spans="1:16" x14ac:dyDescent="0.2">
      <c r="A13" t="str">
        <f t="shared" si="0"/>
        <v>CS Unaffl:Industrial &amp; Misc</v>
      </c>
      <c r="B13" s="216"/>
      <c r="C13" s="221">
        <v>1034</v>
      </c>
      <c r="D13" s="222" t="s">
        <v>64</v>
      </c>
      <c r="E13" s="217">
        <f>SUMIFS(SCHEDD!$G$11:$G$13,SCHEDD!$M$11:$M$13,"&gt;"&amp;datepy,SCHEDD!$B$11:$B$13,LEFT(D13,FIND(".",D13)-1),SCHEDD!$C$11:$C$13,MID(D13,FIND(".",D13)+1,FIND(".",D13,FIND(".",D13))-1))+SUMIFS(SCHEDD!$R$11:$R$13,SCHEDD!$B$11:$B$13,LEFT(D13,FIND(".",D13)-1),SCHEDD!$C$11:$C$13,MID(D13,FIND(".",D13)+1,FIND(".",D13,FIND(".",D13))-1))</f>
        <v>0</v>
      </c>
      <c r="F13" s="217">
        <f>SUMIFS(SCHEDD!$AA$11:$AA$13,SCHEDD!$U$11:$U$13,"&gt;"&amp;datepy,SCHEDD!$B$11:$B$13,LEFT(D13,FIND(".",D13)-1),SCHEDD!$C$11:$C$13,MID(D13,FIND(".",D13)+1,FIND(".",D13,FIND(".",D13))-1))+SUMIFS(SCHEDD!$S$11:$S$13,SCHEDD!$B$11:$B$13,LEFT(D13,FIND(".",D13)-1),SCHEDD!$C$11:$C$13,MID(D13,FIND(".",D13)+1,FIND(".",D13,FIND(".",D13))-1))</f>
        <v>0</v>
      </c>
      <c r="H13" t="s">
        <v>191</v>
      </c>
      <c r="I13" s="143">
        <f>SUMIFS('Bank Transactions'!$F:$F,'Bank Transactions'!$C:$C,H13,'Bank Transactions'!A:A,"&gt;"&amp;datepy)</f>
        <v>0</v>
      </c>
      <c r="K13" s="184" t="s">
        <v>126</v>
      </c>
      <c r="L13" s="154"/>
      <c r="M13" s="207"/>
      <c r="N13" s="154">
        <v>0</v>
      </c>
      <c r="O13" s="154">
        <v>0</v>
      </c>
      <c r="P13" s="154">
        <v>0</v>
      </c>
    </row>
    <row r="14" spans="1:16" x14ac:dyDescent="0.2">
      <c r="A14" t="str">
        <f t="shared" si="0"/>
        <v>CS Unaffl:BTI</v>
      </c>
      <c r="B14" s="216"/>
      <c r="C14" s="221">
        <v>1033</v>
      </c>
      <c r="D14" s="222" t="s">
        <v>65</v>
      </c>
      <c r="E14" s="217">
        <f>SUMIFS(SCHEDD!$G$11:$G$13,SCHEDD!$M$11:$M$13,"&gt;"&amp;datepy,SCHEDD!$B$11:$B$13,LEFT(D14,FIND(".",D14)-1),SCHEDD!$C$11:$C$13,MID(D14,FIND(".",D14)+1,FIND(".",D14,FIND(".",D14))-1))+SUMIFS(SCHEDD!$R$11:$R$13,SCHEDD!$B$11:$B$13,LEFT(D14,FIND(".",D14)-1),SCHEDD!$C$11:$C$13,MID(D14,FIND(".",D14)+1,FIND(".",D14,FIND(".",D14))-1))</f>
        <v>0</v>
      </c>
      <c r="F14" s="217">
        <f>SUMIFS(SCHEDD!$AA$11:$AA$13,SCHEDD!$U$11:$U$13,"&gt;"&amp;datepy,SCHEDD!$B$11:$B$13,LEFT(D14,FIND(".",D14)-1),SCHEDD!$C$11:$C$13,MID(D14,FIND(".",D14)+1,FIND(".",D14,FIND(".",D14))-1))+SUMIFS(SCHEDD!$S$11:$S$13,SCHEDD!$B$11:$B$13,LEFT(D14,FIND(".",D14)-1),SCHEDD!$C$11:$C$13,MID(D14,FIND(".",D14)+1,FIND(".",D14,FIND(".",D14))-1))</f>
        <v>0</v>
      </c>
      <c r="H14" t="s">
        <v>167</v>
      </c>
      <c r="I14" s="143">
        <f>SUMIFS('Bank Transactions'!$F:$F,'Bank Transactions'!$C:$C,H14,'Bank Transactions'!A:A,"&gt;"&amp;datepy)</f>
        <v>0</v>
      </c>
      <c r="K14" s="185" t="s">
        <v>126</v>
      </c>
      <c r="L14" s="154"/>
      <c r="M14" s="207"/>
      <c r="N14" s="154">
        <v>0</v>
      </c>
      <c r="O14" s="154">
        <v>0</v>
      </c>
      <c r="P14" s="154">
        <v>0</v>
      </c>
    </row>
    <row r="15" spans="1:16" x14ac:dyDescent="0.2">
      <c r="A15" t="str">
        <f t="shared" si="0"/>
        <v>PS:Industrial &amp; Misc</v>
      </c>
      <c r="B15" s="216"/>
      <c r="C15" s="221">
        <v>1024</v>
      </c>
      <c r="D15" s="222" t="s">
        <v>66</v>
      </c>
      <c r="E15" s="217">
        <f>SUMIFS(SCHEDD!$G$11:$G$13,SCHEDD!$M$11:$M$13,"&gt;"&amp;datepy,SCHEDD!$B$11:$B$13,LEFT(D15,FIND(".",D15)-1),SCHEDD!$C$11:$C$13,MID(D15,FIND(".",D15)+1,FIND(".",D15,FIND(".",D15))-1))+SUMIFS(SCHEDD!$R$11:$R$13,SCHEDD!$B$11:$B$13,LEFT(D15,FIND(".",D15)-1),SCHEDD!$C$11:$C$13,MID(D15,FIND(".",D15)+1,FIND(".",D15,FIND(".",D15))-1))</f>
        <v>0</v>
      </c>
      <c r="F15" s="217">
        <f>SUMIFS(SCHEDD!$AA$11:$AA$13,SCHEDD!$U$11:$U$13,"&gt;"&amp;datepy,SCHEDD!$B$11:$B$13,LEFT(D15,FIND(".",D15)-1),SCHEDD!$C$11:$C$13,MID(D15,FIND(".",D15)+1,FIND(".",D15,FIND(".",D15))-1))+SUMIFS(SCHEDD!$S$11:$S$13,SCHEDD!$B$11:$B$13,LEFT(D15,FIND(".",D15)-1),SCHEDD!$C$11:$C$13,MID(D15,FIND(".",D15)+1,FIND(".",D15,FIND(".",D15))-1))</f>
        <v>0</v>
      </c>
      <c r="H15" t="s">
        <v>166</v>
      </c>
      <c r="I15" s="143">
        <f>SUMIFS('Bank Transactions'!$F:$F,'Bank Transactions'!$C:$C,H15,'Bank Transactions'!A:A,"&gt;"&amp;datepy)</f>
        <v>0</v>
      </c>
      <c r="K15" s="183" t="s">
        <v>84</v>
      </c>
      <c r="L15" s="154">
        <v>0</v>
      </c>
      <c r="M15" s="207">
        <v>0</v>
      </c>
      <c r="N15" s="154">
        <v>0</v>
      </c>
      <c r="O15" s="154">
        <v>0</v>
      </c>
      <c r="P15" s="154">
        <v>0</v>
      </c>
    </row>
    <row r="16" spans="1:16" x14ac:dyDescent="0.2">
      <c r="A16" t="str">
        <f t="shared" si="0"/>
        <v>UST Bills</v>
      </c>
      <c r="B16" s="216"/>
      <c r="C16" s="221">
        <v>1123</v>
      </c>
      <c r="D16" s="222" t="s">
        <v>67</v>
      </c>
      <c r="E16" s="217">
        <f>SUMIFS(SCHEDD!$G$11:$G$13,SCHEDD!$M$11:$M$13,"&gt;"&amp;datepy,SCHEDD!$B$11:$B$13,LEFT(D16,FIND(".",D16)-1),SCHEDD!$C$11:$C$13,MID(D16,FIND(".",D16)+1,FIND(".",D16,FIND(".",D16))-1))+SUMIFS(SCHEDD!$R$11:$R$13,SCHEDD!$B$11:$B$13,LEFT(D16,FIND(".",D16)-1),SCHEDD!$C$11:$C$13,MID(D16,FIND(".",D16)+1,FIND(".",D16,FIND(".",D16))-1))</f>
        <v>0</v>
      </c>
      <c r="F16" s="217">
        <f>SUMIFS(SCHEDD!$AA$11:$AA$13,SCHEDD!$U$11:$U$13,"&gt;"&amp;datepy,SCHEDD!$B$11:$B$13,LEFT(D16,FIND(".",D16)-1),SCHEDD!$C$11:$C$13,MID(D16,FIND(".",D16)+1,FIND(".",D16,FIND(".",D16))-1))+SUMIFS(SCHEDD!$S$11:$S$13,SCHEDD!$B$11:$B$13,LEFT(D16,FIND(".",D16)-1),SCHEDD!$C$11:$C$13,MID(D16,FIND(".",D16)+1,FIND(".",D16,FIND(".",D16))-1))</f>
        <v>0</v>
      </c>
      <c r="H16" t="s">
        <v>168</v>
      </c>
      <c r="I16" s="143">
        <f>SUMIFS('Bank Transactions'!$F:$F,'Bank Transactions'!$C:$C,H16,'Bank Transactions'!A:A,"&gt;"&amp;datepy)</f>
        <v>0</v>
      </c>
    </row>
    <row r="17" spans="1:10" x14ac:dyDescent="0.2">
      <c r="A17" t="str">
        <f t="shared" si="0"/>
        <v>Commerical Paper</v>
      </c>
      <c r="B17" s="216"/>
      <c r="C17" s="221">
        <v>1122</v>
      </c>
      <c r="D17" s="222" t="s">
        <v>86</v>
      </c>
      <c r="E17" s="217">
        <f>SUMIFS(SCHEDD!$G$11:$G$13,SCHEDD!$M$11:$M$13,"&gt;"&amp;datepy,SCHEDD!$B$11:$B$13,LEFT(D17,FIND(".",D17)-1),SCHEDD!$C$11:$C$13,MID(D17,FIND(".",D17)+1,FIND(".",D17,FIND(".",D17))-1))+SUMIFS(SCHEDD!$R$11:$R$13,SCHEDD!$B$11:$B$13,LEFT(D17,FIND(".",D17)-1),SCHEDD!$C$11:$C$13,MID(D17,FIND(".",D17)+1,FIND(".",D17,FIND(".",D17))-1))</f>
        <v>0</v>
      </c>
      <c r="F17" s="217">
        <f>SUMIFS(SCHEDD!$AA$11:$AA$13,SCHEDD!$U$11:$U$13,"&gt;"&amp;datepy,SCHEDD!$B$11:$B$13,LEFT(D17,FIND(".",D17)-1),SCHEDD!$C$11:$C$13,MID(D17,FIND(".",D17)+1,FIND(".",D17,FIND(".",D17))-1))+SUMIFS(SCHEDD!$S$11:$S$13,SCHEDD!$B$11:$B$13,LEFT(D17,FIND(".",D17)-1),SCHEDD!$C$11:$C$13,MID(D17,FIND(".",D17)+1,FIND(".",D17,FIND(".",D17))-1))</f>
        <v>0</v>
      </c>
      <c r="H17" t="s">
        <v>143</v>
      </c>
      <c r="I17" s="143">
        <f>SUMIFS('Bank Transactions'!$F:$F,'Bank Transactions'!$C:$C,H17,'Bank Transactions'!A:A,"&gt;"&amp;datepy)</f>
        <v>0</v>
      </c>
    </row>
    <row r="18" spans="1:10" x14ac:dyDescent="0.2">
      <c r="A18" t="str">
        <f t="shared" si="0"/>
        <v>Commerical Paper</v>
      </c>
      <c r="B18" s="216"/>
      <c r="C18" s="221">
        <v>1122</v>
      </c>
      <c r="D18" s="222" t="s">
        <v>87</v>
      </c>
      <c r="E18" s="217">
        <f>SUMIFS(SCHEDD!$G$11:$G$13,SCHEDD!$M$11:$M$13,"&gt;"&amp;datepy,SCHEDD!$B$11:$B$13,LEFT(D18,FIND(".",D18)-1),SCHEDD!$C$11:$C$13,MID(D18,FIND(".",D18)+1,FIND(".",D18,FIND(".",D18))-1))+SUMIFS(SCHEDD!$R$11:$R$13,SCHEDD!$B$11:$B$13,LEFT(D18,FIND(".",D18)-1),SCHEDD!$C$11:$C$13,MID(D18,FIND(".",D18)+1,FIND(".",D18,FIND(".",D18))-1))</f>
        <v>0</v>
      </c>
      <c r="F18" s="217">
        <f>SUMIFS(SCHEDD!$AA$11:$AA$13,SCHEDD!$U$11:$U$13,"&gt;"&amp;datepy,SCHEDD!$B$11:$B$13,LEFT(D18,FIND(".",D18)-1),SCHEDD!$C$11:$C$13,MID(D18,FIND(".",D18)+1,FIND(".",D18,FIND(".",D18))-1))+SUMIFS(SCHEDD!$S$11:$S$13,SCHEDD!$B$11:$B$13,LEFT(D18,FIND(".",D18)-1),SCHEDD!$C$11:$C$13,MID(D18,FIND(".",D18)+1,FIND(".",D18,FIND(".",D18))-1))</f>
        <v>0</v>
      </c>
      <c r="H18" t="s">
        <v>223</v>
      </c>
      <c r="I18" s="143">
        <f>SUMIFS('Bank Transactions'!$F:$F,'Bank Transactions'!$C:$C,H18,'Bank Transactions'!A:A,"&gt;"&amp;datepy)</f>
        <v>0</v>
      </c>
    </row>
    <row r="19" spans="1:10" x14ac:dyDescent="0.2">
      <c r="A19" t="str">
        <f t="shared" si="0"/>
        <v>Commerical Paper</v>
      </c>
      <c r="B19" s="216"/>
      <c r="C19" s="221">
        <v>1122</v>
      </c>
      <c r="D19" s="222" t="s">
        <v>88</v>
      </c>
      <c r="E19" s="217">
        <f>SUMIFS(SCHEDD!$G$11:$G$13,SCHEDD!$M$11:$M$13,"&gt;"&amp;datepy,SCHEDD!$B$11:$B$13,LEFT(D19,FIND(".",D19)-1),SCHEDD!$C$11:$C$13,MID(D19,FIND(".",D19)+1,FIND(".",D19,FIND(".",D19))-1))+SUMIFS(SCHEDD!$R$11:$R$13,SCHEDD!$B$11:$B$13,LEFT(D19,FIND(".",D19)-1),SCHEDD!$C$11:$C$13,MID(D19,FIND(".",D19)+1,FIND(".",D19,FIND(".",D19))-1))</f>
        <v>0</v>
      </c>
      <c r="F19" s="217">
        <f>SUMIFS(SCHEDD!$AA$11:$AA$13,SCHEDD!$U$11:$U$13,"&gt;"&amp;datepy,SCHEDD!$B$11:$B$13,LEFT(D19,FIND(".",D19)-1),SCHEDD!$C$11:$C$13,MID(D19,FIND(".",D19)+1,FIND(".",D19,FIND(".",D19))-1))+SUMIFS(SCHEDD!$S$11:$S$13,SCHEDD!$B$11:$B$13,LEFT(D19,FIND(".",D19)-1),SCHEDD!$C$11:$C$13,MID(D19,FIND(".",D19)+1,FIND(".",D19,FIND(".",D19))-1))</f>
        <v>0</v>
      </c>
      <c r="H19" t="s">
        <v>182</v>
      </c>
      <c r="I19" s="143">
        <f>I8-I9+I10+I11+I14+I15+I17-I13+I18</f>
        <v>0</v>
      </c>
    </row>
    <row r="20" spans="1:10" x14ac:dyDescent="0.2">
      <c r="A20" t="str">
        <f t="shared" si="0"/>
        <v>Commerical Paper</v>
      </c>
      <c r="B20" s="216"/>
      <c r="C20" s="221">
        <v>1122</v>
      </c>
      <c r="D20" s="222" t="s">
        <v>89</v>
      </c>
      <c r="E20" s="217">
        <f>SUMIFS(SCHEDD!$G$11:$G$13,SCHEDD!$M$11:$M$13,"&gt;"&amp;datepy,SCHEDD!$B$11:$B$13,LEFT(D20,FIND(".",D20)-1),SCHEDD!$C$11:$C$13,MID(D20,FIND(".",D20)+1,FIND(".",D20,FIND(".",D20))-1))+SUMIFS(SCHEDD!$R$11:$R$13,SCHEDD!$B$11:$B$13,LEFT(D20,FIND(".",D20)-1),SCHEDD!$C$11:$C$13,MID(D20,FIND(".",D20)+1,FIND(".",D20,FIND(".",D20))-1))</f>
        <v>0</v>
      </c>
      <c r="F20" s="217">
        <f>SUMIFS(SCHEDD!$AA$11:$AA$13,SCHEDD!$U$11:$U$13,"&gt;"&amp;datepy,SCHEDD!$B$11:$B$13,LEFT(D20,FIND(".",D20)-1),SCHEDD!$C$11:$C$13,MID(D20,FIND(".",D20)+1,FIND(".",D20,FIND(".",D20))-1))+SUMIFS(SCHEDD!$S$11:$S$13,SCHEDD!$B$11:$B$13,LEFT(D20,FIND(".",D20)-1),SCHEDD!$C$11:$C$13,MID(D20,FIND(".",D20)+1,FIND(".",D20,FIND(".",D20))-1))</f>
        <v>0</v>
      </c>
      <c r="J20" s="242"/>
    </row>
    <row r="21" spans="1:10" x14ac:dyDescent="0.2">
      <c r="A21" t="str">
        <f t="shared" si="0"/>
        <v>Certificates of Deposit</v>
      </c>
      <c r="B21" s="216"/>
      <c r="C21" s="221">
        <v>1114</v>
      </c>
      <c r="D21" s="222" t="s">
        <v>90</v>
      </c>
      <c r="E21" s="217">
        <f>SUMIFS(SCHEDD!$G$11:$G$13,SCHEDD!$M$11:$M$13,"&gt;"&amp;datepy,SCHEDD!$B$11:$B$13,LEFT(D21,FIND(".",D21)-1),SCHEDD!$C$11:$C$13,MID(D21,FIND(".",D21)+1,FIND(".",D21,FIND(".",D21))-1))+SUMIFS(SCHEDD!$R$11:$R$13,SCHEDD!$B$11:$B$13,LEFT(D21,FIND(".",D21)-1),SCHEDD!$C$11:$C$13,MID(D21,FIND(".",D21)+1,FIND(".",D21,FIND(".",D21))-1))</f>
        <v>0</v>
      </c>
      <c r="F21" s="217">
        <f>SUMIFS(SCHEDD!$AA$11:$AA$13,SCHEDD!$U$11:$U$13,"&gt;"&amp;datepy,SCHEDD!$B$11:$B$13,LEFT(D21,FIND(".",D21)-1),SCHEDD!$C$11:$C$13,MID(D21,FIND(".",D21)+1,FIND(".",D21,FIND(".",D21))-1))+SUMIFS(SCHEDD!$S$11:$S$13,SCHEDD!$B$11:$B$13,LEFT(D21,FIND(".",D21)-1),SCHEDD!$C$11:$C$13,MID(D21,FIND(".",D21)+1,FIND(".",D21,FIND(".",D21))-1))</f>
        <v>0</v>
      </c>
      <c r="H21" s="232" t="s">
        <v>215</v>
      </c>
      <c r="I21" s="234">
        <v>0</v>
      </c>
    </row>
    <row r="22" spans="1:10" x14ac:dyDescent="0.2">
      <c r="A22" t="str">
        <f t="shared" si="0"/>
        <v>Write-In-other invested asset</v>
      </c>
      <c r="B22" s="216"/>
      <c r="C22" s="221" t="s">
        <v>3040</v>
      </c>
      <c r="D22" s="222" t="s">
        <v>3039</v>
      </c>
      <c r="E22" s="217">
        <f>SUMIFS(SCHEDD!$G$11:$G$13,SCHEDD!$M$11:$M$13,"&gt;"&amp;datepy,SCHEDD!$B$11:$B$13,LEFT(D22,FIND(".",D22)-1),SCHEDD!$C$11:$C$13,MID(D22,FIND(".",D22)+1,FIND(".",D22,FIND(".",D22))-1))+SUMIFS(SCHEDD!$R$11:$R$13,SCHEDD!$B$11:$B$13,LEFT(D22,FIND(".",D22)-1),SCHEDD!$C$11:$C$13,MID(D22,FIND(".",D22)+1,FIND(".",D22,FIND(".",D22))-1))</f>
        <v>0</v>
      </c>
      <c r="F22" s="217">
        <f>SUMIFS(SCHEDD!$AA$11:$AA$13,SCHEDD!$U$11:$U$13,"&gt;"&amp;datepy,SCHEDD!$B$11:$B$13,LEFT(D22,FIND(".",D22)-1),SCHEDD!$C$11:$C$13,MID(D22,FIND(".",D22)+1,FIND(".",D22,FIND(".",D22))-1))+SUMIFS(SCHEDD!$S$11:$S$13,SCHEDD!$B$11:$B$13,LEFT(D22,FIND(".",D22)-1),SCHEDD!$C$11:$C$13,MID(D22,FIND(".",D22)+1,FIND(".",D22,FIND(".",D22))-1))</f>
        <v>0</v>
      </c>
      <c r="H22" s="232" t="s">
        <v>216</v>
      </c>
      <c r="I22" s="233">
        <f>MMEnd-I21</f>
        <v>0</v>
      </c>
    </row>
    <row r="23" spans="1:10" x14ac:dyDescent="0.2">
      <c r="A23" t="str">
        <f t="shared" si="0"/>
        <v>Money Market</v>
      </c>
      <c r="B23" s="216"/>
      <c r="C23" s="221">
        <v>1121</v>
      </c>
      <c r="D23" s="222" t="s">
        <v>91</v>
      </c>
      <c r="E23" s="217">
        <f>MAX(0,SUM(F8:F22,F24:F215)-SUM(E8:E22,E24:E215))</f>
        <v>0</v>
      </c>
      <c r="F23" s="217">
        <f>MAX(0,-(SUM(F8:F22,F24:F215)-SUM(E8:E22,E24:E215)))</f>
        <v>0</v>
      </c>
    </row>
    <row r="24" spans="1:10" x14ac:dyDescent="0.2">
      <c r="A24" t="str">
        <f t="shared" si="0"/>
        <v/>
      </c>
      <c r="B24" s="224" t="s">
        <v>198</v>
      </c>
      <c r="C24" s="218" t="s">
        <v>178</v>
      </c>
      <c r="D24" s="227"/>
      <c r="E24" s="220">
        <f>MAX(0,-SUMIFS('Bank Transactions'!$F:$F,'Bank Transactions'!$I:$I,Summary!C24,'Bank Transactions'!A:A,"&gt;"&amp;datepy))</f>
        <v>0</v>
      </c>
      <c r="F24" s="220">
        <f>MAX(0,SUMIFS('Bank Transactions'!$F:$F,'Bank Transactions'!$I:$I,Summary!C24,'Bank Transactions'!A:A,"&gt;"&amp;datepy))</f>
        <v>0</v>
      </c>
      <c r="I24" s="245" t="str">
        <f>IF(ABS(I8+E23-F23-I21)&lt;0.01,"","ERROR Check account numbers")</f>
        <v/>
      </c>
    </row>
    <row r="25" spans="1:10" x14ac:dyDescent="0.2">
      <c r="A25" t="str">
        <f t="shared" si="0"/>
        <v>Cash Dividends</v>
      </c>
      <c r="B25" s="224"/>
      <c r="C25" s="218" t="s">
        <v>175</v>
      </c>
      <c r="D25" s="219" t="s">
        <v>131</v>
      </c>
      <c r="E25" s="220">
        <f>MAX(0,-SUMIFS('Bank Transactions'!$F:$F,'Bank Transactions'!$I:$I,Summary!C25,'Bank Transactions'!A:A,"&gt;"&amp;datepy))</f>
        <v>0</v>
      </c>
      <c r="F25" s="220">
        <f>MAX(0,SUMIFS('Bank Transactions'!$F:$F,'Bank Transactions'!$I:$I,Summary!C25,'Bank Transactions'!A:A,"&gt;"&amp;datepy))</f>
        <v>0</v>
      </c>
      <c r="I25" s="245" t="str">
        <f>IF(ABS(I8+E23-F23-I21)&lt;0.01,"",(I8+E23-F23-I21))</f>
        <v/>
      </c>
    </row>
    <row r="26" spans="1:10" x14ac:dyDescent="0.2">
      <c r="A26" t="str">
        <f t="shared" si="0"/>
        <v>Int On Govt Bonds</v>
      </c>
      <c r="B26" s="216" t="s">
        <v>141</v>
      </c>
      <c r="C26" s="221">
        <v>8011</v>
      </c>
      <c r="D26" s="222"/>
      <c r="E26" s="217"/>
      <c r="F26" s="217">
        <f>SUMIFS('Bank Transactions'!F:F,'Bank Transactions'!C:C,Summary!$B$26,'Bank Transactions'!I:I,Summary!C8,'Bank Transactions'!A:A,"&gt;"&amp;datepy)+SUMIFS('Bank Transactions'!F:F,'Bank Transactions'!C:C,Summary!$B$27,'Bank Transactions'!I:I,Summary!C8,'Bank Transactions'!A:A,"&gt;"&amp;datepy)</f>
        <v>0</v>
      </c>
      <c r="I26" s="233"/>
    </row>
    <row r="27" spans="1:10" x14ac:dyDescent="0.2">
      <c r="A27" t="str">
        <f t="shared" si="0"/>
        <v>Int On Tax Exempt Bonds</v>
      </c>
      <c r="B27" s="216" t="s">
        <v>166</v>
      </c>
      <c r="C27" s="221">
        <v>8013</v>
      </c>
      <c r="D27" s="222"/>
      <c r="E27" s="217"/>
      <c r="F27" s="217">
        <f>SUMIFS('Bank Transactions'!F:F,'Bank Transactions'!C:C,Summary!$B$26,'Bank Transactions'!I:I,Summary!C9,'Bank Transactions'!A:A,"&gt;"&amp;datepy)+SUMIFS('Bank Transactions'!F:F,'Bank Transactions'!C:C,Summary!$B$27,'Bank Transactions'!I:I,Summary!C9,'Bank Transactions'!A:A,"&gt;"&amp;datepy)</f>
        <v>0</v>
      </c>
    </row>
    <row r="28" spans="1:10" x14ac:dyDescent="0.2">
      <c r="A28" t="str">
        <f t="shared" si="0"/>
        <v>Int on Special Revenue Bonds</v>
      </c>
      <c r="B28" s="216"/>
      <c r="C28" s="221">
        <v>8014</v>
      </c>
      <c r="D28" s="222"/>
      <c r="E28" s="217"/>
      <c r="F28" s="217">
        <f>SUMIFS('Bank Transactions'!F:F,'Bank Transactions'!C:C,Summary!$B$26,'Bank Transactions'!I:I,Summary!C11,'Bank Transactions'!A:A,"&gt;"&amp;datepy)+SUMIFS('Bank Transactions'!F:F,'Bank Transactions'!C:C,Summary!$B$27,'Bank Transactions'!I:I,Summary!C11,'Bank Transactions'!A:A,"&gt;"&amp;datepy)</f>
        <v>0</v>
      </c>
    </row>
    <row r="29" spans="1:10" x14ac:dyDescent="0.2">
      <c r="A29" t="str">
        <f t="shared" si="0"/>
        <v>Int on Corporate Bonds</v>
      </c>
      <c r="B29" s="216"/>
      <c r="C29" s="221">
        <v>8017</v>
      </c>
      <c r="D29" s="222"/>
      <c r="E29" s="217"/>
      <c r="F29" s="217">
        <f>SUMIFS('Bank Transactions'!F:F,'Bank Transactions'!C:C,Summary!$B$26,'Bank Transactions'!I:I,Summary!C12,'Bank Transactions'!A:A,"&gt;"&amp;datepy)+SUMIFS('Bank Transactions'!F:F,'Bank Transactions'!C:C,Summary!$B$27,'Bank Transactions'!I:I,Summary!C12,'Bank Transactions'!A:A,"&gt;"&amp;datepy)</f>
        <v>0</v>
      </c>
    </row>
    <row r="30" spans="1:10" x14ac:dyDescent="0.2">
      <c r="A30" t="str">
        <f t="shared" si="0"/>
        <v>Divds on CS Unaffl:Ind &amp; Misc</v>
      </c>
      <c r="B30" s="216"/>
      <c r="C30" s="221">
        <v>8034</v>
      </c>
      <c r="D30" s="222"/>
      <c r="E30" s="217"/>
      <c r="F30" s="217">
        <f>SUMIFS('Bank Transactions'!F:F,'Bank Transactions'!C:C,Summary!$B$26,'Bank Transactions'!I:I,Summary!C13,'Bank Transactions'!A:A,"&gt;"&amp;datepy)+SUMIFS('Bank Transactions'!F:F,'Bank Transactions'!C:C,Summary!$B$27,'Bank Transactions'!I:I,Summary!C13,'Bank Transactions'!A:A,"&gt;"&amp;datepy)</f>
        <v>0</v>
      </c>
    </row>
    <row r="31" spans="1:10" x14ac:dyDescent="0.2">
      <c r="A31" t="str">
        <f t="shared" si="0"/>
        <v>Divds on CS Unaffl:BTI</v>
      </c>
      <c r="B31" s="216"/>
      <c r="C31" s="221">
        <v>8033</v>
      </c>
      <c r="D31" s="222"/>
      <c r="E31" s="217"/>
      <c r="F31" s="217">
        <f>SUMIFS('Bank Transactions'!F:F,'Bank Transactions'!C:C,Summary!$B$26,'Bank Transactions'!I:I,Summary!C14,'Bank Transactions'!A:A,"&gt;"&amp;datepy)+SUMIFS('Bank Transactions'!F:F,'Bank Transactions'!C:C,Summary!$B$27,'Bank Transactions'!I:I,Summary!C14,'Bank Transactions'!A:A,"&gt;"&amp;datepy)</f>
        <v>0</v>
      </c>
    </row>
    <row r="32" spans="1:10" x14ac:dyDescent="0.2">
      <c r="A32" t="str">
        <f t="shared" si="0"/>
        <v>Divds on PS:Ind &amp; Misc</v>
      </c>
      <c r="B32" s="216"/>
      <c r="C32" s="221">
        <v>8024</v>
      </c>
      <c r="D32" s="222"/>
      <c r="E32" s="217"/>
      <c r="F32" s="217">
        <f>SUMIFS('Bank Transactions'!F:F,'Bank Transactions'!C:C,Summary!$B$26,'Bank Transactions'!I:I,Summary!C15,'Bank Transactions'!A:A,"&gt;"&amp;datepy)+SUMIFS('Bank Transactions'!F:F,'Bank Transactions'!C:C,Summary!$B$27,'Bank Transactions'!I:I,Summary!C15,'Bank Transactions'!A:A,"&gt;"&amp;datepy)</f>
        <v>0</v>
      </c>
    </row>
    <row r="33" spans="1:6" x14ac:dyDescent="0.2">
      <c r="A33" t="str">
        <f t="shared" si="0"/>
        <v>Int On UST Bills</v>
      </c>
      <c r="B33" s="216"/>
      <c r="C33" s="221">
        <v>8123</v>
      </c>
      <c r="D33" s="222"/>
      <c r="E33" s="217"/>
      <c r="F33" s="217">
        <f>SUMIFS('Bank Transactions'!F:F,'Bank Transactions'!C:C,Summary!$B$26,'Bank Transactions'!I:I,Summary!C16,'Bank Transactions'!A:A,"&gt;"&amp;datepy)+SUMIFS('Bank Transactions'!F:F,'Bank Transactions'!C:C,Summary!$B$27,'Bank Transactions'!I:I,Summary!C16,'Bank Transactions'!A:A,"&gt;"&amp;datepy)</f>
        <v>0</v>
      </c>
    </row>
    <row r="34" spans="1:6" x14ac:dyDescent="0.2">
      <c r="A34" t="str">
        <f t="shared" si="0"/>
        <v>Int on Commerical Paper</v>
      </c>
      <c r="B34" s="216"/>
      <c r="C34" s="221">
        <v>8122</v>
      </c>
      <c r="D34" s="222"/>
      <c r="E34" s="217"/>
      <c r="F34" s="217">
        <f>SUMIFS('Bank Transactions'!F:F,'Bank Transactions'!C:C,Summary!$B$26,'Bank Transactions'!I:I,Summary!C20,'Bank Transactions'!A:A,"&gt;"&amp;datepy)+SUMIFS('Bank Transactions'!F:F,'Bank Transactions'!C:C,Summary!$B$27,'Bank Transactions'!I:I,Summary!C20,'Bank Transactions'!A:A,"&gt;"&amp;datepy)</f>
        <v>0</v>
      </c>
    </row>
    <row r="35" spans="1:6" x14ac:dyDescent="0.2">
      <c r="A35" t="str">
        <f t="shared" si="0"/>
        <v>Int On Cash &amp; CD's</v>
      </c>
      <c r="B35" s="216"/>
      <c r="C35" s="221">
        <v>8114</v>
      </c>
      <c r="D35" s="222"/>
      <c r="E35" s="217"/>
      <c r="F35" s="217">
        <f>SUMIFS('Bank Transactions'!F:F,'Bank Transactions'!C:C,Summary!$B$26,'Bank Transactions'!I:I,Summary!C21,'Bank Transactions'!A:A,"&gt;"&amp;datepy)+SUMIFS('Bank Transactions'!F:F,'Bank Transactions'!C:C,Summary!$B$27,'Bank Transactions'!I:I,Summary!C21,'Bank Transactions'!A:A,"&gt;"&amp;datepy)</f>
        <v>0</v>
      </c>
    </row>
    <row r="36" spans="1:6" x14ac:dyDescent="0.2">
      <c r="A36" t="str">
        <f t="shared" ref="A36" si="1">IF(ISERROR(VLOOKUP("act"&amp;LEFT(C36,4)&amp;".000",AccountDiscription,2,0)),"",VLOOKUP("act"&amp;LEFT(C36,4)&amp;".000",AccountDiscription,2,0))</f>
        <v/>
      </c>
      <c r="B36" s="216"/>
      <c r="C36" s="221" t="s">
        <v>3041</v>
      </c>
      <c r="D36" s="222"/>
      <c r="E36" s="217"/>
      <c r="F36" s="217">
        <f>SUMIFS('Bank Transactions'!F:F,'Bank Transactions'!C:C,Summary!$B$26,'Bank Transactions'!I:I,Summary!C22,'Bank Transactions'!A:A,"&gt;"&amp;datepy)+SUMIFS('Bank Transactions'!F:F,'Bank Transactions'!C:C,Summary!$B$27,'Bank Transactions'!I:I,Summary!C22,'Bank Transactions'!A:A,"&gt;"&amp;datepy)</f>
        <v>0</v>
      </c>
    </row>
    <row r="37" spans="1:6" x14ac:dyDescent="0.2">
      <c r="A37" t="str">
        <f t="shared" si="0"/>
        <v>Int On Money Markets</v>
      </c>
      <c r="B37" s="216"/>
      <c r="C37" s="221">
        <v>8121</v>
      </c>
      <c r="D37" s="222"/>
      <c r="E37" s="217"/>
      <c r="F37" s="217">
        <f>SUMIFS('Bank Transactions'!F:F,'Bank Transactions'!C:C,Summary!$B$26,'Bank Transactions'!I:I,Summary!C23,'Bank Transactions'!A:A,"&gt;"&amp;datepy)+SUMIFS('Bank Transactions'!F:F,'Bank Transactions'!C:C,Summary!$B$27,'Bank Transactions'!I:I,Summary!C23,'Bank Transactions'!A:A,"&gt;"&amp;datepy)</f>
        <v>0</v>
      </c>
    </row>
    <row r="38" spans="1:6" x14ac:dyDescent="0.2">
      <c r="A38" t="str">
        <f t="shared" si="0"/>
        <v>Paid For Accd Int Govt Bonds</v>
      </c>
      <c r="B38" s="224" t="s">
        <v>191</v>
      </c>
      <c r="C38" s="218">
        <v>8220</v>
      </c>
      <c r="D38" s="219"/>
      <c r="E38" s="220">
        <f>SUMIFS('Bank Transactions'!F:F,'Bank Transactions'!C:C,Summary!$B$38,'Bank Transactions'!I:I,Summary!C8,'Bank Transactions'!A:A,"&gt;"&amp;datepy)</f>
        <v>0</v>
      </c>
      <c r="F38" s="220"/>
    </row>
    <row r="39" spans="1:6" x14ac:dyDescent="0.2">
      <c r="A39" t="str">
        <f t="shared" si="0"/>
        <v>Paid For Accd Int TE Bonds</v>
      </c>
      <c r="B39" s="224"/>
      <c r="C39" s="218" t="s">
        <v>3033</v>
      </c>
      <c r="D39" s="219"/>
      <c r="E39" s="220">
        <f>SUMIFS('Bank Transactions'!F:F,'Bank Transactions'!C:C,Summary!$B$38,'Bank Transactions'!I:I,Summary!C9,'Bank Transactions'!A:A,"&gt;"&amp;datepy)</f>
        <v>0</v>
      </c>
      <c r="F39" s="220"/>
    </row>
    <row r="40" spans="1:6" x14ac:dyDescent="0.2">
      <c r="A40" t="str">
        <f t="shared" si="0"/>
        <v>Paid For Accd Int Corp Bonds</v>
      </c>
      <c r="B40" s="224"/>
      <c r="C40" s="218">
        <v>8221</v>
      </c>
      <c r="D40" s="219"/>
      <c r="E40" s="220">
        <f>SUMIFS('Bank Transactions'!F:F,'Bank Transactions'!C:C,Summary!$B$38,'Bank Transactions'!I:I,"10*",'Bank Transactions'!A:A,"&gt;"&amp;datepy)-E38-E39</f>
        <v>0</v>
      </c>
      <c r="F40" s="220"/>
    </row>
    <row r="41" spans="1:6" x14ac:dyDescent="0.2">
      <c r="A41" t="str">
        <f t="shared" si="0"/>
        <v>Paid For Accd Int ST Bonds</v>
      </c>
      <c r="B41" s="224"/>
      <c r="C41" s="218">
        <v>8222</v>
      </c>
      <c r="D41" s="219"/>
      <c r="E41" s="220">
        <f>SUMIFS('Bank Transactions'!F:F,'Bank Transactions'!C:C,Summary!$B$38,'Bank Transactions'!I:I,"11*",'Bank Transactions'!A:A,"&gt;"&amp;datepy)</f>
        <v>0</v>
      </c>
      <c r="F41" s="220"/>
    </row>
    <row r="42" spans="1:6" x14ac:dyDescent="0.2">
      <c r="A42" t="str">
        <f t="shared" si="0"/>
        <v>Paid For Accd Int Pfd Stock</v>
      </c>
      <c r="B42" s="224"/>
      <c r="C42" s="218">
        <v>8223</v>
      </c>
      <c r="D42" s="219"/>
      <c r="E42" s="220">
        <f>SUMIFS('Bank Transactions'!F:F,'Bank Transactions'!C:C,Summary!$B$38,'Bank Transactions'!I:I,C15,'Bank Transactions'!A:A,"&gt;"&amp;datepy)</f>
        <v>0</v>
      </c>
      <c r="F42" s="220"/>
    </row>
    <row r="43" spans="1:6" x14ac:dyDescent="0.2">
      <c r="A43" t="str">
        <f t="shared" ref="A43:A74" si="2">IF(ISERROR(VLOOKUP("act"&amp;LEFT(C43,4)&amp;".000",AccountDiscription,2,0)),"",VLOOKUP("act"&amp;LEFT(C43,4)&amp;".000",AccountDiscription,2,0))</f>
        <v>AD  Govt Bonds</v>
      </c>
      <c r="B43" s="216" t="s">
        <v>197</v>
      </c>
      <c r="C43" s="221" t="s">
        <v>134</v>
      </c>
      <c r="D43" s="222" t="s">
        <v>59</v>
      </c>
      <c r="E43" s="217"/>
      <c r="F43" s="217">
        <f>SUMIFS(SCHEDD!$R$11:$R$13,SCHEDD!$B$11:$B$13,LEFT(D43,FIND(".",D43)-1),SCHEDD!$C$11:$C$13,MID(D43,FIND(".",D43)+1,FIND(".",D43,FIND(".",D43))-1))</f>
        <v>0</v>
      </c>
    </row>
    <row r="44" spans="1:6" x14ac:dyDescent="0.2">
      <c r="A44" t="str">
        <f t="shared" si="2"/>
        <v>AP Govt Bonds</v>
      </c>
      <c r="B44" s="216"/>
      <c r="C44" s="221" t="s">
        <v>135</v>
      </c>
      <c r="D44" s="222" t="s">
        <v>59</v>
      </c>
      <c r="E44" s="217">
        <f>SUMIFS(SCHEDD!$S$11:$S$13,SCHEDD!$B$11:$B$13,LEFT(D44,FIND(".",D44)-1),SCHEDD!$C$11:$C$13,MID(D44,FIND(".",D44)+1,FIND(".",D44,FIND(".",D44))-1))</f>
        <v>0</v>
      </c>
      <c r="F44" s="217"/>
    </row>
    <row r="45" spans="1:6" x14ac:dyDescent="0.2">
      <c r="A45" t="str">
        <f t="shared" si="2"/>
        <v>AD Tax Exempt Bonds-PC Cos</v>
      </c>
      <c r="B45" s="216"/>
      <c r="C45" s="221" t="s">
        <v>224</v>
      </c>
      <c r="D45" s="222" t="s">
        <v>60</v>
      </c>
      <c r="E45" s="217"/>
      <c r="F45" s="217">
        <f>SUMIFS(SCHEDD!$R$11:$R$13,SCHEDD!$B$11:$B$13,LEFT(D45,FIND(".",D45)-1),SCHEDD!$C$11:$C$13,MID(D45,FIND(".",D45)+1,FIND(".",D45,FIND(".",D45))-1))</f>
        <v>0</v>
      </c>
    </row>
    <row r="46" spans="1:6" x14ac:dyDescent="0.2">
      <c r="A46" t="str">
        <f t="shared" si="2"/>
        <v>AP Tax Exempt Bonds-PC Cos</v>
      </c>
      <c r="B46" s="216"/>
      <c r="C46" s="221" t="s">
        <v>225</v>
      </c>
      <c r="D46" s="222" t="s">
        <v>60</v>
      </c>
      <c r="E46" s="217">
        <f>SUMIFS(SCHEDD!$S$11:$S$13,SCHEDD!$B$11:$B$13,LEFT(D46,FIND(".",D46)-1),SCHEDD!$C$11:$C$13,MID(D46,FIND(".",D46)+1,FIND(".",D46,FIND(".",D46))-1))</f>
        <v>0</v>
      </c>
      <c r="F46" s="217"/>
    </row>
    <row r="47" spans="1:6" x14ac:dyDescent="0.2">
      <c r="A47" t="str">
        <f t="shared" si="2"/>
        <v>AD Tax Exempt Bonds-PC Cos</v>
      </c>
      <c r="B47" s="216"/>
      <c r="C47" s="221" t="s">
        <v>224</v>
      </c>
      <c r="D47" s="222" t="s">
        <v>61</v>
      </c>
      <c r="E47" s="217"/>
      <c r="F47" s="217">
        <f>SUMIFS(SCHEDD!$R$11:$R$13,SCHEDD!$B$11:$B$13,LEFT(D47,FIND(".",D47)-1),SCHEDD!$C$11:$C$13,MID(D47,FIND(".",D47)+1,FIND(".",D47,FIND(".",D47))-1))</f>
        <v>0</v>
      </c>
    </row>
    <row r="48" spans="1:6" x14ac:dyDescent="0.2">
      <c r="A48" t="str">
        <f t="shared" si="2"/>
        <v>AP Tax Exempt Bonds-PC Cos</v>
      </c>
      <c r="B48" s="216"/>
      <c r="C48" s="221" t="s">
        <v>225</v>
      </c>
      <c r="D48" s="222" t="s">
        <v>61</v>
      </c>
      <c r="E48" s="217">
        <f>SUMIFS(SCHEDD!$S$11:$S$13,SCHEDD!$B$11:$B$13,LEFT(D48,FIND(".",D48)-1),SCHEDD!$C$11:$C$13,MID(D48,FIND(".",D48)+1,FIND(".",D48,FIND(".",D48))-1))</f>
        <v>0</v>
      </c>
      <c r="F48" s="217"/>
    </row>
    <row r="49" spans="1:6" x14ac:dyDescent="0.2">
      <c r="A49" t="str">
        <f t="shared" si="2"/>
        <v>AD Corp Bonds unaffl</v>
      </c>
      <c r="B49" s="216"/>
      <c r="C49" s="221">
        <v>8201</v>
      </c>
      <c r="D49" s="222" t="s">
        <v>130</v>
      </c>
      <c r="E49" s="217"/>
      <c r="F49" s="217">
        <f>SUMIFS(SCHEDD!$R$11:$R$13,SCHEDD!$B$11:$B$13,D49)-F43-F45-F47</f>
        <v>0</v>
      </c>
    </row>
    <row r="50" spans="1:6" x14ac:dyDescent="0.2">
      <c r="A50" t="str">
        <f t="shared" si="2"/>
        <v>AP Corp Bonds Unaffl</v>
      </c>
      <c r="B50" s="216"/>
      <c r="C50" s="221" t="s">
        <v>136</v>
      </c>
      <c r="D50" s="222" t="s">
        <v>130</v>
      </c>
      <c r="E50" s="217">
        <f>SUMIFS(SCHEDD!$S$11:$S$13,SCHEDD!$B$11:$B$13,D50)-E44-E46-E48</f>
        <v>0</v>
      </c>
      <c r="F50" s="217"/>
    </row>
    <row r="51" spans="1:6" x14ac:dyDescent="0.2">
      <c r="A51" t="str">
        <f t="shared" si="2"/>
        <v>AD Short Term Bonds unaffl</v>
      </c>
      <c r="B51" s="216"/>
      <c r="C51" s="221" t="s">
        <v>226</v>
      </c>
      <c r="D51" s="222" t="s">
        <v>193</v>
      </c>
      <c r="E51" s="217"/>
      <c r="F51" s="217">
        <f>SUMIF(SCHEDD!$B$11:$B$14,Summary!D51,SCHEDD!$R$11:$R$14)</f>
        <v>0</v>
      </c>
    </row>
    <row r="52" spans="1:6" x14ac:dyDescent="0.2">
      <c r="A52" t="str">
        <f t="shared" si="2"/>
        <v>AP Short Term Bonds</v>
      </c>
      <c r="B52" s="216"/>
      <c r="C52" s="221" t="s">
        <v>227</v>
      </c>
      <c r="D52" s="222" t="s">
        <v>193</v>
      </c>
      <c r="E52" s="217">
        <f>SUMIF(SCHEDD!$B$11:$B$14,Summary!D52,SCHEDD!$S$11:$S$14)</f>
        <v>0</v>
      </c>
      <c r="F52" s="217"/>
    </row>
    <row r="53" spans="1:6" x14ac:dyDescent="0.2">
      <c r="A53" t="str">
        <f t="shared" si="2"/>
        <v>Capital Gain US Govt Bonds</v>
      </c>
      <c r="B53" s="224" t="s">
        <v>194</v>
      </c>
      <c r="C53" s="218" t="s">
        <v>195</v>
      </c>
      <c r="D53" s="219" t="s">
        <v>59</v>
      </c>
      <c r="E53" s="220">
        <f>SUMIFS(SCHEDD!$Y$11:$Y$13,SCHEDD!$U$11:$U$13,"&gt;"&amp;datepy,SCHEDD!$B$11:$B$13,LEFT(D8,FIND(".",D8)-1),SCHEDD!$C$11:$C$13,MID(D8,FIND(".",D8)+1,FIND(".",D8,FIND(".",D8))-1))</f>
        <v>0</v>
      </c>
      <c r="F53" s="220">
        <f>SUMIFS(SCHEDD!$X$11:$X$13,SCHEDD!$U$11:$U$13,"&gt;"&amp;datepy,SCHEDD!$B$11:$B$13,LEFT(D8,FIND(".",D8)-1),SCHEDD!$C$11:$C$13,MID(D8,FIND(".",D8)+1,FIND(".",D8,FIND(".",D8))-1))</f>
        <v>0</v>
      </c>
    </row>
    <row r="54" spans="1:6" x14ac:dyDescent="0.2">
      <c r="A54" t="str">
        <f t="shared" si="2"/>
        <v>Capital Gain Other Bonds</v>
      </c>
      <c r="B54" s="224"/>
      <c r="C54" s="218" t="s">
        <v>217</v>
      </c>
      <c r="D54" s="219" t="s">
        <v>130</v>
      </c>
      <c r="E54" s="220">
        <f>SUMIFS(SCHEDD!$Y$11:$Y$13,SCHEDD!$U$11:$U$13,"&gt;"&amp;datepy,SCHEDD!$B$11:$B$13,D54)-E53</f>
        <v>0</v>
      </c>
      <c r="F54" s="220">
        <f>SUMIFS(SCHEDD!$X$11:$X$13,SCHEDD!$U$11:$U$13,"&gt;"&amp;datepy,SCHEDD!$B$11:$B$13,D54)-F53</f>
        <v>0</v>
      </c>
    </row>
    <row r="55" spans="1:6" x14ac:dyDescent="0.2">
      <c r="A55" t="str">
        <f t="shared" si="2"/>
        <v>Capital Gain Pfd Stock Unaffl</v>
      </c>
      <c r="B55" s="224"/>
      <c r="C55" s="218" t="s">
        <v>218</v>
      </c>
      <c r="D55" s="219" t="s">
        <v>66</v>
      </c>
      <c r="E55" s="220">
        <f>SUMIFS(SCHEDD!$Y$11:$Y$13,SCHEDD!$U$11:$U$13,"&gt;"&amp;datepy,SCHEDD!$B$11:$B$13,LEFT(D15,FIND(".",D15)-1),SCHEDD!$C$11:$C$13,MID(D15,FIND(".",D15)+1,FIND(".",D15,FIND(".",D15))-1))</f>
        <v>0</v>
      </c>
      <c r="F55" s="220">
        <f>SUMIFS(SCHEDD!$X$11:$X$13,SCHEDD!$U$11:$U$13,"&gt;"&amp;datepy,SCHEDD!$B$11:$B$13,LEFT(D15,FIND(".",D15)-1),SCHEDD!$C$11:$C$13,MID(D15,FIND(".",D15)+1,FIND(".",D15,FIND(".",D15))-1))</f>
        <v>0</v>
      </c>
    </row>
    <row r="56" spans="1:6" x14ac:dyDescent="0.2">
      <c r="A56" t="str">
        <f t="shared" si="2"/>
        <v>Capital Gain CS Unaffl</v>
      </c>
      <c r="B56" s="224"/>
      <c r="C56" s="218" t="s">
        <v>219</v>
      </c>
      <c r="D56" s="219" t="s">
        <v>192</v>
      </c>
      <c r="E56" s="220">
        <f>SUMIFS(SCHEDD!$Y$11:$Y$13,SCHEDD!$U$11:$U$13,"&gt;"&amp;datepy,SCHEDD!$B$11:$B$13,D56)</f>
        <v>0</v>
      </c>
      <c r="F56" s="220">
        <f>SUMIFS(SCHEDD!$X$11:$X$13,SCHEDD!$U$11:$U$13,"&gt;"&amp;datepy,SCHEDD!$B$11:$B$13,D56)</f>
        <v>0</v>
      </c>
    </row>
    <row r="57" spans="1:6" x14ac:dyDescent="0.2">
      <c r="A57" t="str">
        <f t="shared" si="2"/>
        <v>Capital Gain STI</v>
      </c>
      <c r="B57" s="224"/>
      <c r="C57" s="218" t="s">
        <v>220</v>
      </c>
      <c r="D57" s="219" t="s">
        <v>193</v>
      </c>
      <c r="E57" s="220">
        <f>SUMIFS(SCHEDD!$Y$11:$Y$13,SCHEDD!$U$11:$U$13,"&gt;"&amp;datepy,SCHEDD!$B$11:$B$13,D57)</f>
        <v>0</v>
      </c>
      <c r="F57" s="220">
        <f>SUMIFS(SCHEDD!$X$11:$X$13,SCHEDD!$U$11:$U$13,"&gt;"&amp;datepy,SCHEDD!$B$11:$B$13,D57)</f>
        <v>0</v>
      </c>
    </row>
    <row r="58" spans="1:6" x14ac:dyDescent="0.2">
      <c r="A58" t="str">
        <f t="shared" si="2"/>
        <v>Investment Expense</v>
      </c>
      <c r="B58" s="216" t="s">
        <v>196</v>
      </c>
      <c r="C58" s="221">
        <v>9532</v>
      </c>
      <c r="D58" s="222" t="s">
        <v>131</v>
      </c>
      <c r="E58" s="217">
        <f>MAX(0,-SUMIFS('Bank Transactions'!$F:$F,'Bank Transactions'!$I:$I,Summary!C58,'Bank Transactions'!A:A,"&gt;"&amp;datepy))</f>
        <v>0</v>
      </c>
      <c r="F58" s="217"/>
    </row>
    <row r="59" spans="1:6" x14ac:dyDescent="0.2">
      <c r="A59" t="str">
        <f t="shared" si="2"/>
        <v>Accounting &amp; Actuarial Fees</v>
      </c>
      <c r="B59" s="216"/>
      <c r="C59" s="221" t="s">
        <v>174</v>
      </c>
      <c r="D59" s="222" t="s">
        <v>131</v>
      </c>
      <c r="E59" s="217">
        <f>MAX(0,-SUMIFS('Bank Transactions'!$F:$F,'Bank Transactions'!$I:$I,Summary!C59,'Bank Transactions'!A:A,"&gt;"&amp;datepy))</f>
        <v>0</v>
      </c>
      <c r="F59" s="217"/>
    </row>
    <row r="60" spans="1:6" x14ac:dyDescent="0.2">
      <c r="A60" t="str">
        <f t="shared" si="2"/>
        <v>Federal Taxes Paid</v>
      </c>
      <c r="B60" s="216"/>
      <c r="C60" s="221" t="s">
        <v>176</v>
      </c>
      <c r="D60" s="222" t="s">
        <v>131</v>
      </c>
      <c r="E60" s="217">
        <f>MAX(0,-SUMIFS('Bank Transactions'!$F:$F,'Bank Transactions'!$I:$I,Summary!C60,'Bank Transactions'!A:A,"&gt;"&amp;datepy))</f>
        <v>0</v>
      </c>
      <c r="F60" s="217"/>
    </row>
    <row r="61" spans="1:6" x14ac:dyDescent="0.2">
      <c r="A61" t="str">
        <f t="shared" si="2"/>
        <v>State Taxes Lic &amp; Fees</v>
      </c>
      <c r="B61" s="216"/>
      <c r="C61" s="221" t="s">
        <v>177</v>
      </c>
      <c r="D61" s="222" t="s">
        <v>131</v>
      </c>
      <c r="E61" s="217">
        <f>MAX(0,-SUMIFS('Bank Transactions'!$F:$F,'Bank Transactions'!$I:$I,Summary!C61,'Bank Transactions'!A:A,"&gt;"&amp;datepy))</f>
        <v>0</v>
      </c>
      <c r="F61" s="217"/>
    </row>
    <row r="62" spans="1:6" x14ac:dyDescent="0.2">
      <c r="A62" t="str">
        <f t="shared" si="2"/>
        <v>Due from Other Insurance cos</v>
      </c>
      <c r="B62" s="224" t="s">
        <v>143</v>
      </c>
      <c r="C62" s="238">
        <v>1153</v>
      </c>
      <c r="D62" s="224"/>
      <c r="E62" s="220">
        <f>MAX(0,-SUMIFS('Bank Transactions'!$F:$F,'Bank Transactions'!$I:$I,Summary!C62,'Bank Transactions'!A:A,"&gt;"&amp;datepy))</f>
        <v>0</v>
      </c>
      <c r="F62" s="220">
        <f>MAX(0,SUMIFS('Bank Transactions'!$F:$F,'Bank Transactions'!$I:$I,Summary!C62,'Bank Transactions'!A:A,"&gt;"&amp;datepy))</f>
        <v>0</v>
      </c>
    </row>
    <row r="63" spans="1:6" x14ac:dyDescent="0.2">
      <c r="A63" t="str">
        <f t="shared" si="2"/>
        <v/>
      </c>
      <c r="B63" s="224"/>
      <c r="C63" s="238"/>
      <c r="D63" s="224"/>
      <c r="E63" s="220">
        <f>MAX(0,-SUMIFS('Bank Transactions'!$F:$F,'Bank Transactions'!$I:$I,Summary!C63,'Bank Transactions'!A:A,"&gt;"&amp;datepy))</f>
        <v>0</v>
      </c>
      <c r="F63" s="220">
        <f>MAX(0,SUMIFS('Bank Transactions'!$F:$F,'Bank Transactions'!$I:$I,Summary!C63,'Bank Transactions'!A:A,"&gt;"&amp;datepy))</f>
        <v>0</v>
      </c>
    </row>
    <row r="64" spans="1:6" x14ac:dyDescent="0.2">
      <c r="A64" t="str">
        <f t="shared" si="2"/>
        <v/>
      </c>
      <c r="B64" s="224"/>
      <c r="C64" s="238"/>
      <c r="D64" s="224"/>
      <c r="E64" s="220">
        <f>MAX(0,-SUMIFS('Bank Transactions'!$F:$F,'Bank Transactions'!$I:$I,Summary!C64,'Bank Transactions'!A:A,"&gt;"&amp;datepy))</f>
        <v>0</v>
      </c>
      <c r="F64" s="220">
        <f>MAX(0,SUMIFS('Bank Transactions'!$F:$F,'Bank Transactions'!$I:$I,Summary!C64,'Bank Transactions'!A:A,"&gt;"&amp;datepy))</f>
        <v>0</v>
      </c>
    </row>
    <row r="65" spans="1:6" x14ac:dyDescent="0.2">
      <c r="A65" t="str">
        <f t="shared" si="2"/>
        <v/>
      </c>
      <c r="B65" s="224"/>
      <c r="C65" s="238"/>
      <c r="D65" s="224"/>
      <c r="E65" s="220">
        <f>MAX(0,-SUMIFS('Bank Transactions'!$F:$F,'Bank Transactions'!$I:$I,Summary!C65,'Bank Transactions'!A:A,"&gt;"&amp;datepy))</f>
        <v>0</v>
      </c>
      <c r="F65" s="220">
        <f>MAX(0,SUMIFS('Bank Transactions'!$F:$F,'Bank Transactions'!$I:$I,Summary!C65,'Bank Transactions'!A:A,"&gt;"&amp;datepy))</f>
        <v>0</v>
      </c>
    </row>
    <row r="66" spans="1:6" x14ac:dyDescent="0.2">
      <c r="A66" t="str">
        <f t="shared" si="2"/>
        <v/>
      </c>
      <c r="B66" s="224"/>
      <c r="C66" s="238"/>
      <c r="D66" s="224"/>
      <c r="E66" s="220">
        <f>MAX(0,-SUMIFS('Bank Transactions'!$F:$F,'Bank Transactions'!$I:$I,Summary!C66,'Bank Transactions'!A:A,"&gt;"&amp;datepy))</f>
        <v>0</v>
      </c>
      <c r="F66" s="220">
        <f>MAX(0,SUMIFS('Bank Transactions'!$F:$F,'Bank Transactions'!$I:$I,Summary!C66,'Bank Transactions'!A:A,"&gt;"&amp;datepy))</f>
        <v>0</v>
      </c>
    </row>
    <row r="67" spans="1:6" x14ac:dyDescent="0.2">
      <c r="A67" t="str">
        <f t="shared" si="2"/>
        <v/>
      </c>
      <c r="B67" s="224"/>
      <c r="C67" s="238"/>
      <c r="D67" s="224"/>
      <c r="E67" s="220">
        <f>MAX(0,-SUMIFS('Bank Transactions'!$F:$F,'Bank Transactions'!$I:$I,Summary!C67,'Bank Transactions'!A:A,"&gt;"&amp;datepy))</f>
        <v>0</v>
      </c>
      <c r="F67" s="220">
        <f>MAX(0,SUMIFS('Bank Transactions'!$F:$F,'Bank Transactions'!$I:$I,Summary!C67,'Bank Transactions'!A:A,"&gt;"&amp;datepy))</f>
        <v>0</v>
      </c>
    </row>
    <row r="68" spans="1:6" x14ac:dyDescent="0.2">
      <c r="A68" t="str">
        <f t="shared" si="2"/>
        <v/>
      </c>
      <c r="B68" s="224"/>
      <c r="C68" s="238"/>
      <c r="D68" s="224"/>
      <c r="E68" s="220">
        <f>MAX(0,-SUMIFS('Bank Transactions'!$F:$F,'Bank Transactions'!$I:$I,Summary!C68,'Bank Transactions'!A:A,"&gt;"&amp;datepy))</f>
        <v>0</v>
      </c>
      <c r="F68" s="220">
        <f>MAX(0,SUMIFS('Bank Transactions'!$F:$F,'Bank Transactions'!$I:$I,Summary!C68,'Bank Transactions'!A:A,"&gt;"&amp;datepy))</f>
        <v>0</v>
      </c>
    </row>
    <row r="69" spans="1:6" x14ac:dyDescent="0.2">
      <c r="A69" t="str">
        <f t="shared" si="2"/>
        <v/>
      </c>
      <c r="B69" s="224"/>
      <c r="C69" s="238"/>
      <c r="D69" s="224"/>
      <c r="E69" s="220">
        <f>MAX(0,-SUMIFS('Bank Transactions'!$F:$F,'Bank Transactions'!$I:$I,Summary!C69,'Bank Transactions'!A:A,"&gt;"&amp;datepy))</f>
        <v>0</v>
      </c>
      <c r="F69" s="220">
        <f>MAX(0,SUMIFS('Bank Transactions'!$F:$F,'Bank Transactions'!$I:$I,Summary!C69,'Bank Transactions'!A:A,"&gt;"&amp;datepy))</f>
        <v>0</v>
      </c>
    </row>
    <row r="70" spans="1:6" x14ac:dyDescent="0.2">
      <c r="A70" t="str">
        <f t="shared" si="2"/>
        <v/>
      </c>
      <c r="B70" s="224"/>
      <c r="C70" s="238"/>
      <c r="D70" s="224"/>
      <c r="E70" s="220">
        <f>MAX(0,-SUMIFS('Bank Transactions'!$F:$F,'Bank Transactions'!$I:$I,Summary!C70,'Bank Transactions'!A:A,"&gt;"&amp;datepy))</f>
        <v>0</v>
      </c>
      <c r="F70" s="220">
        <f>MAX(0,SUMIFS('Bank Transactions'!$F:$F,'Bank Transactions'!$I:$I,Summary!C70,'Bank Transactions'!A:A,"&gt;"&amp;datepy))</f>
        <v>0</v>
      </c>
    </row>
    <row r="71" spans="1:6" x14ac:dyDescent="0.2">
      <c r="A71" t="str">
        <f t="shared" si="2"/>
        <v/>
      </c>
      <c r="B71" s="224"/>
      <c r="C71" s="238"/>
      <c r="D71" s="224"/>
      <c r="E71" s="220">
        <f>MAX(0,-SUMIFS('Bank Transactions'!$F:$F,'Bank Transactions'!$I:$I,Summary!C71,'Bank Transactions'!A:A,"&gt;"&amp;datepy))</f>
        <v>0</v>
      </c>
      <c r="F71" s="220">
        <f>MAX(0,SUMIFS('Bank Transactions'!$F:$F,'Bank Transactions'!$I:$I,Summary!C71,'Bank Transactions'!A:A,"&gt;"&amp;datepy))</f>
        <v>0</v>
      </c>
    </row>
    <row r="72" spans="1:6" x14ac:dyDescent="0.2">
      <c r="A72" t="str">
        <f t="shared" si="2"/>
        <v/>
      </c>
      <c r="B72" s="224"/>
      <c r="C72" s="238"/>
      <c r="D72" s="224"/>
      <c r="E72" s="220">
        <f>MAX(0,-SUMIFS('Bank Transactions'!$F:$F,'Bank Transactions'!$I:$I,Summary!C72,'Bank Transactions'!A:A,"&gt;"&amp;datepy))</f>
        <v>0</v>
      </c>
      <c r="F72" s="220">
        <f>MAX(0,SUMIFS('Bank Transactions'!$F:$F,'Bank Transactions'!$I:$I,Summary!C72,'Bank Transactions'!A:A,"&gt;"&amp;datepy))</f>
        <v>0</v>
      </c>
    </row>
    <row r="73" spans="1:6" x14ac:dyDescent="0.2">
      <c r="A73" t="str">
        <f t="shared" si="2"/>
        <v/>
      </c>
      <c r="B73" s="224"/>
      <c r="C73" s="238"/>
      <c r="D73" s="224"/>
      <c r="E73" s="220">
        <f>MAX(0,-SUMIFS('Bank Transactions'!$F:$F,'Bank Transactions'!$I:$I,Summary!C73,'Bank Transactions'!A:A,"&gt;"&amp;datepy))</f>
        <v>0</v>
      </c>
      <c r="F73" s="220">
        <f>MAX(0,SUMIFS('Bank Transactions'!$F:$F,'Bank Transactions'!$I:$I,Summary!C73,'Bank Transactions'!A:A,"&gt;"&amp;datepy))</f>
        <v>0</v>
      </c>
    </row>
    <row r="74" spans="1:6" x14ac:dyDescent="0.2">
      <c r="A74" t="str">
        <f t="shared" si="2"/>
        <v/>
      </c>
      <c r="B74" s="224"/>
      <c r="C74" s="238"/>
      <c r="D74" s="224"/>
      <c r="E74" s="220">
        <f>MAX(0,-SUMIFS('Bank Transactions'!$F:$F,'Bank Transactions'!$I:$I,Summary!C74,'Bank Transactions'!A:A,"&gt;"&amp;datepy))</f>
        <v>0</v>
      </c>
      <c r="F74" s="220">
        <f>MAX(0,SUMIFS('Bank Transactions'!$F:$F,'Bank Transactions'!$I:$I,Summary!C74,'Bank Transactions'!A:A,"&gt;"&amp;datepy))</f>
        <v>0</v>
      </c>
    </row>
    <row r="75" spans="1:6" x14ac:dyDescent="0.2">
      <c r="A75" t="str">
        <f t="shared" ref="A75:A85" si="3">IF(ISERROR(VLOOKUP("act"&amp;LEFT(C75,4)&amp;".000",AccountDiscription,2,0)),"",VLOOKUP("act"&amp;LEFT(C75,4)&amp;".000",AccountDiscription,2,0))</f>
        <v/>
      </c>
      <c r="B75" s="224"/>
      <c r="C75" s="238"/>
      <c r="D75" s="224"/>
      <c r="E75" s="220">
        <f>MAX(0,-SUMIFS('Bank Transactions'!$F:$F,'Bank Transactions'!$I:$I,Summary!C75,'Bank Transactions'!A:A,"&gt;"&amp;datepy))</f>
        <v>0</v>
      </c>
      <c r="F75" s="220">
        <f>MAX(0,SUMIFS('Bank Transactions'!$F:$F,'Bank Transactions'!$I:$I,Summary!C75,'Bank Transactions'!A:A,"&gt;"&amp;datepy))</f>
        <v>0</v>
      </c>
    </row>
    <row r="76" spans="1:6" x14ac:dyDescent="0.2">
      <c r="A76" t="str">
        <f t="shared" si="3"/>
        <v/>
      </c>
      <c r="B76" s="224"/>
      <c r="C76" s="238"/>
      <c r="D76" s="224"/>
      <c r="E76" s="220">
        <f>MAX(0,-SUMIFS('Bank Transactions'!$F:$F,'Bank Transactions'!$I:$I,Summary!C76,'Bank Transactions'!A:A,"&gt;"&amp;datepy))</f>
        <v>0</v>
      </c>
      <c r="F76" s="220">
        <f>MAX(0,SUMIFS('Bank Transactions'!$F:$F,'Bank Transactions'!$I:$I,Summary!C76,'Bank Transactions'!A:A,"&gt;"&amp;datepy))</f>
        <v>0</v>
      </c>
    </row>
    <row r="77" spans="1:6" x14ac:dyDescent="0.2">
      <c r="A77" t="str">
        <f t="shared" si="3"/>
        <v/>
      </c>
      <c r="B77" s="224"/>
      <c r="C77" s="238"/>
      <c r="D77" s="224"/>
      <c r="E77" s="220">
        <f>MAX(0,-SUMIFS('Bank Transactions'!$F:$F,'Bank Transactions'!$I:$I,Summary!C77,'Bank Transactions'!A:A,"&gt;"&amp;datepy))</f>
        <v>0</v>
      </c>
      <c r="F77" s="220">
        <f>MAX(0,SUMIFS('Bank Transactions'!$F:$F,'Bank Transactions'!$I:$I,Summary!C77,'Bank Transactions'!A:A,"&gt;"&amp;datepy))</f>
        <v>0</v>
      </c>
    </row>
    <row r="78" spans="1:6" x14ac:dyDescent="0.2">
      <c r="A78" t="str">
        <f t="shared" si="3"/>
        <v/>
      </c>
      <c r="B78" s="224"/>
      <c r="C78" s="238"/>
      <c r="D78" s="224"/>
      <c r="E78" s="220">
        <f>MAX(0,-SUMIFS('Bank Transactions'!$F:$F,'Bank Transactions'!$I:$I,Summary!C78,'Bank Transactions'!A:A,"&gt;"&amp;datepy))</f>
        <v>0</v>
      </c>
      <c r="F78" s="220">
        <f>MAX(0,SUMIFS('Bank Transactions'!$F:$F,'Bank Transactions'!$I:$I,Summary!C78,'Bank Transactions'!A:A,"&gt;"&amp;datepy))</f>
        <v>0</v>
      </c>
    </row>
    <row r="79" spans="1:6" x14ac:dyDescent="0.2">
      <c r="A79" t="str">
        <f t="shared" si="3"/>
        <v/>
      </c>
      <c r="B79" s="224"/>
      <c r="C79" s="238"/>
      <c r="D79" s="224"/>
      <c r="E79" s="220">
        <f>MAX(0,-SUMIFS('Bank Transactions'!$F:$F,'Bank Transactions'!$I:$I,Summary!C79,'Bank Transactions'!A:A,"&gt;"&amp;datepy))</f>
        <v>0</v>
      </c>
      <c r="F79" s="220">
        <f>MAX(0,SUMIFS('Bank Transactions'!$F:$F,'Bank Transactions'!$I:$I,Summary!C79,'Bank Transactions'!A:A,"&gt;"&amp;datepy))</f>
        <v>0</v>
      </c>
    </row>
    <row r="80" spans="1:6" x14ac:dyDescent="0.2">
      <c r="A80" t="str">
        <f t="shared" si="3"/>
        <v/>
      </c>
      <c r="B80" s="224"/>
      <c r="C80" s="238"/>
      <c r="D80" s="224"/>
      <c r="E80" s="220">
        <f>MAX(0,-SUMIFS('Bank Transactions'!$F:$F,'Bank Transactions'!$I:$I,Summary!C80,'Bank Transactions'!A:A,"&gt;"&amp;datepy))</f>
        <v>0</v>
      </c>
      <c r="F80" s="220">
        <f>MAX(0,SUMIFS('Bank Transactions'!$F:$F,'Bank Transactions'!$I:$I,Summary!C80,'Bank Transactions'!A:A,"&gt;"&amp;datepy))</f>
        <v>0</v>
      </c>
    </row>
    <row r="81" spans="1:6" x14ac:dyDescent="0.2">
      <c r="A81" t="str">
        <f t="shared" si="3"/>
        <v/>
      </c>
      <c r="B81" s="224"/>
      <c r="C81" s="238"/>
      <c r="D81" s="224"/>
      <c r="E81" s="220">
        <f>MAX(0,-SUMIFS('Bank Transactions'!$F:$F,'Bank Transactions'!$I:$I,Summary!C81,'Bank Transactions'!A:A,"&gt;"&amp;datepy))</f>
        <v>0</v>
      </c>
      <c r="F81" s="220">
        <f>MAX(0,SUMIFS('Bank Transactions'!$F:$F,'Bank Transactions'!$I:$I,Summary!C81,'Bank Transactions'!A:A,"&gt;"&amp;datepy))</f>
        <v>0</v>
      </c>
    </row>
    <row r="82" spans="1:6" x14ac:dyDescent="0.2">
      <c r="A82" t="str">
        <f t="shared" si="3"/>
        <v/>
      </c>
      <c r="B82" s="224"/>
      <c r="C82" s="241"/>
      <c r="D82" s="224"/>
      <c r="E82" s="220">
        <f>MAX(0,-SUMIFS('Bank Transactions'!$F:$F,'Bank Transactions'!$I:$I,Summary!C82,'Bank Transactions'!A:A,"&gt;"&amp;datepy))</f>
        <v>0</v>
      </c>
      <c r="F82" s="220">
        <f>MAX(0,SUMIFS('Bank Transactions'!$F:$F,'Bank Transactions'!$I:$I,Summary!C82,'Bank Transactions'!A:A,"&gt;"&amp;datepy))</f>
        <v>0</v>
      </c>
    </row>
    <row r="83" spans="1:6" x14ac:dyDescent="0.2">
      <c r="A83" t="str">
        <f t="shared" si="3"/>
        <v/>
      </c>
      <c r="B83" s="224"/>
      <c r="C83" s="238"/>
      <c r="D83" s="224"/>
      <c r="E83" s="220">
        <f>MAX(0,-SUMIFS('Bank Transactions'!$F:$F,'Bank Transactions'!$I:$I,Summary!C83,'Bank Transactions'!A:A,"&gt;"&amp;datepy))</f>
        <v>0</v>
      </c>
      <c r="F83" s="220">
        <f>MAX(0,SUMIFS('Bank Transactions'!$F:$F,'Bank Transactions'!$I:$I,Summary!C83,'Bank Transactions'!A:A,"&gt;"&amp;datepy))</f>
        <v>0</v>
      </c>
    </row>
    <row r="84" spans="1:6" x14ac:dyDescent="0.2">
      <c r="A84" t="str">
        <f t="shared" si="3"/>
        <v/>
      </c>
      <c r="B84" s="224"/>
      <c r="C84" s="238"/>
      <c r="D84" s="224"/>
      <c r="E84" s="220">
        <f>MAX(0,-SUMIFS('Bank Transactions'!$F:$F,'Bank Transactions'!$I:$I,Summary!C84,'Bank Transactions'!A:A,"&gt;"&amp;datepy))</f>
        <v>0</v>
      </c>
      <c r="F84" s="220">
        <f>MAX(0,SUMIFS('Bank Transactions'!$F:$F,'Bank Transactions'!$I:$I,Summary!C84,'Bank Transactions'!A:A,"&gt;"&amp;datepy))</f>
        <v>0</v>
      </c>
    </row>
    <row r="85" spans="1:6" x14ac:dyDescent="0.2">
      <c r="A85" t="str">
        <f t="shared" si="3"/>
        <v/>
      </c>
      <c r="B85" s="225"/>
      <c r="C85" s="239"/>
      <c r="D85" s="225"/>
      <c r="E85" s="226">
        <f>MAX(0,-SUMIFS('Bank Transactions'!$F:$F,'Bank Transactions'!$I:$I,Summary!C85,'Bank Transactions'!A:A,"&gt;"&amp;datepy))</f>
        <v>0</v>
      </c>
      <c r="F85" s="226">
        <f>MAX(0,SUMIFS('Bank Transactions'!$F:$F,'Bank Transactions'!$I:$I,Summary!C85,'Bank Transactions'!A:A,"&gt;"&amp;datepy))</f>
        <v>0</v>
      </c>
    </row>
    <row r="86" spans="1:6" x14ac:dyDescent="0.2">
      <c r="B86" s="212"/>
      <c r="C86" s="240"/>
      <c r="D86" s="212"/>
      <c r="E86" s="213"/>
      <c r="F86" s="213"/>
    </row>
    <row r="87" spans="1:6" x14ac:dyDescent="0.2">
      <c r="B87" s="212"/>
      <c r="C87" s="240"/>
      <c r="D87" s="212"/>
      <c r="E87" s="213"/>
      <c r="F87" s="213"/>
    </row>
  </sheetData>
  <pageMargins left="0.7" right="0.7" top="0.75" bottom="0.75" header="0.3" footer="0.3"/>
  <pageSetup scale="78" orientation="portrait" horizontalDpi="1200" verticalDpi="1200" r:id="rId2"/>
  <colBreaks count="1" manualBreakCount="1">
    <brk id="10" max="1048575" man="1"/>
  </colBreaks>
  <drawing r:id="rId3"/>
  <legacyDrawing r:id="rId4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0" tint="-0.499984740745262"/>
    <pageSetUpPr fitToPage="1"/>
  </sheetPr>
  <dimension ref="A1:BU87"/>
  <sheetViews>
    <sheetView showGridLines="0" zoomScale="85" zoomScaleNormal="85" workbookViewId="0">
      <pane ySplit="11" topLeftCell="A12" activePane="bottomLeft" state="frozen"/>
      <selection activeCell="E15" sqref="A15:XFD87"/>
      <selection pane="bottomLeft" activeCell="V31" sqref="V31"/>
    </sheetView>
  </sheetViews>
  <sheetFormatPr defaultRowHeight="12.75" x14ac:dyDescent="0.2"/>
  <cols>
    <col min="1" max="1" width="9.1640625" style="2" customWidth="1"/>
    <col min="2" max="2" width="12.83203125" style="16" customWidth="1"/>
    <col min="3" max="3" width="12.83203125" style="7" customWidth="1"/>
    <col min="4" max="4" width="2.5" style="19" customWidth="1"/>
    <col min="5" max="5" width="12.5" style="7" customWidth="1"/>
    <col min="6" max="6" width="43.1640625" style="7" bestFit="1" customWidth="1"/>
    <col min="7" max="7" width="14.83203125" style="7" customWidth="1"/>
    <col min="8" max="8" width="13.6640625" style="2" customWidth="1"/>
    <col min="9" max="9" width="13.1640625" style="136" hidden="1" customWidth="1"/>
    <col min="10" max="10" width="13.83203125" style="18" customWidth="1"/>
    <col min="11" max="11" width="8" style="18" customWidth="1"/>
    <col min="12" max="12" width="13.6640625" style="2" customWidth="1"/>
    <col min="13" max="13" width="14" style="5" customWidth="1"/>
    <col min="14" max="14" width="12.6640625" style="28" bestFit="1" customWidth="1"/>
    <col min="15" max="15" width="12" style="3" bestFit="1" customWidth="1"/>
    <col min="16" max="16" width="12.1640625" style="2" customWidth="1"/>
    <col min="17" max="17" width="3.33203125" style="200" customWidth="1"/>
    <col min="18" max="18" width="10.83203125" style="182" customWidth="1"/>
    <col min="19" max="19" width="12.83203125" style="11" customWidth="1"/>
    <col min="20" max="20" width="3.1640625" style="25" customWidth="1"/>
    <col min="21" max="21" width="10.83203125" style="6" customWidth="1"/>
    <col min="22" max="22" width="14.6640625" style="2" customWidth="1"/>
    <col min="23" max="24" width="15.83203125" style="2" customWidth="1"/>
    <col min="25" max="25" width="12.83203125" style="2" customWidth="1"/>
    <col min="26" max="26" width="15" style="2" customWidth="1"/>
    <col min="27" max="27" width="11.83203125" style="2" customWidth="1"/>
    <col min="28" max="28" width="14.5" style="2" customWidth="1"/>
    <col min="29" max="29" width="6.5" style="2" customWidth="1"/>
    <col min="30" max="33" width="10.5" style="2" customWidth="1"/>
    <col min="34" max="34" width="14" style="2" customWidth="1"/>
    <col min="35" max="35" width="10.6640625" style="2" customWidth="1"/>
    <col min="36" max="41" width="9.33203125" style="2"/>
    <col min="42" max="42" width="14.5" style="2" bestFit="1" customWidth="1"/>
    <col min="43" max="16384" width="9.33203125" style="2"/>
  </cols>
  <sheetData>
    <row r="1" spans="1:73" ht="12.75" customHeight="1" x14ac:dyDescent="0.2">
      <c r="C1" s="2"/>
      <c r="F1" s="1" t="s">
        <v>2</v>
      </c>
      <c r="G1" s="126"/>
      <c r="K1" s="2"/>
      <c r="M1" s="2"/>
      <c r="N1" s="3"/>
      <c r="Q1" s="11"/>
      <c r="R1" s="2"/>
      <c r="S1" s="2"/>
      <c r="T1" s="191"/>
      <c r="AI1" s="45"/>
      <c r="AJ1" s="45"/>
      <c r="AK1" s="45"/>
      <c r="AL1" s="45"/>
      <c r="AM1" s="45"/>
      <c r="AN1" s="45"/>
      <c r="AQ1" s="40"/>
      <c r="AR1" s="41"/>
      <c r="AS1" s="41"/>
      <c r="AT1" s="41"/>
      <c r="AU1" s="41"/>
      <c r="AV1" s="41"/>
      <c r="AW1" s="41"/>
      <c r="AX1" s="42"/>
      <c r="AY1" s="36"/>
      <c r="AZ1" s="41"/>
      <c r="BA1" s="41"/>
      <c r="BB1" s="41"/>
      <c r="BC1" s="41"/>
      <c r="BD1" s="41"/>
      <c r="BE1" s="41"/>
      <c r="BF1" s="43"/>
      <c r="BJ1" s="1"/>
      <c r="BU1" s="2" t="s">
        <v>47</v>
      </c>
    </row>
    <row r="2" spans="1:73" ht="12.75" customHeight="1" x14ac:dyDescent="0.2">
      <c r="C2" s="2"/>
      <c r="F2" s="17" t="s">
        <v>78</v>
      </c>
      <c r="G2" s="127"/>
      <c r="K2" s="2"/>
      <c r="M2" s="2"/>
      <c r="N2" s="3"/>
      <c r="Q2" s="11"/>
      <c r="R2" s="2"/>
      <c r="S2" s="2"/>
      <c r="T2" s="191"/>
      <c r="AI2" s="45"/>
      <c r="AJ2" s="45"/>
      <c r="AK2" s="45"/>
      <c r="AL2" s="45"/>
      <c r="AM2" s="45"/>
      <c r="AN2" s="45"/>
      <c r="AQ2" s="40"/>
      <c r="AR2" s="41"/>
      <c r="AS2" s="41"/>
      <c r="AT2" s="41"/>
      <c r="AU2" s="41"/>
      <c r="AV2" s="41"/>
      <c r="AW2" s="41"/>
      <c r="AX2" s="42"/>
      <c r="AY2" s="36"/>
      <c r="AZ2" s="41"/>
      <c r="BA2" s="41"/>
      <c r="BB2" s="41"/>
      <c r="BC2" s="41"/>
      <c r="BD2" s="41"/>
      <c r="BE2" s="41"/>
      <c r="BF2" s="43"/>
      <c r="BJ2" s="1"/>
    </row>
    <row r="3" spans="1:73" ht="12.75" customHeight="1" x14ac:dyDescent="0.2">
      <c r="C3" s="2"/>
      <c r="F3" s="17" t="s">
        <v>79</v>
      </c>
      <c r="G3" s="127"/>
      <c r="K3" s="2"/>
      <c r="M3" s="2"/>
      <c r="N3" s="3"/>
      <c r="Q3" s="11"/>
      <c r="R3" s="2"/>
      <c r="S3" s="2"/>
      <c r="T3" s="191"/>
      <c r="AI3" s="45"/>
      <c r="AJ3" s="45"/>
      <c r="AK3" s="45"/>
      <c r="AL3" s="45"/>
      <c r="AM3" s="45"/>
      <c r="AN3" s="45"/>
      <c r="AQ3" s="40"/>
      <c r="AR3" s="41"/>
      <c r="AS3" s="41"/>
      <c r="AT3" s="41"/>
      <c r="AU3" s="41"/>
      <c r="AV3" s="41"/>
      <c r="AW3" s="41"/>
      <c r="AX3" s="42"/>
      <c r="AY3" s="36"/>
      <c r="AZ3" s="41"/>
      <c r="BA3" s="41"/>
      <c r="BB3" s="41"/>
      <c r="BC3" s="41"/>
      <c r="BD3" s="41"/>
      <c r="BE3" s="41"/>
      <c r="BF3" s="43"/>
      <c r="BJ3" s="1"/>
    </row>
    <row r="4" spans="1:73" ht="12.75" customHeight="1" x14ac:dyDescent="0.2">
      <c r="A4" s="119" t="s">
        <v>113</v>
      </c>
      <c r="B4" s="120"/>
      <c r="C4" s="121"/>
      <c r="F4" s="8" t="s">
        <v>3</v>
      </c>
      <c r="G4" s="102">
        <v>42369</v>
      </c>
      <c r="H4" s="9"/>
      <c r="I4" s="141"/>
      <c r="K4" s="10"/>
      <c r="L4" s="9"/>
      <c r="M4" s="2"/>
      <c r="N4" s="3"/>
      <c r="Q4" s="11"/>
      <c r="R4" s="2"/>
      <c r="S4" s="2"/>
      <c r="T4" s="191"/>
      <c r="AI4" s="11"/>
      <c r="AJ4" s="11"/>
      <c r="AK4" s="11"/>
      <c r="AL4" s="11"/>
      <c r="AM4" s="11"/>
      <c r="AN4" s="11"/>
      <c r="AQ4" s="36"/>
      <c r="AR4" s="38"/>
      <c r="AS4" s="38"/>
      <c r="AT4" s="38"/>
      <c r="AU4" s="39"/>
      <c r="AV4" s="39"/>
      <c r="AW4" s="39"/>
      <c r="AX4" s="39"/>
      <c r="AY4" s="36"/>
      <c r="AZ4" s="38"/>
      <c r="BA4" s="38"/>
      <c r="BB4" s="38"/>
      <c r="BC4" s="39"/>
      <c r="BD4" s="39"/>
      <c r="BE4" s="39"/>
      <c r="BF4" s="39"/>
      <c r="BJ4" s="17"/>
      <c r="BU4" s="2" t="s">
        <v>48</v>
      </c>
    </row>
    <row r="5" spans="1:73" ht="12.75" customHeight="1" x14ac:dyDescent="0.2">
      <c r="A5" s="122" t="s">
        <v>114</v>
      </c>
      <c r="B5" s="120"/>
      <c r="C5" s="123"/>
      <c r="F5" s="12" t="s">
        <v>4</v>
      </c>
      <c r="G5" s="102">
        <v>42004</v>
      </c>
      <c r="K5" s="2"/>
      <c r="M5" s="2"/>
      <c r="N5" s="3"/>
      <c r="Q5" s="11"/>
      <c r="R5" s="2"/>
      <c r="S5" s="2"/>
      <c r="T5" s="191"/>
      <c r="AI5" s="11"/>
      <c r="AJ5" s="11"/>
      <c r="AK5" s="11"/>
      <c r="AL5" s="11"/>
      <c r="AM5" s="11"/>
      <c r="AN5" s="11"/>
      <c r="AQ5" s="36"/>
      <c r="AR5" s="38"/>
      <c r="AS5" s="38"/>
      <c r="AT5" s="38"/>
      <c r="AU5" s="38"/>
      <c r="AV5" s="38"/>
      <c r="AW5" s="38"/>
      <c r="AX5" s="38"/>
      <c r="AY5" s="36"/>
      <c r="AZ5" s="38"/>
      <c r="BA5" s="38"/>
      <c r="BB5" s="38"/>
      <c r="BC5" s="38"/>
      <c r="BD5" s="38"/>
      <c r="BE5" s="38"/>
      <c r="BF5" s="38"/>
      <c r="BJ5" s="1"/>
      <c r="BU5" s="2" t="s">
        <v>49</v>
      </c>
    </row>
    <row r="6" spans="1:73" ht="12.75" customHeight="1" x14ac:dyDescent="0.2">
      <c r="A6" s="122" t="s">
        <v>115</v>
      </c>
      <c r="B6" s="120"/>
      <c r="C6" s="124"/>
      <c r="G6" s="104"/>
      <c r="M6" s="2"/>
      <c r="N6" s="3"/>
      <c r="Q6" s="11"/>
      <c r="R6" s="2"/>
      <c r="S6" s="2"/>
      <c r="T6" s="191"/>
      <c r="AQ6" s="36"/>
      <c r="AR6" s="36"/>
      <c r="AS6" s="36"/>
      <c r="AT6" s="39"/>
      <c r="AU6" s="39"/>
      <c r="AV6" s="39"/>
      <c r="AW6" s="39"/>
      <c r="AX6" s="39"/>
      <c r="AY6" s="36"/>
      <c r="AZ6" s="38"/>
      <c r="BA6" s="38"/>
      <c r="BB6" s="38"/>
      <c r="BC6" s="38"/>
      <c r="BD6" s="38"/>
      <c r="BE6" s="38"/>
      <c r="BF6" s="39"/>
      <c r="BH6" s="7"/>
      <c r="BI6" s="30"/>
      <c r="BJ6" s="17"/>
      <c r="BU6" s="12" t="s">
        <v>1</v>
      </c>
    </row>
    <row r="7" spans="1:73" ht="12.75" customHeight="1" x14ac:dyDescent="0.25">
      <c r="A7" s="109" t="s">
        <v>108</v>
      </c>
      <c r="B7" s="108"/>
      <c r="C7" s="106"/>
      <c r="M7" s="2"/>
      <c r="N7" s="3"/>
      <c r="O7" s="243" t="str">
        <f t="array" ref="O7">IF(B7="b",MAX(M7,MAX(IF(F7='Bank Transactions'!$B:$B,'Bank Transactions'!$A:$A))),"")</f>
        <v/>
      </c>
      <c r="P7" s="35">
        <f>IF(OR(ISTEXT(K7),K7=0),0,ROUND(IF(AND(U7&lt;J7,U7&gt;$G$5),(U7-O7)*IF(OR(B7="P",B7="c"),G7,H7)*K7/(366),IF(J7&lt;$G$4,(J7-O7)*IF(OR(B7="P",B7="c"),G7,H7)*K7/(366),($G$4-O7)*IF(OR(B7="P",B7="c"),G7,H7)*K7/(366))),0))</f>
        <v>0</v>
      </c>
      <c r="Q7" s="199"/>
      <c r="R7" s="35">
        <f>IF(H7="",0,ROUND(IF(ISTEXT(U7),0,IF(ISTEXT(M7),0,IF(OR(B7="b",B7="st"),MAX(-G7+((H7-N7)/(J7-M7)*IF(AND(U7&lt;$G$4,U7&gt;$G$5),(U7-M7),($G$4-M7))+N7),0)))),2))</f>
        <v>0</v>
      </c>
      <c r="S7" s="35">
        <f>IF(H7="",0,ROUND(IF(ISTEXT(U7),0,IF(ISTEXT(M7),0,IF(OR(B7="b",B7="st"),MAX(+G7-((H7-N7)/(J7-M7)*IF(AND(U7&lt;$G$4,U7&gt;$G$5),(U7-M7),($G$4-M7))+N7),0)))),2))</f>
        <v>0</v>
      </c>
      <c r="T7" s="191"/>
      <c r="U7" s="37"/>
      <c r="W7" s="35">
        <f t="shared" ref="W7" si="0">ROUND(IF(M7&gt;$G$5,N7,G7)+R7-S7-Y7+X7-V7,2)</f>
        <v>0</v>
      </c>
      <c r="X7" s="15">
        <f t="shared" ref="X7" si="1">ROUND(IF(U7="",0,MAX(-(IF(ISTEXT(M7),IF(M7="cypur",N7,G7),IF(M7&gt;$G$5,N7,G7))+R7-S7-V7),0)),2)</f>
        <v>0</v>
      </c>
      <c r="Y7" s="15">
        <f t="shared" ref="Y7" si="2">ROUND(IF(U7="",0,MAX(IF(ISTEXT(M7),IF(M7="cypur",N7,G7),IF(M7&gt;$G$5,N7,G7))+R7-S7-V7,0)),2)</f>
        <v>0</v>
      </c>
      <c r="Z7" s="32">
        <f t="shared" ref="Z7" si="3">ROUND(IF(AND(B7="C",OR(U7="",U7="'")),L7*H7,IF(M7&gt;$G$5,N7,+G7)+R7-S7-Y7+X7-V7),2)</f>
        <v>0</v>
      </c>
      <c r="AA7" s="32" t="str">
        <f t="shared" ref="AA7" si="4">IF(U7&lt;&gt;"",IF(ISTEXT(M7),IF(M7="cypur",N7,G7),IF(M7&gt;$G$5,N7,+G7))+R7-S7,"N/A")</f>
        <v>N/A</v>
      </c>
      <c r="AB7" s="33">
        <f t="shared" ref="AB7" si="5">ROUND(IF(OR(B7="b",B7="st",D7&lt;&gt;6),IF(OR(L7="",ISBLANK(L7)),Z7,L7*H7)),2)</f>
        <v>0</v>
      </c>
      <c r="AC7" s="92" t="str">
        <f t="shared" ref="AC7" si="6">CONCATENATE(B7,".",C7,".")</f>
        <v>..</v>
      </c>
      <c r="AD7" s="92" t="str">
        <f t="shared" ref="AD7" si="7">IF(C7=10,"",IF(M7&gt;datepy,MONTH(M7),""))</f>
        <v/>
      </c>
      <c r="AE7" s="92" t="str">
        <f t="shared" ref="AE7" si="8">IF(ISBLANK(U7),"",MONTH(U7))</f>
        <v/>
      </c>
      <c r="AF7" s="92" t="str">
        <f t="shared" ref="AF7" si="9">AC7&amp;IF(M7&gt;datepy,TRUE,FALSE)</f>
        <v>..FALSE</v>
      </c>
      <c r="AG7" s="92" t="str">
        <f t="shared" ref="AG7" si="10">AC7&amp;IF(AND(W7&gt;0,B7&lt;&gt;"ST"),TRUE,FALSE)</f>
        <v>..FALSE</v>
      </c>
      <c r="AH7" s="14" t="b">
        <f>IF(AND(OR(X7&gt;0,Y7&gt;0),IF(ISNONTEXT(U7),U7,0)-IF(ISNONTEXT(M7),M7,0)&lt;365),IF(M7="","TrueCapGain",TRUE),FALSE)</f>
        <v>0</v>
      </c>
      <c r="AI7" s="14" t="b">
        <f>IF(AND(OR(X7&gt;0,Y7&gt;0),IF(ISNONTEXT(U7),U7,0)-IF(ISNONTEXT(M7),M7,0)&gt;366),IF(M7="","TrueCapGain",TRUE),FALSE)</f>
        <v>0</v>
      </c>
      <c r="AJ7" s="13"/>
      <c r="AK7" s="13"/>
      <c r="AL7" s="13"/>
      <c r="AM7" s="13"/>
      <c r="AN7" s="13"/>
      <c r="AP7" s="23"/>
      <c r="AQ7" s="36"/>
      <c r="AR7" s="36"/>
      <c r="AS7" s="36"/>
      <c r="AT7" s="39"/>
      <c r="AU7" s="39"/>
      <c r="AV7" s="39"/>
      <c r="AW7" s="39"/>
      <c r="AX7" s="39"/>
      <c r="AY7" s="36"/>
      <c r="AZ7" s="36"/>
      <c r="BA7" s="38"/>
      <c r="BB7" s="38"/>
      <c r="BC7" s="38"/>
      <c r="BD7" s="38"/>
      <c r="BE7" s="38"/>
      <c r="BF7" s="39"/>
      <c r="BH7" s="7"/>
      <c r="BI7" s="30"/>
      <c r="BJ7" s="17"/>
      <c r="BU7" s="12" t="s">
        <v>0</v>
      </c>
    </row>
    <row r="8" spans="1:73" ht="12.75" customHeight="1" thickBot="1" x14ac:dyDescent="0.25">
      <c r="B8" s="2"/>
      <c r="C8" s="2"/>
      <c r="D8" s="11"/>
      <c r="E8" s="2"/>
      <c r="F8" s="2"/>
      <c r="G8" s="2"/>
      <c r="J8" s="2"/>
      <c r="K8" s="2"/>
      <c r="M8" s="2"/>
      <c r="N8" s="3"/>
      <c r="Q8" s="11"/>
      <c r="R8" s="2"/>
      <c r="S8" s="2"/>
      <c r="T8" s="191"/>
      <c r="U8" s="5"/>
      <c r="AC8" s="27"/>
      <c r="AD8" s="27"/>
      <c r="AE8" s="27"/>
      <c r="AF8" s="26"/>
      <c r="AG8" s="26"/>
      <c r="AJ8" s="26"/>
      <c r="AK8" s="7"/>
      <c r="AP8" s="23"/>
      <c r="AQ8" s="36"/>
      <c r="AR8" s="36"/>
      <c r="AS8" s="36"/>
      <c r="AT8" s="39"/>
      <c r="AU8" s="39"/>
      <c r="AV8" s="39"/>
      <c r="AW8" s="39"/>
      <c r="AX8" s="39"/>
      <c r="AY8" s="36"/>
      <c r="AZ8" s="36"/>
      <c r="BA8" s="36"/>
      <c r="BB8" s="36"/>
      <c r="BC8" s="36"/>
      <c r="BD8" s="36"/>
      <c r="BE8" s="36"/>
      <c r="BF8" s="36"/>
      <c r="BI8" s="30"/>
      <c r="BJ8" s="17"/>
    </row>
    <row r="9" spans="1:73" s="11" customFormat="1" ht="13.5" thickBot="1" x14ac:dyDescent="0.25">
      <c r="A9" s="93"/>
      <c r="B9" s="68" t="s">
        <v>5</v>
      </c>
      <c r="C9" s="57"/>
      <c r="D9" s="57"/>
      <c r="E9" s="57"/>
      <c r="F9" s="69"/>
      <c r="G9" s="69"/>
      <c r="H9" s="57"/>
      <c r="I9" s="137"/>
      <c r="J9" s="57"/>
      <c r="K9" s="57"/>
      <c r="L9" s="57"/>
      <c r="M9" s="70"/>
      <c r="N9" s="71"/>
      <c r="O9" s="196"/>
      <c r="P9" s="56"/>
      <c r="Q9" s="56"/>
      <c r="R9" s="56"/>
      <c r="S9" s="56"/>
      <c r="T9" s="192"/>
      <c r="U9" s="73" t="s">
        <v>6</v>
      </c>
      <c r="V9" s="74"/>
      <c r="W9" s="56" t="s">
        <v>7</v>
      </c>
      <c r="X9" s="75"/>
      <c r="Y9" s="72"/>
      <c r="Z9" s="57"/>
      <c r="AA9" s="58"/>
      <c r="AB9" s="58"/>
      <c r="AC9" s="94"/>
      <c r="AD9" s="58"/>
      <c r="AE9" s="58"/>
      <c r="AF9" s="58"/>
      <c r="AG9" s="58"/>
      <c r="AH9" s="97" t="s">
        <v>8</v>
      </c>
      <c r="AI9" s="76"/>
      <c r="AJ9" s="21"/>
      <c r="AK9" s="23"/>
      <c r="AN9" s="23"/>
      <c r="AQ9" s="23"/>
      <c r="AR9" s="23"/>
      <c r="AS9" s="23"/>
      <c r="AT9" s="23"/>
      <c r="AU9" s="23"/>
      <c r="AV9" s="23"/>
      <c r="AW9" s="23"/>
      <c r="AX9" s="23"/>
      <c r="AY9" s="23"/>
      <c r="AZ9" s="23"/>
      <c r="BA9" s="23"/>
      <c r="BB9" s="23"/>
      <c r="BC9" s="23"/>
      <c r="BD9" s="23"/>
      <c r="BE9" s="23"/>
      <c r="BF9" s="23"/>
      <c r="BG9" s="77"/>
      <c r="BH9" s="78"/>
    </row>
    <row r="10" spans="1:73" s="19" customFormat="1" x14ac:dyDescent="0.2">
      <c r="A10" s="91" t="s">
        <v>57</v>
      </c>
      <c r="B10" s="79" t="s">
        <v>9</v>
      </c>
      <c r="C10" s="80"/>
      <c r="D10" s="46"/>
      <c r="E10" s="81" t="s">
        <v>54</v>
      </c>
      <c r="F10" s="82" t="s">
        <v>10</v>
      </c>
      <c r="G10" s="46" t="s">
        <v>11</v>
      </c>
      <c r="H10" s="82" t="s">
        <v>12</v>
      </c>
      <c r="I10" s="142" t="s">
        <v>13</v>
      </c>
      <c r="J10" s="83"/>
      <c r="K10" s="84" t="s">
        <v>14</v>
      </c>
      <c r="L10" s="82" t="s">
        <v>15</v>
      </c>
      <c r="M10" s="83" t="s">
        <v>16</v>
      </c>
      <c r="N10" s="82" t="s">
        <v>17</v>
      </c>
      <c r="O10" s="85" t="s">
        <v>18</v>
      </c>
      <c r="P10" s="88" t="s">
        <v>19</v>
      </c>
      <c r="Q10" s="88"/>
      <c r="R10" s="88" t="s">
        <v>20</v>
      </c>
      <c r="S10" s="88"/>
      <c r="T10" s="193"/>
      <c r="U10" s="86" t="s">
        <v>16</v>
      </c>
      <c r="V10" s="87"/>
      <c r="W10" s="88" t="s">
        <v>50</v>
      </c>
      <c r="X10" s="47" t="s">
        <v>21</v>
      </c>
      <c r="Y10" s="48"/>
      <c r="Z10" s="46" t="s">
        <v>51</v>
      </c>
      <c r="AA10" s="46" t="s">
        <v>11</v>
      </c>
      <c r="AB10" s="46"/>
      <c r="AC10" s="91" t="s">
        <v>10</v>
      </c>
      <c r="AD10" s="91" t="s">
        <v>74</v>
      </c>
      <c r="AE10" s="98" t="s">
        <v>56</v>
      </c>
      <c r="AF10" s="91" t="s">
        <v>80</v>
      </c>
      <c r="AG10" s="91" t="s">
        <v>109</v>
      </c>
      <c r="AH10" s="89" t="s">
        <v>22</v>
      </c>
      <c r="AI10" s="90"/>
      <c r="AK10" s="21"/>
      <c r="AM10" s="11"/>
      <c r="AN10" s="78"/>
      <c r="AO10" s="11"/>
      <c r="AP10" s="11"/>
      <c r="AQ10" s="23"/>
      <c r="AR10" s="23"/>
      <c r="AS10" s="49"/>
      <c r="AT10" s="21"/>
      <c r="AU10" s="21"/>
      <c r="AV10" s="21"/>
      <c r="AW10" s="50"/>
      <c r="AX10" s="21"/>
      <c r="AY10" s="21"/>
      <c r="AZ10" s="21"/>
      <c r="BA10" s="22"/>
      <c r="BB10" s="21"/>
      <c r="BC10" s="21"/>
      <c r="BD10" s="21"/>
      <c r="BE10" s="21"/>
      <c r="BF10" s="21"/>
    </row>
    <row r="11" spans="1:73" s="19" customFormat="1" ht="13.5" thickBot="1" x14ac:dyDescent="0.25">
      <c r="A11" s="54" t="s">
        <v>53</v>
      </c>
      <c r="B11" s="59" t="s">
        <v>23</v>
      </c>
      <c r="C11" s="60" t="s">
        <v>24</v>
      </c>
      <c r="D11" s="54" t="s">
        <v>186</v>
      </c>
      <c r="E11" s="53" t="s">
        <v>53</v>
      </c>
      <c r="F11" s="51" t="s">
        <v>25</v>
      </c>
      <c r="G11" s="51" t="s">
        <v>26</v>
      </c>
      <c r="H11" s="51" t="s">
        <v>27</v>
      </c>
      <c r="I11" s="138" t="s">
        <v>28</v>
      </c>
      <c r="J11" s="61" t="s">
        <v>29</v>
      </c>
      <c r="K11" s="62" t="s">
        <v>30</v>
      </c>
      <c r="L11" s="51" t="s">
        <v>31</v>
      </c>
      <c r="M11" s="63" t="s">
        <v>32</v>
      </c>
      <c r="N11" s="54" t="s">
        <v>33</v>
      </c>
      <c r="O11" s="64" t="s">
        <v>34</v>
      </c>
      <c r="P11" s="67" t="s">
        <v>35</v>
      </c>
      <c r="Q11" s="54" t="s">
        <v>187</v>
      </c>
      <c r="R11" s="67" t="s">
        <v>36</v>
      </c>
      <c r="S11" s="67" t="s">
        <v>37</v>
      </c>
      <c r="T11" s="54" t="s">
        <v>188</v>
      </c>
      <c r="U11" s="65" t="s">
        <v>38</v>
      </c>
      <c r="V11" s="66" t="s">
        <v>39</v>
      </c>
      <c r="W11" s="67" t="s">
        <v>11</v>
      </c>
      <c r="X11" s="52" t="s">
        <v>40</v>
      </c>
      <c r="Y11" s="53" t="s">
        <v>41</v>
      </c>
      <c r="Z11" s="54" t="s">
        <v>52</v>
      </c>
      <c r="AA11" s="51" t="s">
        <v>42</v>
      </c>
      <c r="AB11" s="54" t="s">
        <v>43</v>
      </c>
      <c r="AC11" s="54" t="s">
        <v>55</v>
      </c>
      <c r="AD11" s="54" t="s">
        <v>75</v>
      </c>
      <c r="AE11" s="51" t="s">
        <v>55</v>
      </c>
      <c r="AF11" s="54" t="s">
        <v>75</v>
      </c>
      <c r="AG11" s="54" t="s">
        <v>55</v>
      </c>
      <c r="AH11" s="54" t="s">
        <v>44</v>
      </c>
      <c r="AI11" s="66" t="s">
        <v>45</v>
      </c>
      <c r="AK11" s="21"/>
      <c r="AM11" s="11"/>
      <c r="AN11" s="11"/>
      <c r="AO11" s="11"/>
      <c r="AP11" s="11"/>
      <c r="AQ11" s="21"/>
      <c r="AR11" s="22"/>
      <c r="AS11" s="55"/>
      <c r="AT11" s="21"/>
      <c r="AU11" s="21"/>
      <c r="AV11" s="23"/>
      <c r="AW11" s="23"/>
      <c r="AX11" s="21"/>
      <c r="AY11" s="21"/>
      <c r="AZ11" s="21"/>
      <c r="BA11" s="22"/>
      <c r="BB11" s="21"/>
      <c r="BC11" s="21"/>
      <c r="BD11" s="21"/>
      <c r="BE11" s="21"/>
      <c r="BF11" s="21"/>
    </row>
    <row r="12" spans="1:73" x14ac:dyDescent="0.2">
      <c r="A12" s="92">
        <f>COUNTA(AC12:AC$14)</f>
        <v>2</v>
      </c>
      <c r="B12" s="7"/>
      <c r="C12" s="19"/>
      <c r="E12" s="128"/>
      <c r="F12" s="78"/>
      <c r="G12" s="105"/>
      <c r="H12" s="129"/>
      <c r="I12" s="135"/>
      <c r="J12" s="25"/>
      <c r="K12" s="20"/>
      <c r="L12" s="244"/>
      <c r="M12" s="24"/>
      <c r="N12" s="130"/>
      <c r="O12" s="243"/>
      <c r="P12" s="35">
        <f t="shared" ref="P12:P13" si="11">IF(OR(ISTEXT(K12),K12=0),0,ROUND(IF(AND(U12&lt;J12,U12&gt;$G$5),(U12-O12)*IF(OR(B12="P",B12="c"),G12,H12)*K12/(366),IF(J12&lt;$G$4,(J12-O12)*IF(OR(B12="P",B12="c"),G12,H12)*K12/(366),($G$4-O12)*IF(OR(B12="P",B12="c"),G12,H12)*K12/(366))),0))</f>
        <v>0</v>
      </c>
      <c r="Q12" s="199"/>
      <c r="R12" s="35">
        <f>IF(H12="",0,ROUND(IF(ISTEXT(U12),0,IF(ISTEXT(M12),0,IF(OR(B12="b",B12="st"),MAX(-G12+((H12-N12)/(J12-M12)*IF(AND(U12&lt;$G$4,U12&gt;$G$5),(U12-M12),($G$4-M12))+N12),0)))),2))*IF(AND($B12="b",$C12=4),0,1)</f>
        <v>0</v>
      </c>
      <c r="S12" s="35">
        <f>IF(H12="",0,ROUND(IF(ISTEXT(U12),0,IF(ISTEXT(M12),0,IF(OR(B12="b",B12="st"),MAX(+G12-((H12-N12)/(J12-M12)*IF(AND(U12&lt;$G$4,U12&gt;$G$5),(U12-M12),($G$4-M12))+N12),0)))),2))*IF(AND($B12="b",$C12=4),0,1)</f>
        <v>0</v>
      </c>
      <c r="T12" s="194"/>
      <c r="U12" s="25"/>
      <c r="V12" s="34"/>
      <c r="W12" s="35">
        <f t="shared" ref="W12" si="12">ROUND(IF(M12&gt;$G$5,N12,G12)+R12-S12-Y12+X12-V12,2)</f>
        <v>0</v>
      </c>
      <c r="X12" s="15">
        <f t="shared" ref="X12" si="13">ROUND(IF(U12="",0,MAX(-(IF(ISTEXT(M12),IF(M12="cypur",N12,G12),IF(M12&gt;$G$5,N12,G12))+R12-S12-V12),0)),2)</f>
        <v>0</v>
      </c>
      <c r="Y12" s="15">
        <f t="shared" ref="Y12" si="14">ROUND(IF(U12="",0,MAX(IF(ISTEXT(M12),IF(M12="cypur",N12,G12),IF(M12&gt;$G$5,N12,G12))+R12-S12-V12,0)),2)</f>
        <v>0</v>
      </c>
      <c r="Z12" s="32">
        <f t="shared" ref="Z12" si="15">ROUND(IF(AND(B12="C",OR(U12="",U12="'")),L12*H12,IF(M12&gt;$G$5,N12,+G12)+R12-S12-Y12+X12-V12),2)</f>
        <v>0</v>
      </c>
      <c r="AA12" s="32" t="str">
        <f t="shared" ref="AA12" si="16">IF(U12&lt;&gt;"",IF(ISTEXT(M12),IF(M12="cypur",N12,G12),IF(M12&gt;$G$5,N12,+G12))+R12-S12,"N/A")</f>
        <v>N/A</v>
      </c>
      <c r="AB12" s="33">
        <f t="shared" ref="AB12" si="17">ROUND(IF(OR(B12="b",B12="st",D12&lt;&gt;6),IF(OR(L12="",ISBLANK(L12)),Z12,L12*H12)),2)</f>
        <v>0</v>
      </c>
      <c r="AC12" s="92" t="str">
        <f t="shared" ref="AC12" si="18">CONCATENATE(B12,".",C12,".")</f>
        <v>..</v>
      </c>
      <c r="AD12" s="92" t="str">
        <f t="shared" ref="AD12" si="19">IF(C12=10,"",IF(M12&gt;datepy,MONTH(M12),""))</f>
        <v/>
      </c>
      <c r="AE12" s="92" t="str">
        <f t="shared" ref="AE12" si="20">IF(ISBLANK(U12),"",MONTH(U12))</f>
        <v/>
      </c>
      <c r="AF12" s="92" t="str">
        <f t="shared" ref="AF12" si="21">AC12&amp;IF(M12&gt;datepy,TRUE,FALSE)</f>
        <v>..FALSE</v>
      </c>
      <c r="AG12" s="92" t="str">
        <f t="shared" ref="AG12" si="22">AC12&amp;IF(AND(W12&gt;0,B12&lt;&gt;"ST"),TRUE,FALSE)</f>
        <v>..FALSE</v>
      </c>
      <c r="AH12" s="14" t="b">
        <f t="shared" ref="AH12:AH13" si="23">IF(AND(OR(X12&gt;0,Y12&gt;0),IF(ISNONTEXT(U12),U12,0)-IF(ISNONTEXT(M12),M12,0)&lt;365),IF(M12="","TrueCapGain",TRUE),FALSE)</f>
        <v>0</v>
      </c>
      <c r="AI12" s="14" t="b">
        <f t="shared" ref="AI12:AI13" si="24">IF(AND(OR(X12&gt;0,Y12&gt;0),IF(ISNONTEXT(U12),U12,0)-IF(ISNONTEXT(M12),M12,0)&gt;366),IF(M12="","TrueCapGain",TRUE),FALSE)</f>
        <v>0</v>
      </c>
      <c r="AK12" s="23"/>
      <c r="AW12" s="31"/>
    </row>
    <row r="13" spans="1:73" x14ac:dyDescent="0.2">
      <c r="A13" s="92">
        <f>COUNTA(AC13:AC$14)</f>
        <v>1</v>
      </c>
      <c r="B13" s="106" t="s">
        <v>46</v>
      </c>
      <c r="C13" s="106">
        <v>10</v>
      </c>
      <c r="D13" s="19">
        <v>1</v>
      </c>
      <c r="E13" s="206">
        <v>1121</v>
      </c>
      <c r="F13" s="125" t="s">
        <v>228</v>
      </c>
      <c r="G13" s="110">
        <f xml:space="preserve"> MMEnd</f>
        <v>0</v>
      </c>
      <c r="H13" s="110">
        <f xml:space="preserve"> MMEnd</f>
        <v>0</v>
      </c>
      <c r="I13" s="135"/>
      <c r="J13" s="111">
        <f>DATE(YEAR(date)+1,MONTH(date),DAY(date))</f>
        <v>42735</v>
      </c>
      <c r="K13" s="20">
        <v>0</v>
      </c>
      <c r="L13" s="112">
        <v>1</v>
      </c>
      <c r="M13" s="111">
        <f>datepy</f>
        <v>42004</v>
      </c>
      <c r="N13" s="112">
        <f>+G13</f>
        <v>0</v>
      </c>
      <c r="O13" s="243">
        <f>date</f>
        <v>42369</v>
      </c>
      <c r="P13" s="35">
        <f t="shared" si="11"/>
        <v>0</v>
      </c>
      <c r="Q13" s="199"/>
      <c r="R13" s="35">
        <f>IF(H13="",0,ROUND(IF(ISTEXT(U13),0,IF(ISTEXT(M13),0,IF(OR(B13="b",B13="st"),MAX(-G13+((H13-N13)/(J13-M13)*IF(AND(U13&lt;$G$4,U13&gt;$G$5),(U13-M13),($G$4-M13))+N13),0)))),2))*IF(AND($B13="b",$C13=4),0,1)</f>
        <v>0</v>
      </c>
      <c r="S13" s="35">
        <f>IF(H13="",0,ROUND(IF(ISTEXT(U13),0,IF(ISTEXT(M13),0,IF(OR(B13="b",B13="st"),MAX(+G13-((H13-N13)/(J13-M13)*IF(AND(U13&lt;$G$4,U13&gt;$G$5),(U13-M13),($G$4-M13))+N13),0)))),2))*IF(AND($B13="b",$C13=4),0,1)</f>
        <v>0</v>
      </c>
      <c r="T13" s="181"/>
      <c r="U13" s="25"/>
      <c r="V13" s="34"/>
      <c r="W13" s="35">
        <f t="shared" ref="W13" si="25">ROUND(IF(M13&gt;$G$5,N13,G13)+R13-S13-Y13+X13-V13,2)</f>
        <v>0</v>
      </c>
      <c r="X13" s="15">
        <f t="shared" ref="X13" si="26">ROUND(IF(U13="",0,MAX(-(IF(ISTEXT(M13),IF(M13="cypur",N13,G13),IF(M13&gt;$G$5,N13,G13))+R13-S13-V13),0)),2)</f>
        <v>0</v>
      </c>
      <c r="Y13" s="15">
        <f t="shared" ref="Y13" si="27">ROUND(IF(U13="",0,MAX(IF(ISTEXT(M13),IF(M13="cypur",N13,G13),IF(M13&gt;$G$5,N13,G13))+R13-S13-V13,0)),2)</f>
        <v>0</v>
      </c>
      <c r="Z13" s="32">
        <f t="shared" ref="Z13" si="28">ROUND(IF(AND(B13="C",OR(U13="",U13="'")),L13*H13,IF(M13&gt;$G$5,N13,+G13)+R13-S13-Y13+X13-V13),2)</f>
        <v>0</v>
      </c>
      <c r="AA13" s="32" t="str">
        <f t="shared" ref="AA13" si="29">IF(U13&lt;&gt;"",IF(ISTEXT(M13),IF(M13="cypur",N13,G13),IF(M13&gt;$G$5,N13,+G13))+R13-S13,"N/A")</f>
        <v>N/A</v>
      </c>
      <c r="AB13" s="33">
        <f t="shared" ref="AB13" si="30">ROUND(IF(OR(B13="b",B13="st",D13&lt;&gt;6),IF(OR(L13="",ISBLANK(L13)),Z13,L13*H13)),2)</f>
        <v>0</v>
      </c>
      <c r="AC13" s="92" t="str">
        <f t="shared" ref="AC13" si="31">CONCATENATE(B13,".",C13,".")</f>
        <v>ST.10.</v>
      </c>
      <c r="AD13" s="92" t="str">
        <f t="shared" ref="AD13" si="32">IF(C13=10,"",IF(M13&gt;datepy,MONTH(M13),""))</f>
        <v/>
      </c>
      <c r="AE13" s="92" t="str">
        <f t="shared" ref="AE13" si="33">IF(ISBLANK(U13),"",MONTH(U13))</f>
        <v/>
      </c>
      <c r="AF13" s="92" t="str">
        <f t="shared" ref="AF13" si="34">AC13&amp;IF(M13&gt;datepy,TRUE,FALSE)</f>
        <v>ST.10.FALSE</v>
      </c>
      <c r="AG13" s="92" t="str">
        <f t="shared" ref="AG13" si="35">AC13&amp;IF(AND(W13&gt;0,B13&lt;&gt;"ST"),TRUE,FALSE)</f>
        <v>ST.10.FALSE</v>
      </c>
      <c r="AH13" s="14" t="b">
        <f t="shared" si="23"/>
        <v>0</v>
      </c>
      <c r="AI13" s="14" t="b">
        <f t="shared" si="24"/>
        <v>0</v>
      </c>
      <c r="AK13" s="23"/>
      <c r="AQ13" s="36"/>
      <c r="AR13" s="44"/>
      <c r="AS13" s="36"/>
      <c r="AT13" s="36"/>
      <c r="AU13" s="36"/>
      <c r="AV13" s="36"/>
      <c r="AW13" s="36"/>
      <c r="AX13" s="36"/>
      <c r="AY13" s="36"/>
      <c r="AZ13" s="36"/>
      <c r="BA13" s="44"/>
      <c r="BB13" s="36"/>
      <c r="BC13" s="36"/>
      <c r="BD13" s="36"/>
      <c r="BE13" s="36"/>
      <c r="BF13" s="36"/>
    </row>
    <row r="14" spans="1:73" x14ac:dyDescent="0.2">
      <c r="A14" s="6"/>
      <c r="E14" s="2"/>
      <c r="F14" s="2"/>
      <c r="G14" s="18"/>
      <c r="H14" s="18"/>
      <c r="I14" s="135"/>
      <c r="J14" s="28"/>
      <c r="K14" s="4"/>
      <c r="L14" s="18"/>
      <c r="M14" s="29"/>
      <c r="N14" s="2"/>
      <c r="O14" s="197"/>
      <c r="Q14" s="11"/>
      <c r="R14" s="175"/>
      <c r="S14" s="175"/>
      <c r="T14" s="181"/>
      <c r="U14" s="28"/>
      <c r="X14" s="6"/>
      <c r="Y14" s="6"/>
      <c r="Z14" s="6"/>
      <c r="AA14" s="6"/>
      <c r="AB14" s="6"/>
      <c r="AC14" s="6"/>
      <c r="AD14" s="6"/>
      <c r="AE14" s="6"/>
      <c r="AF14" s="6"/>
      <c r="AG14" s="6"/>
      <c r="AK14" s="23"/>
      <c r="AW14" s="31"/>
    </row>
    <row r="15" spans="1:73" x14ac:dyDescent="0.2">
      <c r="A15" s="6"/>
      <c r="B15" s="16" t="b">
        <v>1</v>
      </c>
      <c r="E15" s="2"/>
      <c r="F15" s="2"/>
      <c r="G15" s="18"/>
      <c r="H15" s="18"/>
      <c r="I15" s="135"/>
      <c r="J15" s="28"/>
      <c r="K15" s="4"/>
      <c r="L15" s="174"/>
      <c r="M15" s="29"/>
      <c r="N15" s="103" t="s">
        <v>77</v>
      </c>
      <c r="O15" s="197"/>
      <c r="P15" s="99"/>
      <c r="Q15" s="176"/>
      <c r="R15" s="176" t="s">
        <v>76</v>
      </c>
      <c r="S15" s="177" t="s">
        <v>77</v>
      </c>
      <c r="T15" s="195"/>
      <c r="U15" s="101"/>
      <c r="V15" s="99"/>
      <c r="W15" s="99"/>
      <c r="X15" s="100" t="s">
        <v>76</v>
      </c>
      <c r="Y15" s="99" t="s">
        <v>77</v>
      </c>
      <c r="Z15" s="100"/>
      <c r="AA15" s="100" t="s">
        <v>76</v>
      </c>
      <c r="AB15" s="100"/>
      <c r="AC15" s="6"/>
      <c r="AD15" s="6"/>
      <c r="AE15" s="6"/>
      <c r="AF15" s="6"/>
      <c r="AG15" s="6"/>
      <c r="AK15" s="23"/>
      <c r="AW15" s="31"/>
    </row>
    <row r="16" spans="1:73" x14ac:dyDescent="0.2">
      <c r="B16" s="7" t="s">
        <v>59</v>
      </c>
      <c r="E16" s="107" t="s">
        <v>98</v>
      </c>
      <c r="F16" s="2" t="s">
        <v>68</v>
      </c>
      <c r="G16" s="113">
        <f>SUMIF($AC$11:$AC$14,$B16,G$11:G$14)</f>
        <v>0</v>
      </c>
      <c r="H16" s="113"/>
      <c r="I16" s="139"/>
      <c r="J16" s="113"/>
      <c r="K16" s="113"/>
      <c r="L16" s="113"/>
      <c r="M16" s="114"/>
      <c r="N16" s="113">
        <f>SUMIF($AF$11:$AF$14,$B16&amp;$B$15,N$11:N$14)</f>
        <v>0</v>
      </c>
      <c r="O16" s="198"/>
      <c r="P16" s="113">
        <f>SUMIF($AC$11:$AC$14,$B16,P$11:P$14)</f>
        <v>0</v>
      </c>
      <c r="Q16" s="176"/>
      <c r="R16" s="178">
        <f t="shared" ref="R16:S20" si="36">SUMIF($AC$11:$AC$14,$B16,R$11:R$14)</f>
        <v>0</v>
      </c>
      <c r="S16" s="178">
        <f t="shared" si="36"/>
        <v>0</v>
      </c>
      <c r="T16" s="178"/>
      <c r="U16" s="113"/>
      <c r="V16" s="113">
        <f t="shared" ref="V16:AB20" si="37">SUMIF($AC$11:$AC$14,$B16,V$11:V$14)</f>
        <v>0</v>
      </c>
      <c r="W16" s="113">
        <f t="shared" si="37"/>
        <v>0</v>
      </c>
      <c r="X16" s="113">
        <f t="shared" si="37"/>
        <v>0</v>
      </c>
      <c r="Y16" s="113">
        <f t="shared" si="37"/>
        <v>0</v>
      </c>
      <c r="Z16" s="113">
        <f t="shared" si="37"/>
        <v>0</v>
      </c>
      <c r="AA16" s="113">
        <f t="shared" si="37"/>
        <v>0</v>
      </c>
      <c r="AB16" s="113">
        <f t="shared" si="37"/>
        <v>0</v>
      </c>
      <c r="AC16" s="6"/>
      <c r="AD16" s="6"/>
      <c r="AE16" s="6"/>
      <c r="AF16" s="6"/>
      <c r="AG16" s="6"/>
      <c r="AK16" s="23"/>
      <c r="AW16" s="31"/>
    </row>
    <row r="17" spans="1:49" x14ac:dyDescent="0.2">
      <c r="B17" s="16" t="s">
        <v>60</v>
      </c>
      <c r="E17" s="107" t="s">
        <v>99</v>
      </c>
      <c r="F17" s="2" t="s">
        <v>69</v>
      </c>
      <c r="G17" s="113">
        <f>SUMIF($AC$11:$AC$14,$B17,G$11:G$14)</f>
        <v>0</v>
      </c>
      <c r="H17" s="113"/>
      <c r="I17" s="139"/>
      <c r="J17" s="113"/>
      <c r="K17" s="113"/>
      <c r="L17" s="113"/>
      <c r="M17" s="114"/>
      <c r="N17" s="113">
        <f>SUMIF($AF$11:$AF$14,$B17&amp;$B$15,N$11:N$14)</f>
        <v>0</v>
      </c>
      <c r="O17" s="198"/>
      <c r="P17" s="113">
        <f>SUMIF($AC$11:$AC$14,$B17,P$11:P$14)</f>
        <v>0</v>
      </c>
      <c r="Q17" s="176"/>
      <c r="R17" s="178">
        <f t="shared" si="36"/>
        <v>0</v>
      </c>
      <c r="S17" s="178">
        <f t="shared" si="36"/>
        <v>0</v>
      </c>
      <c r="T17" s="178"/>
      <c r="U17" s="113"/>
      <c r="V17" s="113">
        <f t="shared" si="37"/>
        <v>0</v>
      </c>
      <c r="W17" s="113">
        <f t="shared" si="37"/>
        <v>0</v>
      </c>
      <c r="X17" s="113">
        <f t="shared" si="37"/>
        <v>0</v>
      </c>
      <c r="Y17" s="113">
        <f t="shared" si="37"/>
        <v>0</v>
      </c>
      <c r="Z17" s="113">
        <f t="shared" si="37"/>
        <v>0</v>
      </c>
      <c r="AA17" s="113">
        <f t="shared" si="37"/>
        <v>0</v>
      </c>
      <c r="AB17" s="113">
        <f t="shared" si="37"/>
        <v>0</v>
      </c>
      <c r="AC17" s="6"/>
      <c r="AD17" s="6"/>
      <c r="AE17" s="6"/>
      <c r="AF17" s="6"/>
      <c r="AG17" s="6"/>
      <c r="AK17" s="23"/>
      <c r="AW17" s="31"/>
    </row>
    <row r="18" spans="1:49" x14ac:dyDescent="0.2">
      <c r="B18" s="16" t="s">
        <v>61</v>
      </c>
      <c r="E18" s="107" t="s">
        <v>99</v>
      </c>
      <c r="F18" s="2" t="s">
        <v>70</v>
      </c>
      <c r="G18" s="113">
        <f>SUMIF($AC$11:$AC$14,$B18,G$11:G$14)</f>
        <v>0</v>
      </c>
      <c r="H18" s="113"/>
      <c r="I18" s="139"/>
      <c r="J18" s="113"/>
      <c r="K18" s="113"/>
      <c r="L18" s="113"/>
      <c r="M18" s="114"/>
      <c r="N18" s="113">
        <f>SUMIF($AF$11:$AF$14,$B18&amp;$B$15,N$11:N$14)</f>
        <v>0</v>
      </c>
      <c r="O18" s="198"/>
      <c r="P18" s="113">
        <f>SUMIF($AC$11:$AC$14,$B18,P$11:P$14)</f>
        <v>0</v>
      </c>
      <c r="Q18" s="176"/>
      <c r="R18" s="178">
        <f t="shared" si="36"/>
        <v>0</v>
      </c>
      <c r="S18" s="178">
        <f t="shared" si="36"/>
        <v>0</v>
      </c>
      <c r="T18" s="178"/>
      <c r="U18" s="113"/>
      <c r="V18" s="113">
        <f t="shared" si="37"/>
        <v>0</v>
      </c>
      <c r="W18" s="113">
        <f t="shared" si="37"/>
        <v>0</v>
      </c>
      <c r="X18" s="113">
        <f t="shared" si="37"/>
        <v>0</v>
      </c>
      <c r="Y18" s="113">
        <f t="shared" si="37"/>
        <v>0</v>
      </c>
      <c r="Z18" s="113">
        <f t="shared" si="37"/>
        <v>0</v>
      </c>
      <c r="AA18" s="113">
        <f t="shared" si="37"/>
        <v>0</v>
      </c>
      <c r="AB18" s="113">
        <f t="shared" si="37"/>
        <v>0</v>
      </c>
      <c r="AC18" s="6"/>
      <c r="AD18" s="6"/>
      <c r="AE18" s="6"/>
      <c r="AF18" s="6"/>
      <c r="AG18" s="6"/>
      <c r="AK18" s="23"/>
    </row>
    <row r="19" spans="1:49" x14ac:dyDescent="0.2">
      <c r="B19" s="16" t="s">
        <v>62</v>
      </c>
      <c r="E19" s="107" t="s">
        <v>100</v>
      </c>
      <c r="F19" s="2" t="s">
        <v>71</v>
      </c>
      <c r="G19" s="113">
        <f>SUMIF($AC$11:$AC$14,$B19,G$11:G$14)</f>
        <v>0</v>
      </c>
      <c r="H19" s="113"/>
      <c r="I19" s="139"/>
      <c r="J19" s="113"/>
      <c r="K19" s="113"/>
      <c r="L19" s="113"/>
      <c r="M19" s="114"/>
      <c r="N19" s="113">
        <f>SUMIF($AF$11:$AF$14,$B19&amp;$B$15,N$11:N$14)</f>
        <v>0</v>
      </c>
      <c r="O19" s="198"/>
      <c r="P19" s="113">
        <f>SUMIF($AC$11:$AC$14,$B19,P$11:P$14)</f>
        <v>0</v>
      </c>
      <c r="Q19" s="176"/>
      <c r="R19" s="178">
        <f t="shared" si="36"/>
        <v>0</v>
      </c>
      <c r="S19" s="178">
        <f t="shared" si="36"/>
        <v>0</v>
      </c>
      <c r="T19" s="178"/>
      <c r="U19" s="113"/>
      <c r="V19" s="113">
        <f t="shared" si="37"/>
        <v>0</v>
      </c>
      <c r="W19" s="113">
        <f t="shared" si="37"/>
        <v>0</v>
      </c>
      <c r="X19" s="113">
        <f t="shared" si="37"/>
        <v>0</v>
      </c>
      <c r="Y19" s="113">
        <f t="shared" si="37"/>
        <v>0</v>
      </c>
      <c r="Z19" s="113">
        <f t="shared" si="37"/>
        <v>0</v>
      </c>
      <c r="AA19" s="113">
        <f t="shared" si="37"/>
        <v>0</v>
      </c>
      <c r="AB19" s="113">
        <f t="shared" si="37"/>
        <v>0</v>
      </c>
      <c r="AC19" s="6"/>
      <c r="AD19" s="6"/>
      <c r="AE19" s="6"/>
      <c r="AF19" s="6"/>
      <c r="AG19" s="6"/>
      <c r="AK19" s="23"/>
    </row>
    <row r="20" spans="1:49" x14ac:dyDescent="0.2">
      <c r="B20" s="16" t="s">
        <v>63</v>
      </c>
      <c r="E20" s="107" t="s">
        <v>101</v>
      </c>
      <c r="F20" s="1" t="s">
        <v>112</v>
      </c>
      <c r="G20" s="113">
        <f>SUMIF($AC$11:$AC$14,$B20,G$11:G$14)</f>
        <v>0</v>
      </c>
      <c r="H20" s="113"/>
      <c r="I20" s="139"/>
      <c r="J20" s="113"/>
      <c r="K20" s="113"/>
      <c r="L20" s="113"/>
      <c r="M20" s="114"/>
      <c r="N20" s="113">
        <f>SUMIF($AF$11:$AF$14,$B20&amp;$B$15,N$11:N$14)</f>
        <v>0</v>
      </c>
      <c r="O20" s="198"/>
      <c r="P20" s="113">
        <f>SUMIF($AC$11:$AC$14,$B20,P$11:P$14)</f>
        <v>0</v>
      </c>
      <c r="Q20" s="176"/>
      <c r="R20" s="178">
        <f t="shared" si="36"/>
        <v>0</v>
      </c>
      <c r="S20" s="178">
        <f t="shared" si="36"/>
        <v>0</v>
      </c>
      <c r="T20" s="178"/>
      <c r="U20" s="113"/>
      <c r="V20" s="113">
        <f t="shared" si="37"/>
        <v>0</v>
      </c>
      <c r="W20" s="113">
        <f t="shared" si="37"/>
        <v>0</v>
      </c>
      <c r="X20" s="113">
        <f t="shared" si="37"/>
        <v>0</v>
      </c>
      <c r="Y20" s="113">
        <f t="shared" si="37"/>
        <v>0</v>
      </c>
      <c r="Z20" s="113">
        <f t="shared" si="37"/>
        <v>0</v>
      </c>
      <c r="AA20" s="113">
        <f t="shared" si="37"/>
        <v>0</v>
      </c>
      <c r="AB20" s="113">
        <f t="shared" si="37"/>
        <v>0</v>
      </c>
      <c r="AC20" s="6"/>
      <c r="AD20" s="6"/>
      <c r="AE20" s="6"/>
      <c r="AF20" s="6"/>
      <c r="AG20" s="6"/>
      <c r="AK20" s="23"/>
      <c r="AW20" s="31"/>
    </row>
    <row r="21" spans="1:49" x14ac:dyDescent="0.2">
      <c r="E21" s="6"/>
      <c r="F21" s="95" t="s">
        <v>72</v>
      </c>
      <c r="G21" s="115">
        <f>SUM(G16:G20)</f>
        <v>0</v>
      </c>
      <c r="H21" s="113"/>
      <c r="I21" s="139"/>
      <c r="J21" s="116"/>
      <c r="K21" s="113"/>
      <c r="L21" s="113"/>
      <c r="M21" s="114"/>
      <c r="N21" s="115">
        <f>SUM(N16:N20)</f>
        <v>0</v>
      </c>
      <c r="O21" s="198"/>
      <c r="P21" s="115">
        <f>SUM(P16:P20)</f>
        <v>0</v>
      </c>
      <c r="Q21" s="176"/>
      <c r="R21" s="179">
        <f>SUM(R16:R20)</f>
        <v>0</v>
      </c>
      <c r="S21" s="179">
        <f>SUM(S16:S20)</f>
        <v>0</v>
      </c>
      <c r="T21" s="179"/>
      <c r="U21" s="116"/>
      <c r="V21" s="115">
        <f t="shared" ref="V21:AB21" si="38">SUM(V16:V20)</f>
        <v>0</v>
      </c>
      <c r="W21" s="115">
        <f t="shared" si="38"/>
        <v>0</v>
      </c>
      <c r="X21" s="115">
        <f t="shared" si="38"/>
        <v>0</v>
      </c>
      <c r="Y21" s="115">
        <f t="shared" si="38"/>
        <v>0</v>
      </c>
      <c r="Z21" s="115">
        <f t="shared" si="38"/>
        <v>0</v>
      </c>
      <c r="AA21" s="115">
        <f t="shared" si="38"/>
        <v>0</v>
      </c>
      <c r="AB21" s="115">
        <f t="shared" si="38"/>
        <v>0</v>
      </c>
      <c r="AC21" s="6"/>
      <c r="AD21" s="6"/>
      <c r="AE21" s="6"/>
      <c r="AF21" s="6"/>
      <c r="AG21" s="6"/>
      <c r="AW21" s="31"/>
    </row>
    <row r="22" spans="1:49" x14ac:dyDescent="0.2">
      <c r="E22" s="6"/>
      <c r="F22" s="2"/>
      <c r="G22" s="113"/>
      <c r="H22" s="113"/>
      <c r="I22" s="139"/>
      <c r="J22" s="113"/>
      <c r="K22" s="113"/>
      <c r="L22" s="113"/>
      <c r="M22" s="114"/>
      <c r="N22" s="113"/>
      <c r="O22" s="198"/>
      <c r="P22" s="113"/>
      <c r="Q22" s="176"/>
      <c r="R22" s="178"/>
      <c r="S22" s="178"/>
      <c r="T22" s="178"/>
      <c r="U22" s="113"/>
      <c r="V22" s="113"/>
      <c r="W22" s="113"/>
      <c r="X22" s="113"/>
      <c r="Y22" s="113"/>
      <c r="Z22" s="113"/>
      <c r="AA22" s="113"/>
      <c r="AB22" s="113"/>
      <c r="AC22" s="6"/>
      <c r="AD22" s="6"/>
      <c r="AE22" s="6"/>
      <c r="AF22" s="6"/>
      <c r="AG22" s="6"/>
      <c r="AW22" s="31"/>
    </row>
    <row r="23" spans="1:49" x14ac:dyDescent="0.2">
      <c r="B23" s="7" t="s">
        <v>64</v>
      </c>
      <c r="E23" s="107" t="s">
        <v>102</v>
      </c>
      <c r="F23" s="2" t="s">
        <v>81</v>
      </c>
      <c r="G23" s="113">
        <f>SUMIF($AC$11:$AC$14,$B23,G$11:G$14)</f>
        <v>0</v>
      </c>
      <c r="H23" s="113"/>
      <c r="I23" s="139"/>
      <c r="J23" s="113"/>
      <c r="K23" s="113"/>
      <c r="L23" s="113"/>
      <c r="M23" s="114"/>
      <c r="N23" s="113">
        <f>SUMIF($AF$11:$AF$14,$B23&amp;$B$15,N$11:N$14)</f>
        <v>0</v>
      </c>
      <c r="O23" s="198"/>
      <c r="P23" s="113">
        <f>SUMIF($AC$11:$AC$14,$B23,P$11:P$14)</f>
        <v>0</v>
      </c>
      <c r="Q23" s="176"/>
      <c r="R23" s="178">
        <f>SUMIF($AC$11:$AC$14,$B23,R$11:R$14)</f>
        <v>0</v>
      </c>
      <c r="S23" s="178">
        <f>SUMIF($AC$11:$AC$14,$B23,S$11:S$14)</f>
        <v>0</v>
      </c>
      <c r="T23" s="178"/>
      <c r="U23" s="113"/>
      <c r="V23" s="113">
        <f t="shared" ref="V23:AB24" si="39">SUMIF($AC$11:$AC$14,$B23,V$11:V$14)</f>
        <v>0</v>
      </c>
      <c r="W23" s="113">
        <f t="shared" si="39"/>
        <v>0</v>
      </c>
      <c r="X23" s="113">
        <f t="shared" si="39"/>
        <v>0</v>
      </c>
      <c r="Y23" s="113">
        <f t="shared" si="39"/>
        <v>0</v>
      </c>
      <c r="Z23" s="113">
        <f t="shared" si="39"/>
        <v>0</v>
      </c>
      <c r="AA23" s="113">
        <f t="shared" si="39"/>
        <v>0</v>
      </c>
      <c r="AB23" s="113">
        <f t="shared" si="39"/>
        <v>0</v>
      </c>
      <c r="AC23" s="6"/>
      <c r="AD23" s="6"/>
      <c r="AE23" s="6"/>
      <c r="AF23" s="6"/>
      <c r="AG23" s="6"/>
      <c r="AW23" s="31"/>
    </row>
    <row r="24" spans="1:49" x14ac:dyDescent="0.2">
      <c r="B24" s="16" t="s">
        <v>65</v>
      </c>
      <c r="E24" s="107" t="s">
        <v>103</v>
      </c>
      <c r="F24" s="2" t="s">
        <v>82</v>
      </c>
      <c r="G24" s="113">
        <f>SUMIF($AC$11:$AC$14,$B24,G$11:G$14)</f>
        <v>0</v>
      </c>
      <c r="H24" s="113"/>
      <c r="I24" s="139"/>
      <c r="J24" s="113"/>
      <c r="K24" s="113"/>
      <c r="L24" s="113"/>
      <c r="M24" s="114"/>
      <c r="N24" s="113">
        <f>SUMIF($AF$11:$AF$14,$B24&amp;$B$15,N$11:N$14)</f>
        <v>0</v>
      </c>
      <c r="O24" s="198"/>
      <c r="P24" s="113">
        <f>SUMIF($AC$11:$AC$14,$B24,P$11:P$14)</f>
        <v>0</v>
      </c>
      <c r="Q24" s="176"/>
      <c r="R24" s="178">
        <f>SUMIF($AC$11:$AC$14,$B24,R$11:R$14)</f>
        <v>0</v>
      </c>
      <c r="S24" s="178">
        <f>SUMIF($AC$11:$AC$14,$B24,S$11:S$14)</f>
        <v>0</v>
      </c>
      <c r="T24" s="178"/>
      <c r="U24" s="113"/>
      <c r="V24" s="113">
        <f t="shared" si="39"/>
        <v>0</v>
      </c>
      <c r="W24" s="113">
        <f t="shared" si="39"/>
        <v>0</v>
      </c>
      <c r="X24" s="113">
        <f t="shared" si="39"/>
        <v>0</v>
      </c>
      <c r="Y24" s="113">
        <f t="shared" si="39"/>
        <v>0</v>
      </c>
      <c r="Z24" s="113">
        <f t="shared" si="39"/>
        <v>0</v>
      </c>
      <c r="AA24" s="113">
        <f t="shared" si="39"/>
        <v>0</v>
      </c>
      <c r="AB24" s="113">
        <f t="shared" si="39"/>
        <v>0</v>
      </c>
      <c r="AC24" s="6"/>
      <c r="AD24" s="6"/>
      <c r="AE24" s="6"/>
      <c r="AF24" s="6"/>
      <c r="AG24" s="6"/>
      <c r="AW24" s="31"/>
    </row>
    <row r="25" spans="1:49" x14ac:dyDescent="0.2">
      <c r="B25" s="7"/>
      <c r="E25" s="6"/>
      <c r="F25" s="96" t="s">
        <v>73</v>
      </c>
      <c r="G25" s="115">
        <f>SUM(G23:G24)</f>
        <v>0</v>
      </c>
      <c r="H25" s="113"/>
      <c r="I25" s="139"/>
      <c r="J25" s="117"/>
      <c r="K25" s="113"/>
      <c r="L25" s="113"/>
      <c r="M25" s="114"/>
      <c r="N25" s="115">
        <f>SUM(N23:N24)</f>
        <v>0</v>
      </c>
      <c r="O25" s="198"/>
      <c r="P25" s="115">
        <f>SUM(P23:P24)</f>
        <v>0</v>
      </c>
      <c r="Q25" s="176"/>
      <c r="R25" s="179">
        <f>SUM(R23:R24)</f>
        <v>0</v>
      </c>
      <c r="S25" s="179">
        <f>SUM(S23:S24)</f>
        <v>0</v>
      </c>
      <c r="T25" s="179"/>
      <c r="U25" s="117"/>
      <c r="V25" s="115">
        <f t="shared" ref="V25:AB25" si="40">SUM(V23:V24)</f>
        <v>0</v>
      </c>
      <c r="W25" s="115">
        <f t="shared" si="40"/>
        <v>0</v>
      </c>
      <c r="X25" s="115">
        <f t="shared" si="40"/>
        <v>0</v>
      </c>
      <c r="Y25" s="115">
        <f t="shared" si="40"/>
        <v>0</v>
      </c>
      <c r="Z25" s="115">
        <f t="shared" si="40"/>
        <v>0</v>
      </c>
      <c r="AA25" s="115">
        <f t="shared" si="40"/>
        <v>0</v>
      </c>
      <c r="AB25" s="115">
        <f t="shared" si="40"/>
        <v>0</v>
      </c>
      <c r="AC25" s="6"/>
      <c r="AD25" s="6"/>
      <c r="AE25" s="6"/>
      <c r="AF25" s="6"/>
      <c r="AG25" s="6"/>
    </row>
    <row r="26" spans="1:49" x14ac:dyDescent="0.2">
      <c r="E26" s="6"/>
      <c r="F26" s="2"/>
      <c r="G26" s="113"/>
      <c r="H26" s="113"/>
      <c r="I26" s="139"/>
      <c r="J26" s="113"/>
      <c r="K26" s="113"/>
      <c r="L26" s="113"/>
      <c r="M26" s="114"/>
      <c r="N26" s="113"/>
      <c r="O26" s="198"/>
      <c r="P26" s="113"/>
      <c r="Q26" s="176"/>
      <c r="R26" s="178"/>
      <c r="S26" s="178"/>
      <c r="T26" s="178"/>
      <c r="U26" s="113"/>
      <c r="V26" s="113"/>
      <c r="W26" s="113"/>
      <c r="X26" s="113"/>
      <c r="Y26" s="113"/>
      <c r="Z26" s="113"/>
      <c r="AA26" s="113"/>
      <c r="AB26" s="113"/>
      <c r="AC26" s="6"/>
      <c r="AD26" s="6"/>
      <c r="AE26" s="6"/>
      <c r="AF26" s="6"/>
      <c r="AG26" s="6"/>
    </row>
    <row r="27" spans="1:49" x14ac:dyDescent="0.2">
      <c r="B27" s="7" t="s">
        <v>66</v>
      </c>
      <c r="E27" s="107" t="s">
        <v>104</v>
      </c>
      <c r="F27" s="2" t="s">
        <v>83</v>
      </c>
      <c r="G27" s="115">
        <f>SUMIF($AC$11:$AC$14,$B27,G$11:G$14)</f>
        <v>0</v>
      </c>
      <c r="H27" s="113"/>
      <c r="I27" s="139"/>
      <c r="J27" s="113"/>
      <c r="K27" s="113"/>
      <c r="L27" s="113"/>
      <c r="M27" s="114"/>
      <c r="N27" s="115">
        <f>SUMIF($AF$11:$AF$14,$B27&amp;$B$15,N$11:N$14)</f>
        <v>0</v>
      </c>
      <c r="O27" s="198"/>
      <c r="P27" s="115">
        <f>SUMIF($AC$11:$AC$14,$B27,P$11:P$14)</f>
        <v>0</v>
      </c>
      <c r="Q27" s="176"/>
      <c r="R27" s="179">
        <f>SUMIF($AC$11:$AC$14,$B27,R$11:R$14)</f>
        <v>0</v>
      </c>
      <c r="S27" s="179">
        <f>SUMIF($AC$11:$AC$14,$B27,S$11:S$14)</f>
        <v>0</v>
      </c>
      <c r="T27" s="179"/>
      <c r="U27" s="113"/>
      <c r="V27" s="115">
        <f t="shared" ref="V27:AB27" si="41">SUMIF($AC$11:$AC$14,$B27,V$11:V$14)</f>
        <v>0</v>
      </c>
      <c r="W27" s="115">
        <f t="shared" si="41"/>
        <v>0</v>
      </c>
      <c r="X27" s="115">
        <f t="shared" si="41"/>
        <v>0</v>
      </c>
      <c r="Y27" s="115">
        <f t="shared" si="41"/>
        <v>0</v>
      </c>
      <c r="Z27" s="115">
        <f t="shared" si="41"/>
        <v>0</v>
      </c>
      <c r="AA27" s="115">
        <f t="shared" si="41"/>
        <v>0</v>
      </c>
      <c r="AB27" s="115">
        <f t="shared" si="41"/>
        <v>0</v>
      </c>
      <c r="AC27" s="6"/>
      <c r="AD27" s="6"/>
      <c r="AE27" s="6"/>
      <c r="AF27" s="6"/>
      <c r="AG27" s="6"/>
    </row>
    <row r="28" spans="1:49" x14ac:dyDescent="0.2">
      <c r="A28" s="6"/>
      <c r="E28" s="2"/>
      <c r="F28" s="2"/>
      <c r="G28" s="113"/>
      <c r="H28" s="113"/>
      <c r="I28" s="139"/>
      <c r="J28" s="113"/>
      <c r="K28" s="113"/>
      <c r="L28" s="113"/>
      <c r="M28" s="114"/>
      <c r="N28" s="113"/>
      <c r="O28" s="198"/>
      <c r="P28" s="113"/>
      <c r="Q28" s="176"/>
      <c r="R28" s="178"/>
      <c r="S28" s="178"/>
      <c r="T28" s="178"/>
      <c r="U28" s="113"/>
      <c r="V28" s="113"/>
      <c r="W28" s="113"/>
      <c r="X28" s="113"/>
      <c r="Y28" s="113"/>
      <c r="Z28" s="113"/>
      <c r="AA28" s="113"/>
      <c r="AB28" s="113"/>
      <c r="AC28" s="6"/>
      <c r="AD28" s="6"/>
      <c r="AE28" s="6"/>
      <c r="AF28" s="6"/>
      <c r="AG28" s="6"/>
    </row>
    <row r="29" spans="1:49" x14ac:dyDescent="0.2">
      <c r="A29" s="6"/>
      <c r="B29" s="7" t="s">
        <v>67</v>
      </c>
      <c r="E29" s="107" t="s">
        <v>105</v>
      </c>
      <c r="F29" s="1" t="s">
        <v>85</v>
      </c>
      <c r="G29" s="113">
        <f t="shared" ref="G29:G36" si="42">SUMIF($AC$11:$AC$14,$B29,G$11:G$14)</f>
        <v>0</v>
      </c>
      <c r="H29" s="113"/>
      <c r="I29" s="139"/>
      <c r="J29" s="113"/>
      <c r="K29" s="113"/>
      <c r="L29" s="113"/>
      <c r="M29" s="114"/>
      <c r="N29" s="113">
        <f t="shared" ref="N29:N36" si="43">SUMIF($AF$11:$AF$14,$B29&amp;$B$15,N$11:N$14)</f>
        <v>0</v>
      </c>
      <c r="O29" s="198"/>
      <c r="P29" s="113">
        <f t="shared" ref="P29:P36" si="44">SUMIF($AC$11:$AC$14,$B29,P$11:P$14)</f>
        <v>0</v>
      </c>
      <c r="Q29" s="176"/>
      <c r="R29" s="178">
        <f t="shared" ref="R29:S36" si="45">SUMIF($AC$11:$AC$14,$B29,R$11:R$14)</f>
        <v>0</v>
      </c>
      <c r="S29" s="178">
        <f t="shared" si="45"/>
        <v>0</v>
      </c>
      <c r="T29" s="178"/>
      <c r="U29" s="113"/>
      <c r="V29" s="113">
        <f t="shared" ref="V29:AB36" si="46">SUMIF($AC$11:$AC$14,$B29,V$11:V$14)</f>
        <v>0</v>
      </c>
      <c r="W29" s="113">
        <f t="shared" si="46"/>
        <v>0</v>
      </c>
      <c r="X29" s="113">
        <f t="shared" si="46"/>
        <v>0</v>
      </c>
      <c r="Y29" s="113">
        <f t="shared" si="46"/>
        <v>0</v>
      </c>
      <c r="Z29" s="113">
        <f t="shared" si="46"/>
        <v>0</v>
      </c>
      <c r="AA29" s="113">
        <f t="shared" si="46"/>
        <v>0</v>
      </c>
      <c r="AB29" s="113">
        <f t="shared" si="46"/>
        <v>0</v>
      </c>
      <c r="AC29" s="6"/>
      <c r="AD29" s="6"/>
      <c r="AE29" s="6"/>
      <c r="AF29" s="6"/>
      <c r="AG29" s="6"/>
    </row>
    <row r="30" spans="1:49" x14ac:dyDescent="0.2">
      <c r="A30" s="6"/>
      <c r="B30" s="16" t="s">
        <v>86</v>
      </c>
      <c r="E30" s="107" t="s">
        <v>106</v>
      </c>
      <c r="F30" s="1" t="s">
        <v>92</v>
      </c>
      <c r="G30" s="113">
        <f t="shared" si="42"/>
        <v>0</v>
      </c>
      <c r="H30" s="113"/>
      <c r="I30" s="139"/>
      <c r="J30" s="113"/>
      <c r="K30" s="113"/>
      <c r="L30" s="113"/>
      <c r="M30" s="114"/>
      <c r="N30" s="113">
        <f t="shared" si="43"/>
        <v>0</v>
      </c>
      <c r="O30" s="198"/>
      <c r="P30" s="113">
        <f t="shared" si="44"/>
        <v>0</v>
      </c>
      <c r="Q30" s="176"/>
      <c r="R30" s="178">
        <f t="shared" si="45"/>
        <v>0</v>
      </c>
      <c r="S30" s="178">
        <f t="shared" si="45"/>
        <v>0</v>
      </c>
      <c r="T30" s="178"/>
      <c r="U30" s="113"/>
      <c r="V30" s="113">
        <f t="shared" si="46"/>
        <v>0</v>
      </c>
      <c r="W30" s="113">
        <f t="shared" si="46"/>
        <v>0</v>
      </c>
      <c r="X30" s="113">
        <f t="shared" si="46"/>
        <v>0</v>
      </c>
      <c r="Y30" s="113">
        <f t="shared" si="46"/>
        <v>0</v>
      </c>
      <c r="Z30" s="113">
        <f t="shared" si="46"/>
        <v>0</v>
      </c>
      <c r="AA30" s="113">
        <f t="shared" si="46"/>
        <v>0</v>
      </c>
      <c r="AB30" s="113">
        <f t="shared" si="46"/>
        <v>0</v>
      </c>
      <c r="AC30" s="6"/>
      <c r="AD30" s="6"/>
      <c r="AE30" s="6"/>
      <c r="AF30" s="6"/>
      <c r="AG30" s="6"/>
    </row>
    <row r="31" spans="1:49" x14ac:dyDescent="0.2">
      <c r="A31" s="6"/>
      <c r="B31" s="16" t="s">
        <v>87</v>
      </c>
      <c r="E31" s="107" t="s">
        <v>106</v>
      </c>
      <c r="F31" s="1" t="s">
        <v>93</v>
      </c>
      <c r="G31" s="113">
        <f t="shared" si="42"/>
        <v>0</v>
      </c>
      <c r="H31" s="113"/>
      <c r="I31" s="139"/>
      <c r="J31" s="113"/>
      <c r="K31" s="113"/>
      <c r="L31" s="113"/>
      <c r="M31" s="114"/>
      <c r="N31" s="113">
        <f t="shared" si="43"/>
        <v>0</v>
      </c>
      <c r="O31" s="198"/>
      <c r="P31" s="113">
        <f t="shared" si="44"/>
        <v>0</v>
      </c>
      <c r="Q31" s="176"/>
      <c r="R31" s="178">
        <f t="shared" si="45"/>
        <v>0</v>
      </c>
      <c r="S31" s="178">
        <f t="shared" si="45"/>
        <v>0</v>
      </c>
      <c r="T31" s="178"/>
      <c r="U31" s="113"/>
      <c r="V31" s="113">
        <f t="shared" si="46"/>
        <v>0</v>
      </c>
      <c r="W31" s="113">
        <f t="shared" si="46"/>
        <v>0</v>
      </c>
      <c r="X31" s="113">
        <f t="shared" si="46"/>
        <v>0</v>
      </c>
      <c r="Y31" s="113">
        <f t="shared" si="46"/>
        <v>0</v>
      </c>
      <c r="Z31" s="113">
        <f t="shared" si="46"/>
        <v>0</v>
      </c>
      <c r="AA31" s="113">
        <f t="shared" si="46"/>
        <v>0</v>
      </c>
      <c r="AB31" s="113">
        <f t="shared" si="46"/>
        <v>0</v>
      </c>
      <c r="AC31" s="6"/>
      <c r="AD31" s="6"/>
      <c r="AE31" s="6"/>
      <c r="AF31" s="6"/>
      <c r="AG31" s="6"/>
    </row>
    <row r="32" spans="1:49" x14ac:dyDescent="0.2">
      <c r="A32" s="6"/>
      <c r="B32" s="16" t="s">
        <v>88</v>
      </c>
      <c r="E32" s="107" t="s">
        <v>106</v>
      </c>
      <c r="F32" s="1" t="s">
        <v>95</v>
      </c>
      <c r="G32" s="113">
        <f t="shared" si="42"/>
        <v>0</v>
      </c>
      <c r="H32" s="113"/>
      <c r="I32" s="139"/>
      <c r="J32" s="113"/>
      <c r="K32" s="113"/>
      <c r="L32" s="113"/>
      <c r="M32" s="114"/>
      <c r="N32" s="113">
        <f t="shared" si="43"/>
        <v>0</v>
      </c>
      <c r="O32" s="198"/>
      <c r="P32" s="113">
        <f t="shared" si="44"/>
        <v>0</v>
      </c>
      <c r="Q32" s="176"/>
      <c r="R32" s="178">
        <f t="shared" si="45"/>
        <v>0</v>
      </c>
      <c r="S32" s="178">
        <f t="shared" si="45"/>
        <v>0</v>
      </c>
      <c r="T32" s="178"/>
      <c r="U32" s="113"/>
      <c r="V32" s="113">
        <f t="shared" si="46"/>
        <v>0</v>
      </c>
      <c r="W32" s="113">
        <f t="shared" si="46"/>
        <v>0</v>
      </c>
      <c r="X32" s="113">
        <f t="shared" si="46"/>
        <v>0</v>
      </c>
      <c r="Y32" s="113">
        <f t="shared" si="46"/>
        <v>0</v>
      </c>
      <c r="Z32" s="113">
        <f t="shared" si="46"/>
        <v>0</v>
      </c>
      <c r="AA32" s="113">
        <f t="shared" si="46"/>
        <v>0</v>
      </c>
      <c r="AB32" s="113">
        <f t="shared" si="46"/>
        <v>0</v>
      </c>
      <c r="AC32" s="6"/>
      <c r="AD32" s="6"/>
      <c r="AE32" s="6"/>
      <c r="AF32" s="6"/>
      <c r="AG32" s="6"/>
    </row>
    <row r="33" spans="1:33" x14ac:dyDescent="0.2">
      <c r="A33" s="6"/>
      <c r="B33" s="16" t="s">
        <v>89</v>
      </c>
      <c r="E33" s="107" t="s">
        <v>106</v>
      </c>
      <c r="F33" s="1" t="s">
        <v>94</v>
      </c>
      <c r="G33" s="113">
        <f t="shared" si="42"/>
        <v>0</v>
      </c>
      <c r="H33" s="113"/>
      <c r="I33" s="139"/>
      <c r="J33" s="113"/>
      <c r="K33" s="113"/>
      <c r="L33" s="113"/>
      <c r="M33" s="114"/>
      <c r="N33" s="113">
        <f t="shared" si="43"/>
        <v>0</v>
      </c>
      <c r="O33" s="198"/>
      <c r="P33" s="113">
        <f t="shared" si="44"/>
        <v>0</v>
      </c>
      <c r="Q33" s="176"/>
      <c r="R33" s="178">
        <f t="shared" si="45"/>
        <v>0</v>
      </c>
      <c r="S33" s="178">
        <f t="shared" si="45"/>
        <v>0</v>
      </c>
      <c r="T33" s="178"/>
      <c r="U33" s="113"/>
      <c r="V33" s="113">
        <f t="shared" si="46"/>
        <v>0</v>
      </c>
      <c r="W33" s="113">
        <f t="shared" si="46"/>
        <v>0</v>
      </c>
      <c r="X33" s="113">
        <f t="shared" si="46"/>
        <v>0</v>
      </c>
      <c r="Y33" s="113">
        <f t="shared" si="46"/>
        <v>0</v>
      </c>
      <c r="Z33" s="113">
        <f t="shared" si="46"/>
        <v>0</v>
      </c>
      <c r="AA33" s="113">
        <f t="shared" si="46"/>
        <v>0</v>
      </c>
      <c r="AB33" s="113">
        <f t="shared" si="46"/>
        <v>0</v>
      </c>
      <c r="AC33" s="6"/>
      <c r="AD33" s="6"/>
      <c r="AE33" s="6"/>
      <c r="AF33" s="6"/>
      <c r="AG33" s="6"/>
    </row>
    <row r="34" spans="1:33" x14ac:dyDescent="0.2">
      <c r="A34" s="6"/>
      <c r="B34" s="16" t="s">
        <v>90</v>
      </c>
      <c r="E34" s="107" t="s">
        <v>110</v>
      </c>
      <c r="F34" s="1" t="s">
        <v>111</v>
      </c>
      <c r="G34" s="113">
        <f t="shared" si="42"/>
        <v>0</v>
      </c>
      <c r="H34" s="113"/>
      <c r="I34" s="139"/>
      <c r="J34" s="113"/>
      <c r="K34" s="113"/>
      <c r="L34" s="113"/>
      <c r="M34" s="114"/>
      <c r="N34" s="113">
        <f t="shared" si="43"/>
        <v>0</v>
      </c>
      <c r="O34" s="198"/>
      <c r="P34" s="113">
        <f t="shared" si="44"/>
        <v>0</v>
      </c>
      <c r="Q34" s="176"/>
      <c r="R34" s="178">
        <f t="shared" si="45"/>
        <v>0</v>
      </c>
      <c r="S34" s="178">
        <f t="shared" si="45"/>
        <v>0</v>
      </c>
      <c r="T34" s="178"/>
      <c r="U34" s="113"/>
      <c r="V34" s="113">
        <f t="shared" si="46"/>
        <v>0</v>
      </c>
      <c r="W34" s="113">
        <f t="shared" si="46"/>
        <v>0</v>
      </c>
      <c r="X34" s="113">
        <f t="shared" si="46"/>
        <v>0</v>
      </c>
      <c r="Y34" s="113">
        <f t="shared" si="46"/>
        <v>0</v>
      </c>
      <c r="Z34" s="113">
        <f t="shared" si="46"/>
        <v>0</v>
      </c>
      <c r="AA34" s="113">
        <f t="shared" si="46"/>
        <v>0</v>
      </c>
      <c r="AB34" s="113">
        <f t="shared" si="46"/>
        <v>0</v>
      </c>
      <c r="AC34" s="6"/>
      <c r="AD34" s="6"/>
      <c r="AE34" s="6"/>
      <c r="AF34" s="6"/>
      <c r="AG34" s="6"/>
    </row>
    <row r="35" spans="1:33" x14ac:dyDescent="0.2">
      <c r="A35" s="6"/>
      <c r="B35" s="16" t="s">
        <v>91</v>
      </c>
      <c r="E35" s="107" t="s">
        <v>107</v>
      </c>
      <c r="F35" s="1" t="s">
        <v>96</v>
      </c>
      <c r="G35" s="113">
        <f t="shared" si="42"/>
        <v>0</v>
      </c>
      <c r="H35" s="113"/>
      <c r="I35" s="139"/>
      <c r="J35" s="113"/>
      <c r="K35" s="113"/>
      <c r="L35" s="113"/>
      <c r="M35" s="114"/>
      <c r="N35" s="113">
        <f t="shared" si="43"/>
        <v>0</v>
      </c>
      <c r="O35" s="198"/>
      <c r="P35" s="113">
        <f t="shared" si="44"/>
        <v>0</v>
      </c>
      <c r="Q35" s="176"/>
      <c r="R35" s="178">
        <f t="shared" si="45"/>
        <v>0</v>
      </c>
      <c r="S35" s="178">
        <f t="shared" si="45"/>
        <v>0</v>
      </c>
      <c r="T35" s="178"/>
      <c r="U35" s="113"/>
      <c r="V35" s="113">
        <f t="shared" si="46"/>
        <v>0</v>
      </c>
      <c r="W35" s="113">
        <f t="shared" si="46"/>
        <v>0</v>
      </c>
      <c r="X35" s="113">
        <f t="shared" si="46"/>
        <v>0</v>
      </c>
      <c r="Y35" s="113">
        <f t="shared" si="46"/>
        <v>0</v>
      </c>
      <c r="Z35" s="113">
        <f t="shared" si="46"/>
        <v>0</v>
      </c>
      <c r="AA35" s="113">
        <f t="shared" si="46"/>
        <v>0</v>
      </c>
      <c r="AB35" s="113">
        <f t="shared" si="46"/>
        <v>0</v>
      </c>
      <c r="AC35" s="6"/>
      <c r="AD35" s="6"/>
      <c r="AE35" s="6"/>
      <c r="AF35" s="6"/>
      <c r="AG35" s="6"/>
    </row>
    <row r="36" spans="1:33" x14ac:dyDescent="0.2">
      <c r="A36" s="6"/>
      <c r="B36" s="16" t="s">
        <v>3039</v>
      </c>
      <c r="E36" s="107" t="s">
        <v>3042</v>
      </c>
      <c r="F36" s="1" t="s">
        <v>3043</v>
      </c>
      <c r="G36" s="113">
        <f t="shared" si="42"/>
        <v>0</v>
      </c>
      <c r="H36" s="113"/>
      <c r="I36" s="139"/>
      <c r="J36" s="113"/>
      <c r="K36" s="113"/>
      <c r="L36" s="113"/>
      <c r="M36" s="114"/>
      <c r="N36" s="113">
        <f t="shared" si="43"/>
        <v>0</v>
      </c>
      <c r="O36" s="198"/>
      <c r="P36" s="113">
        <f t="shared" si="44"/>
        <v>0</v>
      </c>
      <c r="Q36" s="176"/>
      <c r="R36" s="178">
        <f t="shared" si="45"/>
        <v>0</v>
      </c>
      <c r="S36" s="178">
        <f t="shared" si="45"/>
        <v>0</v>
      </c>
      <c r="T36" s="178"/>
      <c r="U36" s="113"/>
      <c r="V36" s="113">
        <f t="shared" si="46"/>
        <v>0</v>
      </c>
      <c r="W36" s="113">
        <f t="shared" si="46"/>
        <v>0</v>
      </c>
      <c r="X36" s="113">
        <f t="shared" si="46"/>
        <v>0</v>
      </c>
      <c r="Y36" s="113">
        <f t="shared" si="46"/>
        <v>0</v>
      </c>
      <c r="Z36" s="113">
        <f t="shared" si="46"/>
        <v>0</v>
      </c>
      <c r="AA36" s="113">
        <f t="shared" si="46"/>
        <v>0</v>
      </c>
      <c r="AB36" s="113">
        <f t="shared" si="46"/>
        <v>0</v>
      </c>
      <c r="AC36" s="6"/>
      <c r="AD36" s="6"/>
      <c r="AE36" s="6"/>
      <c r="AF36" s="6"/>
      <c r="AG36" s="6"/>
    </row>
    <row r="37" spans="1:33" x14ac:dyDescent="0.2">
      <c r="A37" s="6"/>
      <c r="E37" s="2"/>
      <c r="F37" s="96" t="s">
        <v>97</v>
      </c>
      <c r="G37" s="115">
        <f>SUM(G29:G36)</f>
        <v>0</v>
      </c>
      <c r="H37" s="113"/>
      <c r="I37" s="139"/>
      <c r="J37" s="113"/>
      <c r="K37" s="113"/>
      <c r="L37" s="113"/>
      <c r="M37" s="114"/>
      <c r="N37" s="115">
        <f>SUM(N29:N36)</f>
        <v>0</v>
      </c>
      <c r="O37" s="198"/>
      <c r="P37" s="115">
        <f>SUM(P29:P36)</f>
        <v>0</v>
      </c>
      <c r="Q37" s="176"/>
      <c r="R37" s="115">
        <f>SUM(R29:R36)</f>
        <v>0</v>
      </c>
      <c r="S37" s="115">
        <f>SUM(S29:S36)</f>
        <v>0</v>
      </c>
      <c r="T37" s="179"/>
      <c r="U37" s="113"/>
      <c r="V37" s="115">
        <f t="shared" ref="V37:AB37" si="47">SUM(V29:V36)</f>
        <v>0</v>
      </c>
      <c r="W37" s="115">
        <f t="shared" si="47"/>
        <v>0</v>
      </c>
      <c r="X37" s="115">
        <f t="shared" si="47"/>
        <v>0</v>
      </c>
      <c r="Y37" s="115">
        <f t="shared" si="47"/>
        <v>0</v>
      </c>
      <c r="Z37" s="115">
        <f t="shared" si="47"/>
        <v>0</v>
      </c>
      <c r="AA37" s="115">
        <f t="shared" si="47"/>
        <v>0</v>
      </c>
      <c r="AB37" s="115">
        <f t="shared" si="47"/>
        <v>0</v>
      </c>
      <c r="AC37" s="6"/>
      <c r="AD37" s="6"/>
      <c r="AE37" s="6"/>
      <c r="AF37" s="6"/>
      <c r="AG37" s="6"/>
    </row>
    <row r="38" spans="1:33" x14ac:dyDescent="0.2">
      <c r="A38" s="6"/>
      <c r="E38" s="2"/>
      <c r="F38" s="2"/>
      <c r="G38" s="113"/>
      <c r="H38" s="113"/>
      <c r="I38" s="139"/>
      <c r="J38" s="113"/>
      <c r="K38" s="113"/>
      <c r="L38" s="113"/>
      <c r="M38" s="114"/>
      <c r="N38" s="113"/>
      <c r="O38" s="198"/>
      <c r="P38" s="113"/>
      <c r="Q38" s="176"/>
      <c r="R38" s="178"/>
      <c r="S38" s="178"/>
      <c r="T38" s="178"/>
      <c r="U38" s="113"/>
      <c r="V38" s="113"/>
      <c r="W38" s="113"/>
      <c r="X38" s="113"/>
      <c r="Y38" s="113"/>
      <c r="Z38" s="113"/>
      <c r="AA38" s="113"/>
      <c r="AB38" s="113"/>
      <c r="AC38" s="6"/>
      <c r="AD38" s="6"/>
      <c r="AE38" s="6"/>
      <c r="AF38" s="6"/>
      <c r="AG38" s="6"/>
    </row>
    <row r="39" spans="1:33" ht="13.5" thickBot="1" x14ac:dyDescent="0.25">
      <c r="A39" s="6"/>
      <c r="E39" s="2"/>
      <c r="F39" s="1" t="s">
        <v>84</v>
      </c>
      <c r="G39" s="118">
        <f>G21+G25+G27+G37</f>
        <v>0</v>
      </c>
      <c r="H39" s="113"/>
      <c r="I39" s="139"/>
      <c r="J39" s="113"/>
      <c r="K39" s="113"/>
      <c r="L39" s="113"/>
      <c r="M39" s="114"/>
      <c r="N39" s="118">
        <f>N21+N25+N27+N37</f>
        <v>0</v>
      </c>
      <c r="O39" s="198"/>
      <c r="P39" s="118">
        <f>P21+P25+P27+P37</f>
        <v>0</v>
      </c>
      <c r="Q39" s="176"/>
      <c r="R39" s="180">
        <f>R21+R25+R27+R37</f>
        <v>0</v>
      </c>
      <c r="S39" s="180">
        <f>S21+S25+S27+S37</f>
        <v>0</v>
      </c>
      <c r="T39" s="180"/>
      <c r="U39" s="113"/>
      <c r="V39" s="118">
        <f>V21+V25+V27+V37</f>
        <v>0</v>
      </c>
      <c r="W39" s="118">
        <f t="shared" ref="W39:AB39" si="48">W21+W25+W27+W37</f>
        <v>0</v>
      </c>
      <c r="X39" s="118">
        <f t="shared" si="48"/>
        <v>0</v>
      </c>
      <c r="Y39" s="118">
        <f t="shared" si="48"/>
        <v>0</v>
      </c>
      <c r="Z39" s="118">
        <f t="shared" si="48"/>
        <v>0</v>
      </c>
      <c r="AA39" s="118">
        <f t="shared" si="48"/>
        <v>0</v>
      </c>
      <c r="AB39" s="118">
        <f t="shared" si="48"/>
        <v>0</v>
      </c>
      <c r="AC39" s="6"/>
      <c r="AD39" s="6"/>
      <c r="AE39" s="6"/>
      <c r="AF39" s="6"/>
      <c r="AG39" s="6"/>
    </row>
    <row r="40" spans="1:33" ht="13.5" thickTop="1" x14ac:dyDescent="0.2">
      <c r="A40" s="6"/>
      <c r="E40" s="2"/>
      <c r="F40" s="2"/>
      <c r="G40" s="18" t="str">
        <f>IF(ABS(G39-SUM(G$11:G$14))&gt;0.0001,"SUM ERROR","")</f>
        <v/>
      </c>
      <c r="H40" s="18"/>
      <c r="I40" s="135"/>
      <c r="J40" s="28"/>
      <c r="K40" s="4"/>
      <c r="L40" s="18"/>
      <c r="M40" s="29"/>
      <c r="N40" s="18"/>
      <c r="O40" s="197"/>
      <c r="P40" s="18" t="str">
        <f>IF(ABS(P39-SUM(P$11:P$14))&gt;0.0001,"SUM ERROR","")</f>
        <v/>
      </c>
      <c r="Q40" s="176"/>
      <c r="R40" s="181" t="str">
        <f>IF(ABS(R39-SUM(R$11:R$14))&gt;0.0001,"SUM ERROR","")</f>
        <v/>
      </c>
      <c r="S40" s="181" t="str">
        <f>IF(ABS(S39-SUM(S$11:S$14))&gt;0.0001,"SUM ERROR","")</f>
        <v/>
      </c>
      <c r="T40" s="181" t="str">
        <f>IF(ABS(T39-SUM(T$11:T$14))&gt;0.0001,"SUM ERROR","")</f>
        <v/>
      </c>
      <c r="U40" s="2"/>
      <c r="V40" s="18"/>
      <c r="W40" s="18" t="str">
        <f t="shared" ref="W40:AB40" si="49">IF(ABS(W39-SUM(W$11:W$14))&gt;0.0001,"SUM ERROR","")</f>
        <v/>
      </c>
      <c r="X40" s="18" t="str">
        <f t="shared" si="49"/>
        <v/>
      </c>
      <c r="Y40" s="18" t="str">
        <f t="shared" si="49"/>
        <v/>
      </c>
      <c r="Z40" s="18" t="str">
        <f t="shared" si="49"/>
        <v/>
      </c>
      <c r="AA40" s="18" t="str">
        <f t="shared" si="49"/>
        <v/>
      </c>
      <c r="AB40" s="18" t="str">
        <f t="shared" si="49"/>
        <v/>
      </c>
      <c r="AC40" s="6"/>
      <c r="AD40" s="6"/>
      <c r="AE40" s="6"/>
      <c r="AF40" s="6"/>
      <c r="AG40" s="6"/>
    </row>
    <row r="41" spans="1:33" x14ac:dyDescent="0.2">
      <c r="A41" s="6"/>
      <c r="E41" s="2"/>
      <c r="F41" s="2"/>
      <c r="G41" s="18"/>
      <c r="H41" s="18"/>
      <c r="I41" s="135"/>
      <c r="J41" s="28"/>
      <c r="K41" s="4"/>
      <c r="L41" s="18"/>
      <c r="M41" s="29"/>
      <c r="N41" s="2"/>
      <c r="O41" s="197"/>
      <c r="Q41" s="11"/>
      <c r="R41" s="175"/>
      <c r="S41" s="175"/>
      <c r="T41" s="181"/>
      <c r="U41" s="2"/>
      <c r="X41" s="6"/>
      <c r="Y41" s="6"/>
      <c r="Z41" s="6"/>
      <c r="AA41" s="6"/>
      <c r="AB41" s="6"/>
      <c r="AC41" s="6"/>
      <c r="AD41" s="6"/>
      <c r="AE41" s="6"/>
      <c r="AF41" s="6"/>
      <c r="AG41" s="6"/>
    </row>
    <row r="42" spans="1:33" x14ac:dyDescent="0.2">
      <c r="A42" s="6"/>
      <c r="I42" s="140"/>
      <c r="M42" s="4"/>
      <c r="N42" s="5"/>
      <c r="Q42" s="11"/>
      <c r="R42" s="25"/>
      <c r="S42" s="175"/>
      <c r="T42" s="11"/>
      <c r="U42" s="18"/>
      <c r="V42" s="28"/>
      <c r="AA42" s="6"/>
      <c r="AB42" s="6"/>
      <c r="AC42" s="6"/>
      <c r="AD42" s="6"/>
      <c r="AE42" s="6"/>
      <c r="AF42" s="6"/>
      <c r="AG42" s="6"/>
    </row>
    <row r="43" spans="1:33" x14ac:dyDescent="0.2">
      <c r="A43" s="6"/>
      <c r="I43" s="140"/>
      <c r="M43" s="4"/>
      <c r="N43" s="5"/>
      <c r="Q43" s="11"/>
      <c r="R43" s="25"/>
      <c r="S43" s="175"/>
      <c r="T43" s="11"/>
      <c r="U43" s="18"/>
      <c r="V43" s="28"/>
      <c r="AA43" s="6"/>
      <c r="AB43" s="6"/>
      <c r="AC43" s="6"/>
      <c r="AD43" s="6"/>
      <c r="AE43" s="6"/>
      <c r="AF43" s="6"/>
      <c r="AG43" s="6"/>
    </row>
    <row r="44" spans="1:33" x14ac:dyDescent="0.2">
      <c r="A44" s="6"/>
      <c r="I44" s="140"/>
      <c r="M44" s="4"/>
      <c r="N44" s="5"/>
      <c r="Q44" s="11"/>
      <c r="R44" s="25"/>
      <c r="S44" s="175"/>
      <c r="T44" s="11"/>
      <c r="U44" s="18"/>
      <c r="V44" s="28"/>
      <c r="AA44" s="6"/>
      <c r="AB44" s="6"/>
      <c r="AC44" s="6"/>
      <c r="AD44" s="6"/>
      <c r="AE44" s="6"/>
      <c r="AF44" s="6"/>
      <c r="AG44" s="6"/>
    </row>
    <row r="45" spans="1:33" x14ac:dyDescent="0.2">
      <c r="A45" s="6"/>
      <c r="I45" s="140"/>
      <c r="M45" s="4"/>
      <c r="N45" s="5"/>
      <c r="Q45" s="11"/>
      <c r="R45" s="25"/>
      <c r="S45" s="175"/>
      <c r="T45" s="11"/>
      <c r="U45" s="18"/>
      <c r="V45" s="28"/>
      <c r="AA45" s="6"/>
      <c r="AB45" s="6"/>
      <c r="AC45" s="6"/>
      <c r="AD45" s="6"/>
      <c r="AE45" s="6"/>
      <c r="AF45" s="6"/>
      <c r="AG45" s="6"/>
    </row>
    <row r="46" spans="1:33" x14ac:dyDescent="0.2">
      <c r="A46" s="6"/>
      <c r="I46" s="140"/>
      <c r="M46" s="4"/>
      <c r="N46" s="5"/>
      <c r="Q46" s="11"/>
      <c r="R46" s="25"/>
      <c r="S46" s="175"/>
      <c r="T46" s="11"/>
      <c r="V46" s="28"/>
      <c r="AA46" s="6"/>
      <c r="AB46" s="6"/>
      <c r="AC46" s="6"/>
      <c r="AD46" s="6"/>
      <c r="AE46" s="6"/>
      <c r="AF46" s="6"/>
      <c r="AG46" s="6"/>
    </row>
    <row r="47" spans="1:33" x14ac:dyDescent="0.2">
      <c r="A47" s="6"/>
      <c r="I47" s="140"/>
      <c r="M47" s="4"/>
      <c r="N47" s="5"/>
      <c r="Q47" s="11"/>
      <c r="R47" s="25"/>
      <c r="S47" s="175"/>
      <c r="T47" s="11"/>
      <c r="V47" s="28"/>
      <c r="AA47" s="6"/>
      <c r="AB47" s="6"/>
      <c r="AC47" s="6"/>
      <c r="AD47" s="6"/>
      <c r="AE47" s="6"/>
      <c r="AF47" s="6"/>
      <c r="AG47" s="6"/>
    </row>
    <row r="48" spans="1:33" x14ac:dyDescent="0.2">
      <c r="A48" s="6"/>
      <c r="I48" s="140"/>
      <c r="M48" s="4"/>
      <c r="N48" s="5"/>
      <c r="Q48" s="11"/>
      <c r="R48" s="25"/>
      <c r="S48" s="175"/>
      <c r="T48" s="11"/>
      <c r="V48" s="28"/>
      <c r="AA48" s="6"/>
      <c r="AB48" s="6"/>
      <c r="AC48" s="6"/>
      <c r="AD48" s="6"/>
      <c r="AE48" s="6"/>
      <c r="AF48" s="6"/>
      <c r="AG48" s="6"/>
    </row>
    <row r="49" spans="1:33" x14ac:dyDescent="0.2">
      <c r="A49" s="6"/>
      <c r="I49" s="140"/>
      <c r="M49" s="4"/>
      <c r="N49" s="5"/>
      <c r="Q49" s="11"/>
      <c r="R49" s="25"/>
      <c r="S49" s="175"/>
      <c r="T49" s="11"/>
      <c r="V49" s="28"/>
      <c r="AA49" s="6"/>
      <c r="AB49" s="6"/>
      <c r="AC49" s="6"/>
      <c r="AD49" s="6"/>
      <c r="AE49" s="6"/>
      <c r="AF49" s="6"/>
      <c r="AG49" s="6"/>
    </row>
    <row r="50" spans="1:33" x14ac:dyDescent="0.2">
      <c r="A50" s="6"/>
      <c r="I50" s="140"/>
      <c r="M50" s="4"/>
      <c r="N50" s="5"/>
      <c r="Q50" s="11"/>
      <c r="R50" s="25"/>
      <c r="S50" s="175"/>
      <c r="T50" s="11"/>
      <c r="V50" s="28"/>
      <c r="AA50" s="6"/>
      <c r="AB50" s="6"/>
      <c r="AC50" s="6"/>
      <c r="AD50" s="6"/>
      <c r="AE50" s="6"/>
      <c r="AF50" s="6"/>
      <c r="AG50" s="6"/>
    </row>
    <row r="51" spans="1:33" x14ac:dyDescent="0.2">
      <c r="A51" s="6"/>
      <c r="I51" s="140"/>
      <c r="M51" s="4"/>
      <c r="N51" s="5"/>
      <c r="Q51" s="11"/>
      <c r="R51" s="25"/>
      <c r="S51" s="175"/>
      <c r="T51" s="11"/>
      <c r="V51" s="28"/>
      <c r="AA51" s="6"/>
      <c r="AB51" s="6"/>
      <c r="AC51" s="6"/>
      <c r="AD51" s="6"/>
      <c r="AE51" s="6"/>
      <c r="AF51" s="6"/>
      <c r="AG51" s="6"/>
    </row>
    <row r="52" spans="1:33" x14ac:dyDescent="0.2">
      <c r="A52" s="6"/>
      <c r="I52" s="140"/>
      <c r="M52" s="4"/>
      <c r="N52" s="5"/>
      <c r="Q52" s="11"/>
      <c r="R52" s="25"/>
      <c r="S52" s="175"/>
      <c r="T52" s="11"/>
      <c r="V52" s="28"/>
      <c r="AA52" s="6"/>
      <c r="AB52" s="6"/>
      <c r="AC52" s="6"/>
      <c r="AD52" s="6"/>
      <c r="AE52" s="6"/>
      <c r="AF52" s="6"/>
      <c r="AG52" s="6"/>
    </row>
    <row r="53" spans="1:33" x14ac:dyDescent="0.2">
      <c r="A53" s="6"/>
      <c r="I53" s="140"/>
      <c r="M53" s="4"/>
      <c r="N53" s="5"/>
      <c r="Q53" s="11"/>
      <c r="R53" s="25"/>
      <c r="S53" s="175"/>
      <c r="T53" s="11"/>
      <c r="V53" s="28"/>
      <c r="AA53" s="6"/>
      <c r="AB53" s="6"/>
      <c r="AC53" s="6"/>
      <c r="AD53" s="6"/>
      <c r="AE53" s="6"/>
      <c r="AF53" s="6"/>
      <c r="AG53" s="6"/>
    </row>
    <row r="54" spans="1:33" x14ac:dyDescent="0.2">
      <c r="A54" s="6"/>
      <c r="I54" s="140"/>
      <c r="M54" s="4"/>
      <c r="N54" s="5"/>
      <c r="Q54" s="11"/>
      <c r="R54" s="25"/>
      <c r="S54" s="175"/>
      <c r="T54" s="11"/>
      <c r="V54" s="28"/>
      <c r="AA54" s="6"/>
      <c r="AB54" s="6"/>
      <c r="AC54" s="6"/>
      <c r="AD54" s="6"/>
      <c r="AE54" s="6"/>
      <c r="AF54" s="6"/>
      <c r="AG54" s="6"/>
    </row>
    <row r="55" spans="1:33" x14ac:dyDescent="0.2">
      <c r="A55" s="6"/>
      <c r="I55" s="140"/>
      <c r="M55" s="4"/>
      <c r="N55" s="5"/>
      <c r="Q55" s="11"/>
      <c r="R55" s="25"/>
      <c r="S55" s="175"/>
      <c r="T55" s="11"/>
      <c r="V55" s="28"/>
      <c r="AA55" s="6"/>
      <c r="AB55" s="6"/>
      <c r="AC55" s="6"/>
      <c r="AD55" s="6"/>
      <c r="AE55" s="6"/>
      <c r="AF55" s="6"/>
      <c r="AG55" s="6"/>
    </row>
    <row r="56" spans="1:33" x14ac:dyDescent="0.2">
      <c r="A56" s="6"/>
      <c r="I56" s="140"/>
      <c r="M56" s="4"/>
      <c r="N56" s="5"/>
      <c r="Q56" s="11"/>
      <c r="R56" s="25"/>
      <c r="S56" s="175"/>
      <c r="T56" s="11"/>
      <c r="V56" s="28"/>
      <c r="AA56" s="6"/>
      <c r="AB56" s="6"/>
      <c r="AC56" s="6"/>
      <c r="AD56" s="6"/>
      <c r="AE56" s="6"/>
      <c r="AF56" s="6"/>
      <c r="AG56" s="6"/>
    </row>
    <row r="57" spans="1:33" x14ac:dyDescent="0.2">
      <c r="A57" s="6"/>
      <c r="I57" s="140"/>
      <c r="M57" s="4"/>
      <c r="N57" s="5"/>
      <c r="Q57" s="11"/>
      <c r="R57" s="25"/>
      <c r="S57" s="175"/>
      <c r="T57" s="11"/>
      <c r="V57" s="28"/>
      <c r="AA57" s="6"/>
      <c r="AB57" s="6"/>
      <c r="AC57" s="6"/>
      <c r="AD57" s="6"/>
      <c r="AE57" s="6"/>
      <c r="AF57" s="6"/>
      <c r="AG57" s="6"/>
    </row>
    <row r="58" spans="1:33" x14ac:dyDescent="0.2">
      <c r="A58" s="6"/>
      <c r="I58" s="140"/>
      <c r="M58" s="4"/>
      <c r="N58" s="5"/>
      <c r="Q58" s="11"/>
      <c r="R58" s="25"/>
      <c r="S58" s="175"/>
      <c r="T58" s="11"/>
      <c r="V58" s="28"/>
      <c r="AA58" s="6"/>
      <c r="AB58" s="6"/>
      <c r="AC58" s="6"/>
      <c r="AD58" s="6"/>
      <c r="AE58" s="6"/>
      <c r="AF58" s="6"/>
      <c r="AG58" s="6"/>
    </row>
    <row r="59" spans="1:33" x14ac:dyDescent="0.2">
      <c r="A59" s="6"/>
      <c r="I59" s="140"/>
      <c r="M59" s="4"/>
      <c r="N59" s="5"/>
      <c r="Q59" s="11"/>
      <c r="R59" s="25"/>
      <c r="S59" s="175"/>
      <c r="T59" s="11"/>
      <c r="V59" s="28"/>
      <c r="AA59" s="6"/>
      <c r="AB59" s="6"/>
      <c r="AC59" s="6"/>
      <c r="AD59" s="6"/>
      <c r="AE59" s="6"/>
      <c r="AF59" s="6"/>
      <c r="AG59" s="6"/>
    </row>
    <row r="60" spans="1:33" x14ac:dyDescent="0.2">
      <c r="A60" s="6"/>
      <c r="I60" s="140"/>
      <c r="M60" s="4"/>
      <c r="N60" s="5"/>
      <c r="Q60" s="11"/>
      <c r="R60" s="25"/>
      <c r="S60" s="175"/>
      <c r="T60" s="11"/>
      <c r="V60" s="28"/>
      <c r="AA60" s="6"/>
      <c r="AB60" s="6"/>
      <c r="AC60" s="6"/>
      <c r="AD60" s="6"/>
      <c r="AE60" s="6"/>
      <c r="AF60" s="6"/>
      <c r="AG60" s="6"/>
    </row>
    <row r="61" spans="1:33" x14ac:dyDescent="0.2">
      <c r="A61" s="6"/>
      <c r="I61" s="140"/>
      <c r="M61" s="4"/>
      <c r="N61" s="5"/>
      <c r="Q61" s="11"/>
      <c r="R61" s="25"/>
      <c r="S61" s="175"/>
      <c r="T61" s="11"/>
      <c r="V61" s="28"/>
      <c r="AA61" s="6"/>
      <c r="AB61" s="6"/>
      <c r="AC61" s="6"/>
      <c r="AD61" s="6"/>
      <c r="AE61" s="6"/>
      <c r="AF61" s="6"/>
      <c r="AG61" s="6"/>
    </row>
    <row r="62" spans="1:33" x14ac:dyDescent="0.2">
      <c r="A62" s="6"/>
      <c r="I62" s="140"/>
      <c r="M62" s="4"/>
      <c r="N62" s="5"/>
      <c r="Q62" s="11"/>
      <c r="R62" s="25"/>
      <c r="S62" s="175"/>
      <c r="T62" s="11"/>
      <c r="V62" s="28"/>
      <c r="AA62" s="6"/>
      <c r="AB62" s="6"/>
      <c r="AC62" s="6"/>
      <c r="AD62" s="6"/>
      <c r="AE62" s="6"/>
      <c r="AF62" s="6"/>
      <c r="AG62" s="6"/>
    </row>
    <row r="63" spans="1:33" x14ac:dyDescent="0.2">
      <c r="A63" s="6"/>
      <c r="I63" s="140"/>
      <c r="M63" s="4"/>
      <c r="N63" s="5"/>
      <c r="Q63" s="11"/>
      <c r="R63" s="25"/>
      <c r="S63" s="175"/>
      <c r="T63" s="11"/>
      <c r="V63" s="28"/>
      <c r="AA63" s="6"/>
      <c r="AB63" s="6"/>
      <c r="AC63" s="6"/>
      <c r="AD63" s="6"/>
      <c r="AE63" s="6"/>
      <c r="AF63" s="6"/>
      <c r="AG63" s="6"/>
    </row>
    <row r="64" spans="1:33" x14ac:dyDescent="0.2">
      <c r="A64" s="6"/>
      <c r="I64" s="140"/>
      <c r="M64" s="4"/>
      <c r="N64" s="5"/>
      <c r="Q64" s="11"/>
      <c r="R64" s="25"/>
      <c r="S64" s="175"/>
      <c r="T64" s="11"/>
      <c r="V64" s="28"/>
      <c r="AA64" s="6"/>
      <c r="AB64" s="6"/>
      <c r="AC64" s="6"/>
      <c r="AD64" s="6"/>
      <c r="AE64" s="6"/>
      <c r="AF64" s="6"/>
      <c r="AG64" s="6"/>
    </row>
    <row r="65" spans="1:33" x14ac:dyDescent="0.2">
      <c r="A65" s="6"/>
      <c r="I65" s="140"/>
      <c r="M65" s="4"/>
      <c r="N65" s="5"/>
      <c r="Q65" s="11"/>
      <c r="R65" s="25"/>
      <c r="S65" s="175"/>
      <c r="T65" s="11"/>
      <c r="V65" s="28"/>
      <c r="AA65" s="6"/>
      <c r="AB65" s="6"/>
      <c r="AC65" s="6"/>
      <c r="AD65" s="6"/>
      <c r="AE65" s="6"/>
      <c r="AF65" s="6"/>
      <c r="AG65" s="6"/>
    </row>
    <row r="66" spans="1:33" x14ac:dyDescent="0.2">
      <c r="A66" s="6"/>
      <c r="I66" s="140"/>
      <c r="M66" s="4"/>
      <c r="N66" s="5"/>
      <c r="Q66" s="11"/>
      <c r="R66" s="25"/>
      <c r="S66" s="175"/>
      <c r="T66" s="11"/>
      <c r="V66" s="28"/>
      <c r="AA66" s="6"/>
      <c r="AB66" s="6"/>
      <c r="AC66" s="6"/>
      <c r="AD66" s="6"/>
      <c r="AE66" s="6"/>
      <c r="AF66" s="6"/>
      <c r="AG66" s="6"/>
    </row>
    <row r="67" spans="1:33" x14ac:dyDescent="0.2">
      <c r="A67" s="6"/>
      <c r="I67" s="140"/>
      <c r="M67" s="4"/>
      <c r="N67" s="5"/>
      <c r="Q67" s="11"/>
      <c r="R67" s="25"/>
      <c r="S67" s="175"/>
      <c r="T67" s="11"/>
      <c r="V67" s="28"/>
      <c r="AA67" s="6"/>
      <c r="AB67" s="6"/>
      <c r="AC67" s="6"/>
      <c r="AD67" s="6"/>
      <c r="AE67" s="6"/>
      <c r="AF67" s="6"/>
      <c r="AG67" s="6"/>
    </row>
    <row r="68" spans="1:33" x14ac:dyDescent="0.2">
      <c r="A68" s="6"/>
      <c r="I68" s="140"/>
      <c r="M68" s="4"/>
      <c r="N68" s="5"/>
      <c r="Q68" s="11"/>
      <c r="R68" s="25"/>
      <c r="S68" s="175"/>
      <c r="T68" s="11"/>
      <c r="V68" s="28"/>
      <c r="AA68" s="6"/>
      <c r="AB68" s="6"/>
      <c r="AC68" s="6"/>
      <c r="AD68" s="6"/>
      <c r="AE68" s="6"/>
      <c r="AF68" s="6"/>
      <c r="AG68" s="6"/>
    </row>
    <row r="69" spans="1:33" x14ac:dyDescent="0.2">
      <c r="A69" s="6"/>
      <c r="I69" s="140"/>
      <c r="M69" s="4"/>
      <c r="N69" s="5"/>
      <c r="Q69" s="11"/>
      <c r="R69" s="25"/>
      <c r="S69" s="175"/>
      <c r="T69" s="11"/>
      <c r="V69" s="28"/>
      <c r="AA69" s="6"/>
      <c r="AB69" s="6"/>
      <c r="AC69" s="6"/>
      <c r="AD69" s="6"/>
      <c r="AE69" s="6"/>
      <c r="AF69" s="6"/>
      <c r="AG69" s="6"/>
    </row>
    <row r="70" spans="1:33" x14ac:dyDescent="0.2">
      <c r="A70" s="6"/>
      <c r="I70" s="140"/>
      <c r="M70" s="4"/>
      <c r="N70" s="5"/>
      <c r="Q70" s="11"/>
      <c r="R70" s="25"/>
      <c r="S70" s="175"/>
      <c r="T70" s="11"/>
      <c r="V70" s="28"/>
      <c r="AA70" s="6"/>
      <c r="AB70" s="6"/>
      <c r="AC70" s="6"/>
      <c r="AD70" s="6"/>
      <c r="AE70" s="6"/>
      <c r="AF70" s="6"/>
      <c r="AG70" s="6"/>
    </row>
    <row r="71" spans="1:33" x14ac:dyDescent="0.2">
      <c r="A71" s="6"/>
      <c r="I71" s="140"/>
      <c r="M71" s="4"/>
      <c r="N71" s="5"/>
      <c r="Q71" s="11"/>
      <c r="R71" s="25"/>
      <c r="S71" s="175"/>
      <c r="T71" s="11"/>
      <c r="V71" s="28"/>
      <c r="AA71" s="6"/>
      <c r="AB71" s="6"/>
      <c r="AC71" s="6"/>
      <c r="AD71" s="6"/>
      <c r="AE71" s="6"/>
      <c r="AF71" s="6"/>
      <c r="AG71" s="6"/>
    </row>
    <row r="72" spans="1:33" x14ac:dyDescent="0.2">
      <c r="A72" s="6"/>
      <c r="I72" s="140"/>
      <c r="M72" s="4"/>
      <c r="N72" s="5"/>
      <c r="Q72" s="11"/>
      <c r="R72" s="25"/>
      <c r="S72" s="175"/>
      <c r="T72" s="11"/>
      <c r="V72" s="28"/>
      <c r="AA72" s="6"/>
      <c r="AB72" s="6"/>
      <c r="AC72" s="6"/>
      <c r="AD72" s="6"/>
      <c r="AE72" s="6"/>
      <c r="AF72" s="6"/>
      <c r="AG72" s="6"/>
    </row>
    <row r="73" spans="1:33" x14ac:dyDescent="0.2">
      <c r="A73" s="6"/>
      <c r="I73" s="140"/>
      <c r="M73" s="4"/>
      <c r="N73" s="5"/>
      <c r="Q73" s="11"/>
      <c r="R73" s="25"/>
      <c r="S73" s="175"/>
      <c r="T73" s="11"/>
      <c r="V73" s="28"/>
      <c r="AA73" s="6"/>
      <c r="AB73" s="6"/>
      <c r="AC73" s="6"/>
      <c r="AD73" s="6"/>
      <c r="AE73" s="6"/>
      <c r="AF73" s="6"/>
      <c r="AG73" s="6"/>
    </row>
    <row r="74" spans="1:33" x14ac:dyDescent="0.2">
      <c r="A74" s="6"/>
      <c r="I74" s="140"/>
      <c r="M74" s="4"/>
      <c r="N74" s="5"/>
      <c r="Q74" s="11"/>
      <c r="R74" s="25"/>
      <c r="S74" s="175"/>
      <c r="T74" s="11"/>
      <c r="V74" s="28"/>
      <c r="AA74" s="6"/>
      <c r="AB74" s="6"/>
      <c r="AC74" s="6"/>
      <c r="AD74" s="6"/>
      <c r="AE74" s="6"/>
      <c r="AF74" s="6"/>
      <c r="AG74" s="6"/>
    </row>
    <row r="75" spans="1:33" x14ac:dyDescent="0.2">
      <c r="A75" s="6"/>
      <c r="I75" s="140"/>
      <c r="M75" s="4"/>
      <c r="N75" s="5"/>
      <c r="Q75" s="11"/>
      <c r="R75" s="25"/>
      <c r="S75" s="175"/>
      <c r="T75" s="11"/>
      <c r="V75" s="28"/>
      <c r="AA75" s="6"/>
      <c r="AB75" s="6"/>
      <c r="AC75" s="6"/>
      <c r="AD75" s="6"/>
      <c r="AE75" s="6"/>
      <c r="AF75" s="6"/>
      <c r="AG75" s="6"/>
    </row>
    <row r="76" spans="1:33" x14ac:dyDescent="0.2">
      <c r="A76" s="6"/>
      <c r="I76" s="140"/>
      <c r="M76" s="4"/>
      <c r="N76" s="5"/>
      <c r="Q76" s="11"/>
      <c r="R76" s="25"/>
      <c r="S76" s="175"/>
      <c r="T76" s="11"/>
      <c r="V76" s="28"/>
      <c r="AA76" s="6"/>
      <c r="AB76" s="6"/>
      <c r="AC76" s="6"/>
      <c r="AD76" s="6"/>
      <c r="AE76" s="6"/>
      <c r="AF76" s="6"/>
      <c r="AG76" s="6"/>
    </row>
    <row r="77" spans="1:33" x14ac:dyDescent="0.2">
      <c r="A77" s="6"/>
      <c r="I77" s="140"/>
      <c r="M77" s="4"/>
      <c r="N77" s="5"/>
      <c r="Q77" s="11"/>
      <c r="R77" s="25"/>
      <c r="S77" s="175"/>
      <c r="T77" s="11"/>
      <c r="V77" s="28"/>
      <c r="AA77" s="6"/>
      <c r="AB77" s="6"/>
      <c r="AC77" s="6"/>
      <c r="AD77" s="6"/>
      <c r="AE77" s="6"/>
      <c r="AF77" s="6"/>
      <c r="AG77" s="6"/>
    </row>
    <row r="78" spans="1:33" x14ac:dyDescent="0.2">
      <c r="A78" s="6"/>
      <c r="I78" s="140"/>
      <c r="M78" s="4"/>
      <c r="N78" s="5"/>
      <c r="Q78" s="11"/>
      <c r="R78" s="25"/>
      <c r="S78" s="175"/>
      <c r="T78" s="11"/>
      <c r="V78" s="28"/>
      <c r="AA78" s="6"/>
      <c r="AB78" s="6"/>
      <c r="AC78" s="6"/>
      <c r="AD78" s="6"/>
      <c r="AE78" s="6"/>
      <c r="AF78" s="6"/>
      <c r="AG78" s="6"/>
    </row>
    <row r="79" spans="1:33" x14ac:dyDescent="0.2">
      <c r="A79" s="6"/>
      <c r="I79" s="140"/>
      <c r="M79" s="4"/>
      <c r="N79" s="5"/>
      <c r="Q79" s="11"/>
      <c r="R79" s="25"/>
      <c r="S79" s="175"/>
      <c r="T79" s="11"/>
      <c r="V79" s="28"/>
      <c r="AA79" s="6"/>
      <c r="AB79" s="6"/>
      <c r="AC79" s="6"/>
      <c r="AD79" s="6"/>
      <c r="AE79" s="6"/>
      <c r="AF79" s="6"/>
      <c r="AG79" s="6"/>
    </row>
    <row r="80" spans="1:33" x14ac:dyDescent="0.2">
      <c r="A80" s="6"/>
      <c r="I80" s="140"/>
      <c r="M80" s="4"/>
      <c r="N80" s="5"/>
      <c r="Q80" s="11"/>
      <c r="R80" s="25"/>
      <c r="S80" s="175"/>
      <c r="T80" s="11"/>
      <c r="V80" s="28"/>
      <c r="AA80" s="6"/>
      <c r="AB80" s="6"/>
      <c r="AC80" s="6"/>
      <c r="AD80" s="6"/>
      <c r="AE80" s="6"/>
      <c r="AF80" s="6"/>
      <c r="AG80" s="6"/>
    </row>
    <row r="81" spans="1:33" x14ac:dyDescent="0.2">
      <c r="A81" s="6"/>
      <c r="I81" s="140"/>
      <c r="M81" s="4"/>
      <c r="N81" s="5"/>
      <c r="Q81" s="11"/>
      <c r="R81" s="25"/>
      <c r="S81" s="175"/>
      <c r="T81" s="11"/>
      <c r="V81" s="28"/>
      <c r="AA81" s="6"/>
      <c r="AB81" s="6"/>
      <c r="AC81" s="6"/>
      <c r="AD81" s="6"/>
      <c r="AE81" s="6"/>
      <c r="AF81" s="6"/>
      <c r="AG81" s="6"/>
    </row>
    <row r="82" spans="1:33" x14ac:dyDescent="0.2">
      <c r="A82" s="6"/>
      <c r="I82" s="140"/>
      <c r="M82" s="4"/>
      <c r="N82" s="5"/>
      <c r="Q82" s="11"/>
      <c r="R82" s="25"/>
      <c r="S82" s="175"/>
      <c r="T82" s="11"/>
      <c r="V82" s="28"/>
      <c r="AA82" s="6"/>
      <c r="AB82" s="6"/>
      <c r="AC82" s="6"/>
      <c r="AD82" s="6"/>
      <c r="AE82" s="6"/>
      <c r="AF82" s="6"/>
      <c r="AG82" s="6"/>
    </row>
    <row r="83" spans="1:33" x14ac:dyDescent="0.2">
      <c r="A83" s="6"/>
      <c r="I83" s="140"/>
      <c r="M83" s="4"/>
      <c r="N83" s="5"/>
      <c r="Q83" s="11"/>
      <c r="R83" s="25"/>
      <c r="S83" s="175"/>
      <c r="T83" s="11"/>
      <c r="V83" s="28"/>
      <c r="AA83" s="6"/>
      <c r="AB83" s="6"/>
      <c r="AC83" s="6"/>
      <c r="AD83" s="6"/>
      <c r="AE83" s="6"/>
      <c r="AF83" s="6"/>
      <c r="AG83" s="6"/>
    </row>
    <row r="84" spans="1:33" x14ac:dyDescent="0.2">
      <c r="A84" s="6"/>
      <c r="I84" s="140"/>
      <c r="M84" s="4"/>
      <c r="N84" s="5"/>
      <c r="Q84" s="11"/>
      <c r="R84" s="25"/>
      <c r="S84" s="175"/>
      <c r="T84" s="11"/>
      <c r="V84" s="28"/>
      <c r="AA84" s="6"/>
      <c r="AB84" s="6"/>
      <c r="AC84" s="6"/>
      <c r="AD84" s="6"/>
      <c r="AE84" s="6"/>
      <c r="AF84" s="6"/>
      <c r="AG84" s="6"/>
    </row>
    <row r="85" spans="1:33" x14ac:dyDescent="0.2">
      <c r="A85" s="6"/>
      <c r="I85" s="140"/>
      <c r="M85" s="28"/>
      <c r="N85" s="4"/>
      <c r="Q85" s="182"/>
      <c r="R85" s="11"/>
      <c r="S85" s="25"/>
      <c r="T85" s="175"/>
      <c r="U85" s="18"/>
      <c r="AB85" s="6"/>
      <c r="AC85" s="6"/>
      <c r="AD85" s="6"/>
      <c r="AE85" s="6"/>
      <c r="AF85" s="6"/>
      <c r="AG85" s="6"/>
    </row>
    <row r="86" spans="1:33" x14ac:dyDescent="0.2">
      <c r="A86" s="6"/>
      <c r="I86" s="140"/>
      <c r="M86" s="28"/>
      <c r="N86" s="4"/>
      <c r="Q86" s="182"/>
      <c r="R86" s="11"/>
      <c r="S86" s="25"/>
      <c r="T86" s="175"/>
      <c r="U86" s="18"/>
      <c r="AB86" s="6"/>
      <c r="AC86" s="6"/>
      <c r="AD86" s="6"/>
      <c r="AE86" s="6"/>
      <c r="AF86" s="6"/>
      <c r="AG86" s="6"/>
    </row>
    <row r="87" spans="1:33" x14ac:dyDescent="0.2">
      <c r="A87" s="6"/>
      <c r="I87" s="140"/>
      <c r="M87" s="28"/>
      <c r="N87" s="4"/>
      <c r="Q87" s="182"/>
      <c r="R87" s="11"/>
      <c r="S87" s="25"/>
      <c r="T87" s="175"/>
      <c r="U87" s="18"/>
      <c r="AB87" s="6"/>
      <c r="AC87" s="6"/>
      <c r="AD87" s="6"/>
      <c r="AE87" s="6"/>
      <c r="AF87" s="6"/>
      <c r="AG87" s="6"/>
    </row>
  </sheetData>
  <sortState ref="A12:AI27">
    <sortCondition ref="B11:B27"/>
    <sortCondition ref="C11:C27"/>
    <sortCondition ref="F11:F27"/>
    <sortCondition ref="M11:M27"/>
  </sortState>
  <customSheetViews>
    <customSheetView guid="{06745185-FBE3-11D2-82C2-908DF7C1072B}" fitToPage="1" showRuler="0" topLeftCell="E22">
      <selection activeCell="E22" sqref="E22:M34"/>
      <pageMargins left="0.25" right="0.25" top="1" bottom="1" header="0.5" footer="0.5"/>
      <pageSetup paperSize="5" scale="76" orientation="landscape" blackAndWhite="1" useFirstPageNumber="1" horizontalDpi="300" verticalDpi="300" r:id="rId1"/>
      <headerFooter alignWithMargins="0">
        <oddFooter>&amp;L&amp;"Times New Roman,Regular"&amp;8&amp;D  \  &amp;T&amp;R&amp;"Times New Roman,Regular"&amp;8I:\03583\95ASPGS\SCHEDD.XLS</oddFooter>
      </headerFooter>
    </customSheetView>
    <customSheetView guid="{06745184-FBE3-11D2-82C2-908DF7C1072B}" fitToPage="1" showRuler="0" topLeftCell="S43">
      <selection activeCell="S22" sqref="S22:AJ34"/>
      <pageMargins left="0.25" right="0.25" top="1" bottom="1" header="0.5" footer="0.5"/>
      <pageSetup paperSize="5" scale="76" orientation="landscape" blackAndWhite="1" useFirstPageNumber="1" horizontalDpi="300" verticalDpi="300" r:id="rId2"/>
      <headerFooter alignWithMargins="0"/>
    </customSheetView>
    <customSheetView guid="{06745183-FBE3-11D2-82C2-908DF7C1072B}" fitToPage="1" showRuler="0" topLeftCell="A22">
      <selection activeCell="A22" sqref="A22:AD34"/>
      <pageMargins left="0.25" right="0.25" top="1" bottom="1" header="0.5" footer="0.5"/>
      <pageSetup paperSize="5" scale="76" orientation="landscape" blackAndWhite="1" useFirstPageNumber="1" horizontalDpi="300" verticalDpi="300" r:id="rId3"/>
      <headerFooter alignWithMargins="0">
        <oddFooter>&amp;Cpart 1</oddFooter>
      </headerFooter>
    </customSheetView>
  </customSheetViews>
  <phoneticPr fontId="0" type="noConversion"/>
  <conditionalFormatting sqref="P13:AG13 A13:N13 AI13">
    <cfRule type="expression" dxfId="10" priority="1197">
      <formula>$V13&gt;0</formula>
    </cfRule>
  </conditionalFormatting>
  <conditionalFormatting sqref="P13">
    <cfRule type="expression" dxfId="9" priority="24">
      <formula>$V13&gt;0</formula>
    </cfRule>
  </conditionalFormatting>
  <conditionalFormatting sqref="AI7">
    <cfRule type="expression" dxfId="8" priority="23">
      <formula>$V7&gt;0</formula>
    </cfRule>
  </conditionalFormatting>
  <conditionalFormatting sqref="A12:K12 M12:N12 P12:AG12 AI12 R13:S13">
    <cfRule type="expression" dxfId="7" priority="4">
      <formula>$V12&gt;0</formula>
    </cfRule>
  </conditionalFormatting>
  <conditionalFormatting sqref="S7">
    <cfRule type="expression" dxfId="6" priority="3">
      <formula>$V7&gt;0</formula>
    </cfRule>
  </conditionalFormatting>
  <conditionalFormatting sqref="S7">
    <cfRule type="expression" dxfId="5" priority="2">
      <formula>$V7&gt;0</formula>
    </cfRule>
  </conditionalFormatting>
  <conditionalFormatting sqref="R7:S7">
    <cfRule type="expression" dxfId="4" priority="1">
      <formula>$V7&gt;0</formula>
    </cfRule>
  </conditionalFormatting>
  <printOptions gridLines="1"/>
  <pageMargins left="0" right="0" top="0.5" bottom="0.5" header="0.25" footer="0.25"/>
  <pageSetup paperSize="5" scale="70" orientation="landscape" blackAndWhite="1" useFirstPageNumber="1" horizontalDpi="400" verticalDpi="400" r:id="rId4"/>
  <headerFooter alignWithMargins="0">
    <oddFooter>&amp;L&amp;9Preparer Name:_____________________
Date:&amp;U&amp;D&amp;C&amp;9&amp;Z&amp;F
&amp;R&amp;9Reviewer Name:_____________________
Date:_____________________</oddFooter>
  </headerFooter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53" r:id="rId7" name="Button 2029">
              <controlPr defaultSize="0" print="0" autoFill="0" autoPict="0" macro="[0]!btnTypeOfAsset_Click">
                <anchor moveWithCells="1">
                  <from>
                    <xdr:col>10</xdr:col>
                    <xdr:colOff>66675</xdr:colOff>
                    <xdr:row>0</xdr:row>
                    <xdr:rowOff>38100</xdr:rowOff>
                  </from>
                  <to>
                    <xdr:col>11</xdr:col>
                    <xdr:colOff>619125</xdr:colOff>
                    <xdr:row>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54" r:id="rId8" name="Button 2030">
              <controlPr defaultSize="0" print="0" autoFill="0" autoPict="0" macro="[0]!btnTypeOfBond_Click">
                <anchor moveWithCells="1">
                  <from>
                    <xdr:col>10</xdr:col>
                    <xdr:colOff>104775</xdr:colOff>
                    <xdr:row>2</xdr:row>
                    <xdr:rowOff>38100</xdr:rowOff>
                  </from>
                  <to>
                    <xdr:col>11</xdr:col>
                    <xdr:colOff>657225</xdr:colOff>
                    <xdr:row>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55" r:id="rId9" name="Button 2031">
              <controlPr defaultSize="0" print="0" autoFill="0" autoPict="0" macro="[0]!btnTypeOfStock_Click">
                <anchor moveWithCells="1">
                  <from>
                    <xdr:col>10</xdr:col>
                    <xdr:colOff>85725</xdr:colOff>
                    <xdr:row>4</xdr:row>
                    <xdr:rowOff>28575</xdr:rowOff>
                  </from>
                  <to>
                    <xdr:col>11</xdr:col>
                    <xdr:colOff>638175</xdr:colOff>
                    <xdr:row>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2055">
              <controlPr defaultSize="0" print="0" autoFill="0" autoPict="0" macro="[0]!btnTypeOfShortTerm_Click">
                <anchor moveWithCells="1">
                  <from>
                    <xdr:col>10</xdr:col>
                    <xdr:colOff>104775</xdr:colOff>
                    <xdr:row>5</xdr:row>
                    <xdr:rowOff>152400</xdr:rowOff>
                  </from>
                  <to>
                    <xdr:col>11</xdr:col>
                    <xdr:colOff>657225</xdr:colOff>
                    <xdr:row>7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63</vt:i4>
      </vt:variant>
    </vt:vector>
  </HeadingPairs>
  <TitlesOfParts>
    <vt:vector size="68" baseType="lpstr">
      <vt:lpstr>Instructions</vt:lpstr>
      <vt:lpstr>Bank Transactions</vt:lpstr>
      <vt:lpstr>Programming</vt:lpstr>
      <vt:lpstr>Summary</vt:lpstr>
      <vt:lpstr>SCHEDD</vt:lpstr>
      <vt:lpstr>Account_Number</vt:lpstr>
      <vt:lpstr>AccountDiscription</vt:lpstr>
      <vt:lpstr>Amount</vt:lpstr>
      <vt:lpstr>BookValueOfAssetSold</vt:lpstr>
      <vt:lpstr>BOYMM</vt:lpstr>
      <vt:lpstr>CompanyName</vt:lpstr>
      <vt:lpstr>CurFile</vt:lpstr>
      <vt:lpstr>date</vt:lpstr>
      <vt:lpstr>DateAssetAcquired</vt:lpstr>
      <vt:lpstr>DateAssetSold</vt:lpstr>
      <vt:lpstr>datepy</vt:lpstr>
      <vt:lpstr>Description</vt:lpstr>
      <vt:lpstr>End</vt:lpstr>
      <vt:lpstr>InputAccNum</vt:lpstr>
      <vt:lpstr>InputAmt</vt:lpstr>
      <vt:lpstr>InputAssetCnt</vt:lpstr>
      <vt:lpstr>InputAssetLoc</vt:lpstr>
      <vt:lpstr>InputDesc</vt:lpstr>
      <vt:lpstr>InputDescNew</vt:lpstr>
      <vt:lpstr>InputInt</vt:lpstr>
      <vt:lpstr>InputMatDate</vt:lpstr>
      <vt:lpstr>InputSecType</vt:lpstr>
      <vt:lpstr>InputShares</vt:lpstr>
      <vt:lpstr>InputTranDate</vt:lpstr>
      <vt:lpstr>InputTranType</vt:lpstr>
      <vt:lpstr>INT</vt:lpstr>
      <vt:lpstr>LastSavedBy</vt:lpstr>
      <vt:lpstr>LastSavedDate</vt:lpstr>
      <vt:lpstr>LastSavedValDate</vt:lpstr>
      <vt:lpstr>LongTermCol</vt:lpstr>
      <vt:lpstr>Maturity</vt:lpstr>
      <vt:lpstr>Maturity_Date</vt:lpstr>
      <vt:lpstr>MMEnd</vt:lpstr>
      <vt:lpstr>NamePiv</vt:lpstr>
      <vt:lpstr>SCHEDD!Print_Area</vt:lpstr>
      <vt:lpstr>Summary!Print_Area</vt:lpstr>
      <vt:lpstr>SCHEDD!Print_Titles</vt:lpstr>
      <vt:lpstr>SalePriceofAssetSold</vt:lpstr>
      <vt:lpstr>ScheddDesc</vt:lpstr>
      <vt:lpstr>ScheddSummary</vt:lpstr>
      <vt:lpstr>ScheduleDRange</vt:lpstr>
      <vt:lpstr>Security_Name</vt:lpstr>
      <vt:lpstr>SecurityNumber</vt:lpstr>
      <vt:lpstr>Shares</vt:lpstr>
      <vt:lpstr>ShortTermCol</vt:lpstr>
      <vt:lpstr>Start</vt:lpstr>
      <vt:lpstr>TotalActCost</vt:lpstr>
      <vt:lpstr>TotalAD</vt:lpstr>
      <vt:lpstr>TotalAP</vt:lpstr>
      <vt:lpstr>TotalConsideration</vt:lpstr>
      <vt:lpstr>TotalGain</vt:lpstr>
      <vt:lpstr>TotalLoss</vt:lpstr>
      <vt:lpstr>TotalSTConsideration</vt:lpstr>
      <vt:lpstr>TotalSTCost</vt:lpstr>
      <vt:lpstr>TotalSTGain</vt:lpstr>
      <vt:lpstr>TotalSTLoss</vt:lpstr>
      <vt:lpstr>Transaction_Price</vt:lpstr>
      <vt:lpstr>Transaction_Type</vt:lpstr>
      <vt:lpstr>TransList</vt:lpstr>
      <vt:lpstr>TranStart</vt:lpstr>
      <vt:lpstr>TrustCompanyAccount</vt:lpstr>
      <vt:lpstr>TrustCompanyName</vt:lpstr>
      <vt:lpstr>Type_of_Asset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GPWA</dc:creator>
  <dc:description>This Schedule D is for companies who are not required to file a "Schedule D" with their annual statement.  It should be used for tracking investment activity and for the preparation of the tax return attachment of gains and losses.</dc:description>
  <cp:lastModifiedBy>Brennen A. Ainsworth</cp:lastModifiedBy>
  <cp:lastPrinted>2013-01-16T19:41:42Z</cp:lastPrinted>
  <dcterms:created xsi:type="dcterms:W3CDTF">1999-05-05T22:44:27Z</dcterms:created>
  <dcterms:modified xsi:type="dcterms:W3CDTF">2017-05-24T20:16:10Z</dcterms:modified>
</cp:coreProperties>
</file>